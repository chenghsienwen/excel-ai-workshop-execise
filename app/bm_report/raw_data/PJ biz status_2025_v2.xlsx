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3" sheetId="1" state="visible" r:id="rId2"/>
  </sheets>
  <definedNames>
    <definedName function="false" hidden="false" name="COUNT" vbProcedure="false">#REF!</definedName>
    <definedName function="false" hidden="false" name="D" vbProcedure="false">#REF!</definedName>
    <definedName function="false" hidden="false" name="GF" vbProcedure="false">"圖片 1"</definedName>
    <definedName function="false" hidden="false" name="QUOT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<sst xmlns="http://schemas.openxmlformats.org/spreadsheetml/2006/main" count="435" uniqueCount="53">
  <si>
    <t xml:space="preserve">actual</t>
  </si>
  <si>
    <t xml:space="preserve">forecast</t>
  </si>
  <si>
    <t xml:space="preserve">budget</t>
  </si>
  <si>
    <t xml:space="preserve">Gross Sales ($K)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</si>
  <si>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</si>
  <si>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</si>
  <si>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</si>
  <si>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</si>
  <si>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</si>
  <si>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</si>
  <si>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</si>
  <si>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</si>
  <si>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</si>
  <si>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</si>
  <si>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</si>
  <si>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</si>
  <si>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AZ</t>
  </si>
  <si>
    <t xml:space="preserve">BD+</t>
  </si>
  <si>
    <t xml:space="preserve">ID</t>
  </si>
  <si>
    <t xml:space="preserve">IN</t>
  </si>
  <si>
    <t xml:space="preserve">JP</t>
  </si>
  <si>
    <t xml:space="preserve">KR</t>
  </si>
  <si>
    <t xml:space="preserve">MY</t>
  </si>
  <si>
    <t xml:space="preserve">PH</t>
  </si>
  <si>
    <t xml:space="preserve">SG</t>
  </si>
  <si>
    <t xml:space="preserve">TH</t>
  </si>
  <si>
    <t xml:space="preserve">VN</t>
  </si>
  <si>
    <t xml:space="preserve">TTL VSI</t>
  </si>
  <si>
    <t xml:space="preserve">TW</t>
  </si>
  <si>
    <t xml:space="preserve">UK</t>
  </si>
  <si>
    <t xml:space="preserve">FR</t>
  </si>
  <si>
    <t xml:space="preserve">DE</t>
  </si>
  <si>
    <t xml:space="preserve">CH</t>
  </si>
  <si>
    <t xml:space="preserve">ES </t>
  </si>
  <si>
    <t xml:space="preserve">IT</t>
  </si>
  <si>
    <t xml:space="preserve">NR</t>
  </si>
  <si>
    <t xml:space="preserve">NL</t>
  </si>
  <si>
    <t xml:space="preserve">TTL VSEW</t>
  </si>
  <si>
    <t xml:space="preserve">DC</t>
  </si>
  <si>
    <t xml:space="preserve">TR</t>
  </si>
  <si>
    <t xml:space="preserve">CE</t>
  </si>
  <si>
    <t xml:space="preserve">RU</t>
  </si>
  <si>
    <t xml:space="preserve">MA</t>
  </si>
  <si>
    <t xml:space="preserve">TTL VSEE</t>
  </si>
  <si>
    <t xml:space="preserve">TTL VSE</t>
  </si>
  <si>
    <t xml:space="preserve">VSA</t>
  </si>
  <si>
    <t xml:space="preserve">TTL VSA</t>
  </si>
  <si>
    <t xml:space="preserve">VSCN</t>
  </si>
  <si>
    <t xml:space="preserve">TTL VSCN</t>
  </si>
  <si>
    <t xml:space="preserve">VSC</t>
  </si>
  <si>
    <t xml:space="preserve">Net Sales ($K)</t>
  </si>
  <si>
    <t xml:space="preserve">Jun </t>
  </si>
  <si>
    <t xml:space="preserve">OP Sales ($K)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</si>
</sst>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€-2]* #,##0.00_);_([$€-2]* \(#,##0.00\);_([$€-2]* \-??_)"/>
    <numFmt numFmtId="166" formatCode="\$#,##0,;[RED]&quot;($&quot;#,##0,\)"/>
  </numFmts>
  <fonts count="21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Geneva"/>
      <family val="2"/>
      <charset val="1"/>
    </font>
    <font>
      <sz val="11"/>
      <color rgb="FF000000"/>
      <name val="Calibri"/>
      <family val="2"/>
      <charset val="1"/>
    </font>
    <font>
      <sz val="11"/>
      <name val="돋움"/>
      <family val="2"/>
      <charset val="1"/>
    </font>
    <font>
      <sz val="12"/>
      <name val="Times New Roman"/>
      <family val="1"/>
      <charset val="1"/>
    </font>
    <font>
      <sz val="11"/>
      <name val="돋움"/>
      <family val="2"/>
      <charset val="129"/>
    </font>
    <font>
      <sz val="10"/>
      <color rgb="FF000000"/>
      <name val="Arial"/>
      <family val="2"/>
      <charset val="1"/>
    </font>
    <font>
      <sz val="11"/>
      <color rgb="FF000000"/>
      <name val="宋体"/>
      <family val="3"/>
      <charset val="134"/>
    </font>
    <font>
      <sz val="11"/>
      <color rgb="FF000000"/>
      <name val="新細明體"/>
      <family val="1"/>
      <charset val="136"/>
    </font>
    <font>
      <sz val="12"/>
      <color rgb="FF000000"/>
      <name val="新細明體"/>
      <family val="1"/>
      <charset val="1"/>
    </font>
    <font>
      <sz val="11"/>
      <color rgb="FF000000"/>
      <name val="宋体"/>
      <family val="3"/>
      <charset val="136"/>
    </font>
    <font>
      <sz val="11"/>
      <color rgb="FF000000"/>
      <name val="Czcionka tekstu podstawowego"/>
      <family val="2"/>
      <charset val="238"/>
    </font>
    <font>
      <b val="true"/>
      <sz val="12"/>
      <color rgb="FF000000"/>
      <name val="新細明體"/>
      <family val="2"/>
      <charset val="136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CCCFF"/>
        <bgColor rgb="FFDAEEF3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AEEF3"/>
      </patternFill>
    </fill>
    <fill>
      <patternFill patternType="solid">
        <fgColor rgb="FFFFCC99"/>
        <bgColor rgb="FFEBF1DE"/>
      </patternFill>
    </fill>
    <fill>
      <patternFill patternType="solid">
        <fgColor rgb="FF99CCFF"/>
        <bgColor rgb="FF93C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EBF1DE"/>
      </patternFill>
    </fill>
    <fill>
      <patternFill patternType="solid">
        <fgColor rgb="FFEBF1DE"/>
        <bgColor rgb="FFDBEEF4"/>
      </patternFill>
    </fill>
    <fill>
      <patternFill patternType="solid">
        <fgColor rgb="FFDBEEF4"/>
        <bgColor rgb="FFDAEEF3"/>
      </patternFill>
    </fill>
    <fill>
      <patternFill patternType="solid">
        <fgColor rgb="FFDAEEF3"/>
        <bgColor rgb="FFDBEEF4"/>
      </patternFill>
    </fill>
    <fill>
      <patternFill patternType="solid">
        <fgColor rgb="FF93CDDD"/>
        <bgColor rgb="FF99CCFF"/>
      </patternFill>
    </fill>
    <fill>
      <patternFill patternType="solid">
        <fgColor rgb="FF1F5174"/>
        <bgColor rgb="FF00336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517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._x0011__x0002_._x001b__x0002_ _x0015_%_x0018__x0001_" xfId="20"/>
    <cellStyle name="&#10;386grabber=M" xfId="21"/>
    <cellStyle name=" 1" xfId="22"/>
    <cellStyle name=" 1 2" xfId="23"/>
    <cellStyle name="0,0&#10;&#10;NA&#10;&#10;" xfId="24"/>
    <cellStyle name="0,0&#10;&#10;NA&#10;&#10; 2" xfId="25"/>
    <cellStyle name="0,0&#10;&#10;NA&#10;&#10; 3" xfId="26"/>
    <cellStyle name="0,0&#13;&#10;NA&#13;&#10;" xfId="27"/>
    <cellStyle name="0,0&#13;&#10;NA&#13;&#10; 2" xfId="28"/>
    <cellStyle name="0,0&#13;&#10;NA&#13;&#10; 3" xfId="29"/>
    <cellStyle name="20 % - Markeringsfarve1" xfId="30"/>
    <cellStyle name="20 % - Markeringsfarve1 2" xfId="31"/>
    <cellStyle name="20 % - Markeringsfarve2" xfId="32"/>
    <cellStyle name="20 % - Markeringsfarve2 2" xfId="33"/>
    <cellStyle name="20 % - Markeringsfarve3" xfId="34"/>
    <cellStyle name="20 % - Markeringsfarve3 2" xfId="35"/>
    <cellStyle name="20 % - Markeringsfarve4" xfId="36"/>
    <cellStyle name="20 % - Markeringsfarve4 2" xfId="37"/>
    <cellStyle name="20 % - Markeringsfarve5" xfId="38"/>
    <cellStyle name="20 % - Markeringsfarve5 2" xfId="39"/>
    <cellStyle name="20 % - Markeringsfarve6" xfId="40"/>
    <cellStyle name="20 % - Markeringsfarve6 2" xfId="41"/>
    <cellStyle name="20% - Accent1" xfId="42"/>
    <cellStyle name="20% - Accent1 10" xfId="43"/>
    <cellStyle name="20% - Accent1 10 2" xfId="44"/>
    <cellStyle name="20% - Accent1 10 2 2" xfId="45"/>
    <cellStyle name="20% - Accent1 10 3" xfId="46"/>
    <cellStyle name="20% - Accent1 10 3 2" xfId="47"/>
    <cellStyle name="20% - Accent1 10 4" xfId="48"/>
    <cellStyle name="20% - Accent1 11" xfId="49"/>
    <cellStyle name="20% - Accent1 11 2" xfId="50"/>
    <cellStyle name="20% - Accent1 11 2 2" xfId="51"/>
    <cellStyle name="20% - Accent1 11 3" xfId="52"/>
    <cellStyle name="20% - Accent1 11 3 2" xfId="53"/>
    <cellStyle name="20% - Accent1 11 4" xfId="54"/>
    <cellStyle name="20% - Accent1 12" xfId="55"/>
    <cellStyle name="20% - Accent1 12 2" xfId="56"/>
    <cellStyle name="20% - Accent1 12 2 2" xfId="57"/>
    <cellStyle name="20% - Accent1 13" xfId="58"/>
    <cellStyle name="20% - Accent1 13 2" xfId="59"/>
    <cellStyle name="20% - Accent1 13 2 2" xfId="60"/>
    <cellStyle name="20% - Accent1 14" xfId="61"/>
    <cellStyle name="20% - Accent1 14 2" xfId="62"/>
    <cellStyle name="20% - Accent1 14 2 2" xfId="63"/>
    <cellStyle name="20% - Accent1 15" xfId="64"/>
    <cellStyle name="20% - Accent1 15 2" xfId="65"/>
    <cellStyle name="20% - Accent1 15 2 2" xfId="66"/>
    <cellStyle name="20% - Accent1 16" xfId="67"/>
    <cellStyle name="20% - Accent1 16 2" xfId="68"/>
    <cellStyle name="20% - Accent1 16 2 2" xfId="69"/>
    <cellStyle name="20% - Accent1 17" xfId="70"/>
    <cellStyle name="20% - Accent1 17 2" xfId="71"/>
    <cellStyle name="20% - Accent1 17 2 2" xfId="72"/>
    <cellStyle name="20% - Accent1 18" xfId="73"/>
    <cellStyle name="20% - Accent1 18 2" xfId="74"/>
    <cellStyle name="20% - Accent1 18 2 2" xfId="75"/>
    <cellStyle name="20% - Accent1 19" xfId="76"/>
    <cellStyle name="20% - Accent1 19 2" xfId="77"/>
    <cellStyle name="20% - Accent1 19 2 2" xfId="78"/>
    <cellStyle name="20% - Accent1 2" xfId="79"/>
    <cellStyle name="20% - Accent1 2 10" xfId="80"/>
    <cellStyle name="20% - Accent1 2 11" xfId="81"/>
    <cellStyle name="20% - Accent1 2 12" xfId="82"/>
    <cellStyle name="20% - Accent1 2 13" xfId="83"/>
    <cellStyle name="20% - Accent1 2 14" xfId="84"/>
    <cellStyle name="20% - Accent1 2 15" xfId="85"/>
    <cellStyle name="20% - Accent1 2 16" xfId="86"/>
    <cellStyle name="20% - Accent1 2 17" xfId="87"/>
    <cellStyle name="20% - Accent1 2 18" xfId="88"/>
    <cellStyle name="20% - Accent1 2 19" xfId="89"/>
    <cellStyle name="20% - Accent1 2 2" xfId="90"/>
    <cellStyle name="20% - Accent1 2 2 2" xfId="91"/>
    <cellStyle name="20% - Accent1 2 2 2 2" xfId="92"/>
    <cellStyle name="20% - Accent1 2 2 3" xfId="93"/>
    <cellStyle name="20% - Accent1 2 2 3 2" xfId="94"/>
    <cellStyle name="20% - Accent1 2 2 4" xfId="95"/>
    <cellStyle name="20% - Accent1 2 2 4 2" xfId="96"/>
    <cellStyle name="20% - Accent1 2 2 5" xfId="97"/>
    <cellStyle name="20% - Accent1 2 2 6" xfId="98"/>
    <cellStyle name="20% - Accent1 2 20" xfId="99"/>
    <cellStyle name="20% - Accent1 2 21" xfId="100"/>
    <cellStyle name="20% - Accent1 2 22" xfId="101"/>
    <cellStyle name="20% - Accent1 2 23" xfId="102"/>
    <cellStyle name="20% - Accent1 2 24" xfId="103"/>
    <cellStyle name="20% - Accent1 2 25" xfId="104"/>
    <cellStyle name="20% - Accent1 2 3" xfId="105"/>
    <cellStyle name="20% - Accent1 2 3 2" xfId="106"/>
    <cellStyle name="20% - Accent1 2 3 3" xfId="107"/>
    <cellStyle name="20% - Accent1 2 4" xfId="108"/>
    <cellStyle name="20% - Accent1 2 4 2" xfId="109"/>
    <cellStyle name="20% - Accent1 2 4 3" xfId="110"/>
    <cellStyle name="20% - Accent1 2 5" xfId="111"/>
    <cellStyle name="20% - Accent1 2 5 2" xfId="112"/>
    <cellStyle name="20% - Accent1 2 5 3" xfId="113"/>
    <cellStyle name="20% - Accent1 2 6" xfId="114"/>
    <cellStyle name="20% - Accent1 2 6 2" xfId="115"/>
    <cellStyle name="20% - Accent1 2 7" xfId="116"/>
    <cellStyle name="20% - Accent1 2 7 2" xfId="117"/>
    <cellStyle name="20% - Accent1 2 8" xfId="118"/>
    <cellStyle name="20% - Accent1 2 8 2" xfId="119"/>
    <cellStyle name="20% - Accent1 2 9" xfId="120"/>
    <cellStyle name="20% - Accent1 20" xfId="121"/>
    <cellStyle name="20% - Accent1 20 2" xfId="122"/>
    <cellStyle name="20% - Accent1 20 2 2" xfId="123"/>
    <cellStyle name="20% - Accent1 21" xfId="124"/>
    <cellStyle name="20% - Accent1 21 2" xfId="125"/>
    <cellStyle name="20% - Accent1 21 2 2" xfId="126"/>
    <cellStyle name="20% - Accent1 22" xfId="127"/>
    <cellStyle name="20% - Accent1 22 2" xfId="128"/>
    <cellStyle name="20% - Accent1 22 2 2" xfId="129"/>
    <cellStyle name="20% - Accent1 23" xfId="130"/>
    <cellStyle name="20% - Accent1 23 2" xfId="131"/>
    <cellStyle name="20% - Accent1 23 2 2" xfId="132"/>
    <cellStyle name="20% - Accent1 23 3" xfId="133"/>
    <cellStyle name="20% - Accent1 24" xfId="134"/>
    <cellStyle name="20% - Accent1 24 2" xfId="135"/>
    <cellStyle name="20% - Accent1 24 2 2" xfId="136"/>
    <cellStyle name="20% - Accent1 24 3" xfId="137"/>
    <cellStyle name="20% - Accent1 25" xfId="138"/>
    <cellStyle name="20% - Accent1 25 2" xfId="139"/>
    <cellStyle name="20% - Accent1 25 2 2" xfId="140"/>
    <cellStyle name="20% - Accent1 25 3" xfId="141"/>
    <cellStyle name="20% - Accent1 26" xfId="142"/>
    <cellStyle name="20% - Accent1 26 2" xfId="143"/>
    <cellStyle name="20% - Accent1 26 3" xfId="144"/>
    <cellStyle name="20% - Accent1 27" xfId="145"/>
    <cellStyle name="20% - Accent1 27 2" xfId="146"/>
    <cellStyle name="20% - Accent1 27 3" xfId="147"/>
    <cellStyle name="20% - Accent1 28" xfId="148"/>
    <cellStyle name="20% - Accent1 28 2" xfId="149"/>
    <cellStyle name="20% - Accent1 28 3" xfId="150"/>
    <cellStyle name="20% - Accent1 29" xfId="151"/>
    <cellStyle name="20% - Accent1 29 2" xfId="152"/>
    <cellStyle name="20% - Accent1 29 3" xfId="153"/>
    <cellStyle name="20% - Accent1 2_2.VSCN - GSC charge" xfId="154"/>
    <cellStyle name="20% - Accent1 3" xfId="155"/>
    <cellStyle name="20% - Accent1 3 2" xfId="156"/>
    <cellStyle name="20% - Accent1 3 2 2" xfId="157"/>
    <cellStyle name="20% - Accent1 3 2 3" xfId="158"/>
    <cellStyle name="20% - Accent1 3 3" xfId="159"/>
    <cellStyle name="20% - Accent1 3 3 2" xfId="160"/>
    <cellStyle name="20% - Accent1 3 3 3" xfId="161"/>
    <cellStyle name="20% - Accent1 3 4" xfId="162"/>
    <cellStyle name="20% - Accent1 3 4 2" xfId="163"/>
    <cellStyle name="20% - Accent1 3 5" xfId="164"/>
    <cellStyle name="20% - Accent1 3 5 2" xfId="165"/>
    <cellStyle name="20% - Accent1 3 6" xfId="166"/>
    <cellStyle name="20% - Accent1 3 7" xfId="167"/>
    <cellStyle name="20% - Accent1 30" xfId="168"/>
    <cellStyle name="20% - Accent1 30 2" xfId="169"/>
    <cellStyle name="20% - Accent1 31" xfId="170"/>
    <cellStyle name="20% - Accent1 31 2" xfId="171"/>
    <cellStyle name="20% - Accent1 32" xfId="172"/>
    <cellStyle name="20% - Accent1 32 2" xfId="173"/>
    <cellStyle name="20% - Accent1 33" xfId="174"/>
    <cellStyle name="20% - Accent1 33 2" xfId="175"/>
    <cellStyle name="20% - Accent1 34" xfId="176"/>
    <cellStyle name="20% - Accent1 34 2" xfId="177"/>
    <cellStyle name="20% - Accent1 35" xfId="178"/>
    <cellStyle name="20% - Accent1 35 2" xfId="179"/>
    <cellStyle name="20% - Accent1 36" xfId="180"/>
    <cellStyle name="20% - Accent1 36 2" xfId="181"/>
    <cellStyle name="20% - Accent1 37" xfId="182"/>
    <cellStyle name="20% - Accent1 37 2" xfId="183"/>
    <cellStyle name="20% - Accent1 38" xfId="184"/>
    <cellStyle name="20% - Accent1 38 2" xfId="185"/>
    <cellStyle name="20% - Accent1 39" xfId="186"/>
    <cellStyle name="20% - Accent1 39 2" xfId="187"/>
    <cellStyle name="20% - Accent1 3_Before Allocation" xfId="188"/>
    <cellStyle name="20% - Accent1 4" xfId="189"/>
    <cellStyle name="20% - Accent1 4 2" xfId="190"/>
    <cellStyle name="20% - Accent1 4 2 2" xfId="191"/>
    <cellStyle name="20% - Accent1 4 2 3" xfId="192"/>
    <cellStyle name="20% - Accent1 4 3" xfId="193"/>
    <cellStyle name="20% - Accent1 4 3 2" xfId="194"/>
    <cellStyle name="20% - Accent1 4 3 3" xfId="195"/>
    <cellStyle name="20% - Accent1 4 4" xfId="196"/>
    <cellStyle name="20% - Accent1 4 4 2" xfId="197"/>
    <cellStyle name="20% - Accent1 4 5" xfId="198"/>
    <cellStyle name="20% - Accent1 4 5 2" xfId="199"/>
    <cellStyle name="20% - Accent1 4 6" xfId="200"/>
    <cellStyle name="20% - Accent1 4 7" xfId="201"/>
    <cellStyle name="20% - Accent1 40" xfId="202"/>
    <cellStyle name="20% - Accent1 40 2" xfId="203"/>
    <cellStyle name="20% - Accent1 41" xfId="204"/>
    <cellStyle name="20% - Accent1 41 2" xfId="205"/>
    <cellStyle name="20% - Accent1 42" xfId="206"/>
    <cellStyle name="20% - Accent1 43" xfId="207"/>
    <cellStyle name="20% - Accent1 44" xfId="208"/>
    <cellStyle name="20% - Accent1 45" xfId="209"/>
    <cellStyle name="20% - Accent1 46" xfId="210"/>
    <cellStyle name="20% - Accent1 47" xfId="211"/>
    <cellStyle name="20% - Accent1 48" xfId="212"/>
    <cellStyle name="20% - Accent1 49" xfId="213"/>
    <cellStyle name="20% - Accent1 4_Before Allocation" xfId="214"/>
    <cellStyle name="20% - Accent1 5" xfId="215"/>
    <cellStyle name="20% - Accent1 5 2" xfId="216"/>
    <cellStyle name="20% - Accent1 5 2 2" xfId="217"/>
    <cellStyle name="20% - Accent1 5 2 3" xfId="218"/>
    <cellStyle name="20% - Accent1 5 3" xfId="219"/>
    <cellStyle name="20% - Accent1 5 3 2" xfId="220"/>
    <cellStyle name="20% - Accent1 5 4" xfId="221"/>
    <cellStyle name="20% - Accent1 5 4 2" xfId="222"/>
    <cellStyle name="20% - Accent1 5 5" xfId="223"/>
    <cellStyle name="20% - Accent1 50" xfId="224"/>
    <cellStyle name="20% - Accent1 51" xfId="225"/>
    <cellStyle name="20% - Accent1 52" xfId="226"/>
    <cellStyle name="20% - Accent1 53" xfId="227"/>
    <cellStyle name="20% - Accent1 54" xfId="228"/>
    <cellStyle name="20% - Accent1 55" xfId="229"/>
    <cellStyle name="20% - Accent1 56" xfId="230"/>
    <cellStyle name="20% - Accent1 57" xfId="231"/>
    <cellStyle name="20% - Accent1 58" xfId="232"/>
    <cellStyle name="20% - Accent1 59" xfId="233"/>
    <cellStyle name="20% - Accent1 6" xfId="234"/>
    <cellStyle name="20% - Accent1 6 2" xfId="235"/>
    <cellStyle name="20% - Accent1 6 2 2" xfId="236"/>
    <cellStyle name="20% - Accent1 6 3" xfId="237"/>
    <cellStyle name="20% - Accent1 6 3 2" xfId="238"/>
    <cellStyle name="20% - Accent1 6 4" xfId="239"/>
    <cellStyle name="20% - Accent1 60" xfId="240"/>
    <cellStyle name="20% - Accent1 61" xfId="241"/>
    <cellStyle name="20% - Accent1 62" xfId="242"/>
    <cellStyle name="20% - Accent1 63" xfId="243"/>
    <cellStyle name="20% - Accent1 64" xfId="244"/>
    <cellStyle name="20% - Accent1 65" xfId="245"/>
    <cellStyle name="20% - Accent1 66" xfId="246"/>
    <cellStyle name="20% - Accent1 67" xfId="247"/>
    <cellStyle name="20% - Accent1 68" xfId="248"/>
    <cellStyle name="20% - Accent1 69" xfId="249"/>
    <cellStyle name="20% - Accent1 7" xfId="250"/>
    <cellStyle name="20% - Accent1 7 2" xfId="251"/>
    <cellStyle name="20% - Accent1 7 2 2" xfId="252"/>
    <cellStyle name="20% - Accent1 7 3" xfId="253"/>
    <cellStyle name="20% - Accent1 7 3 2" xfId="254"/>
    <cellStyle name="20% - Accent1 7 4" xfId="255"/>
    <cellStyle name="20% - Accent1 70" xfId="256"/>
    <cellStyle name="20% - Accent1 71" xfId="257"/>
    <cellStyle name="20% - Accent1 72" xfId="258"/>
    <cellStyle name="20% - Accent1 73" xfId="259"/>
    <cellStyle name="20% - Accent1 74" xfId="260"/>
    <cellStyle name="20% - Accent1 75" xfId="261"/>
    <cellStyle name="20% - Accent1 76" xfId="262"/>
    <cellStyle name="20% - Accent1 77" xfId="263"/>
    <cellStyle name="20% - Accent1 78" xfId="264"/>
    <cellStyle name="20% - Accent1 79" xfId="265"/>
    <cellStyle name="20% - Accent1 8" xfId="266"/>
    <cellStyle name="20% - Accent1 8 2" xfId="267"/>
    <cellStyle name="20% - Accent1 8 2 2" xfId="268"/>
    <cellStyle name="20% - Accent1 8 3" xfId="269"/>
    <cellStyle name="20% - Accent1 8 3 2" xfId="270"/>
    <cellStyle name="20% - Accent1 8 4" xfId="271"/>
    <cellStyle name="20% - Accent1 80" xfId="272"/>
    <cellStyle name="20% - Accent1 81" xfId="273"/>
    <cellStyle name="20% - Accent1 82" xfId="274"/>
    <cellStyle name="20% - Accent1 83" xfId="275"/>
    <cellStyle name="20% - Accent1 84" xfId="276"/>
    <cellStyle name="20% - Accent1 85" xfId="277"/>
    <cellStyle name="20% - Accent1 86" xfId="278"/>
    <cellStyle name="20% - Accent1 87" xfId="279"/>
    <cellStyle name="20% - Accent1 88" xfId="280"/>
    <cellStyle name="20% - Accent1 89" xfId="281"/>
    <cellStyle name="20% - Accent1 9" xfId="282"/>
    <cellStyle name="20% - Accent1 9 2" xfId="283"/>
    <cellStyle name="20% - Accent1 9 2 2" xfId="284"/>
    <cellStyle name="20% - Accent1 9 3" xfId="285"/>
    <cellStyle name="20% - Accent1 9 3 2" xfId="286"/>
    <cellStyle name="20% - Accent1 9 4" xfId="287"/>
    <cellStyle name="20% - Accent1 90" xfId="288"/>
    <cellStyle name="20% - Accent1 91" xfId="289"/>
    <cellStyle name="20% - Accent1 92" xfId="290"/>
    <cellStyle name="20% - Accent1 93" xfId="291"/>
    <cellStyle name="20% - Accent1 94" xfId="292"/>
    <cellStyle name="20% - Accent1 95" xfId="293"/>
    <cellStyle name="20% - Accent1 96" xfId="294"/>
    <cellStyle name="20% - Accent1_13-wk VSI_Revised" xfId="295"/>
    <cellStyle name="20% - Accent2" xfId="296"/>
    <cellStyle name="20% - Accent2 10" xfId="297"/>
    <cellStyle name="20% - Accent2 10 2" xfId="298"/>
    <cellStyle name="20% - Accent2 10 2 2" xfId="299"/>
    <cellStyle name="20% - Accent2 10 3" xfId="300"/>
    <cellStyle name="20% - Accent2 10 3 2" xfId="301"/>
    <cellStyle name="20% - Accent2 10 4" xfId="302"/>
    <cellStyle name="20% - Accent2 11" xfId="303"/>
    <cellStyle name="20% - Accent2 11 2" xfId="304"/>
    <cellStyle name="20% - Accent2 11 2 2" xfId="305"/>
    <cellStyle name="20% - Accent2 11 3" xfId="306"/>
    <cellStyle name="20% - Accent2 11 3 2" xfId="307"/>
    <cellStyle name="20% - Accent2 11 4" xfId="308"/>
    <cellStyle name="20% - Accent2 12" xfId="309"/>
    <cellStyle name="20% - Accent2 12 2" xfId="310"/>
    <cellStyle name="20% - Accent2 12 2 2" xfId="311"/>
    <cellStyle name="20% - Accent2 13" xfId="312"/>
    <cellStyle name="20% - Accent2 13 2" xfId="313"/>
    <cellStyle name="20% - Accent2 13 2 2" xfId="314"/>
    <cellStyle name="20% - Accent2 14" xfId="315"/>
    <cellStyle name="20% - Accent2 14 2" xfId="316"/>
    <cellStyle name="20% - Accent2 14 2 2" xfId="317"/>
    <cellStyle name="20% - Accent2 15" xfId="318"/>
    <cellStyle name="20% - Accent2 15 2" xfId="319"/>
    <cellStyle name="20% - Accent2 15 2 2" xfId="320"/>
    <cellStyle name="20% - Accent2 16" xfId="321"/>
    <cellStyle name="20% - Accent2 16 2" xfId="322"/>
    <cellStyle name="20% - Accent2 16 2 2" xfId="323"/>
    <cellStyle name="20% - Accent2 17" xfId="324"/>
    <cellStyle name="20% - Accent2 17 2" xfId="325"/>
    <cellStyle name="20% - Accent2 17 2 2" xfId="326"/>
    <cellStyle name="20% - Accent2 18" xfId="327"/>
    <cellStyle name="20% - Accent2 18 2" xfId="328"/>
    <cellStyle name="20% - Accent2 18 2 2" xfId="329"/>
    <cellStyle name="20% - Accent2 19" xfId="330"/>
    <cellStyle name="20% - Accent2 19 2" xfId="331"/>
    <cellStyle name="20% - Accent2 19 2 2" xfId="332"/>
    <cellStyle name="20% - Accent2 2" xfId="333"/>
    <cellStyle name="20% - Accent2 2 10" xfId="334"/>
    <cellStyle name="20% - Accent2 2 11" xfId="335"/>
    <cellStyle name="20% - Accent2 2 12" xfId="336"/>
    <cellStyle name="20% - Accent2 2 13" xfId="337"/>
    <cellStyle name="20% - Accent2 2 14" xfId="338"/>
    <cellStyle name="20% - Accent2 2 15" xfId="339"/>
    <cellStyle name="20% - Accent2 2 16" xfId="340"/>
    <cellStyle name="20% - Accent2 2 17" xfId="341"/>
    <cellStyle name="20% - Accent2 2 18" xfId="342"/>
    <cellStyle name="20% - Accent2 2 19" xfId="343"/>
    <cellStyle name="20% - Accent2 2 2" xfId="344"/>
    <cellStyle name="20% - Accent2 2 2 2" xfId="345"/>
    <cellStyle name="20% - Accent2 2 2 2 2" xfId="346"/>
    <cellStyle name="20% - Accent2 2 2 3" xfId="347"/>
    <cellStyle name="20% - Accent2 2 2 3 2" xfId="348"/>
    <cellStyle name="20% - Accent2 2 2 4" xfId="349"/>
    <cellStyle name="20% - Accent2 2 2 4 2" xfId="350"/>
    <cellStyle name="20% - Accent2 2 2 5" xfId="351"/>
    <cellStyle name="20% - Accent2 2 2 6" xfId="352"/>
    <cellStyle name="20% - Accent2 2 20" xfId="353"/>
    <cellStyle name="20% - Accent2 2 21" xfId="354"/>
    <cellStyle name="20% - Accent2 2 22" xfId="355"/>
    <cellStyle name="20% - Accent2 2 23" xfId="356"/>
    <cellStyle name="20% - Accent2 2 24" xfId="357"/>
    <cellStyle name="20% - Accent2 2 25" xfId="358"/>
    <cellStyle name="20% - Accent2 2 3" xfId="359"/>
    <cellStyle name="20% - Accent2 2 3 2" xfId="360"/>
    <cellStyle name="20% - Accent2 2 3 3" xfId="361"/>
    <cellStyle name="20% - Accent2 2 4" xfId="362"/>
    <cellStyle name="20% - Accent2 2 4 2" xfId="363"/>
    <cellStyle name="20% - Accent2 2 4 3" xfId="364"/>
    <cellStyle name="20% - Accent2 2 5" xfId="365"/>
    <cellStyle name="20% - Accent2 2 5 2" xfId="366"/>
    <cellStyle name="20% - Accent2 2 5 3" xfId="367"/>
    <cellStyle name="20% - Accent2 2 6" xfId="368"/>
    <cellStyle name="20% - Accent2 2 6 2" xfId="369"/>
    <cellStyle name="20% - Accent2 2 7" xfId="370"/>
    <cellStyle name="20% - Accent2 2 7 2" xfId="371"/>
    <cellStyle name="20% - Accent2 2 8" xfId="372"/>
    <cellStyle name="20% - Accent2 2 8 2" xfId="373"/>
    <cellStyle name="20% - Accent2 2 9" xfId="374"/>
    <cellStyle name="20% - Accent2 20" xfId="375"/>
    <cellStyle name="20% - Accent2 20 2" xfId="376"/>
    <cellStyle name="20% - Accent2 20 2 2" xfId="377"/>
    <cellStyle name="20% - Accent2 21" xfId="378"/>
    <cellStyle name="20% - Accent2 21 2" xfId="379"/>
    <cellStyle name="20% - Accent2 21 2 2" xfId="380"/>
    <cellStyle name="20% - Accent2 22" xfId="381"/>
    <cellStyle name="20% - Accent2 22 2" xfId="382"/>
    <cellStyle name="20% - Accent2 22 2 2" xfId="383"/>
    <cellStyle name="20% - Accent2 23" xfId="384"/>
    <cellStyle name="20% - Accent2 23 2" xfId="385"/>
    <cellStyle name="20% - Accent2 23 2 2" xfId="386"/>
    <cellStyle name="20% - Accent2 23 3" xfId="387"/>
    <cellStyle name="20% - Accent2 24" xfId="388"/>
    <cellStyle name="20% - Accent2 24 2" xfId="389"/>
    <cellStyle name="20% - Accent2 24 2 2" xfId="390"/>
    <cellStyle name="20% - Accent2 24 3" xfId="391"/>
    <cellStyle name="20% - Accent2 25" xfId="392"/>
    <cellStyle name="20% - Accent2 25 2" xfId="393"/>
    <cellStyle name="20% - Accent2 25 3" xfId="394"/>
    <cellStyle name="20% - Accent2 26" xfId="395"/>
    <cellStyle name="20% - Accent2 26 2" xfId="396"/>
    <cellStyle name="20% - Accent2 27" xfId="397"/>
    <cellStyle name="20% - Accent2 27 2" xfId="398"/>
    <cellStyle name="20% - Accent2 28" xfId="399"/>
    <cellStyle name="20% - Accent2 28 2" xfId="400"/>
    <cellStyle name="20% - Accent2 29" xfId="401"/>
    <cellStyle name="20% - Accent2 29 2" xfId="402"/>
    <cellStyle name="20% - Accent2 2_2.VSCN - GSC charge" xfId="403"/>
    <cellStyle name="20% - Accent2 3" xfId="404"/>
    <cellStyle name="20% - Accent2 3 2" xfId="405"/>
    <cellStyle name="20% - Accent2 3 2 2" xfId="406"/>
    <cellStyle name="20% - Accent2 3 2 3" xfId="407"/>
    <cellStyle name="20% - Accent2 3 3" xfId="408"/>
    <cellStyle name="20% - Accent2 3 3 2" xfId="409"/>
    <cellStyle name="20% - Accent2 3 3 3" xfId="410"/>
    <cellStyle name="20% - Accent2 3 4" xfId="411"/>
    <cellStyle name="20% - Accent2 3 4 2" xfId="412"/>
    <cellStyle name="20% - Accent2 3 5" xfId="413"/>
    <cellStyle name="20% - Accent2 3 5 2" xfId="414"/>
    <cellStyle name="20% - Accent2 3 6" xfId="415"/>
    <cellStyle name="20% - Accent2 3 7" xfId="416"/>
    <cellStyle name="20% - Accent2 30" xfId="417"/>
    <cellStyle name="20% - Accent2 30 2" xfId="418"/>
    <cellStyle name="20% - Accent2 31" xfId="419"/>
    <cellStyle name="20% - Accent2 31 2" xfId="420"/>
    <cellStyle name="20% - Accent2 32" xfId="421"/>
    <cellStyle name="20% - Accent2 32 2" xfId="422"/>
    <cellStyle name="20% - Accent2 33" xfId="423"/>
    <cellStyle name="20% - Accent2 33 2" xfId="424"/>
    <cellStyle name="20% - Accent2 34" xfId="425"/>
    <cellStyle name="20% - Accent2 34 2" xfId="426"/>
    <cellStyle name="20% - Accent2 35" xfId="427"/>
    <cellStyle name="20% - Accent2 35 2" xfId="428"/>
    <cellStyle name="20% - Accent2 36" xfId="429"/>
    <cellStyle name="20% - Accent2 36 2" xfId="430"/>
    <cellStyle name="20% - Accent2 37" xfId="431"/>
    <cellStyle name="20% - Accent2 37 2" xfId="432"/>
    <cellStyle name="20% - Accent2 38" xfId="433"/>
    <cellStyle name="20% - Accent2 38 2" xfId="434"/>
    <cellStyle name="20% - Accent2 39" xfId="435"/>
    <cellStyle name="20% - Accent2 39 2" xfId="436"/>
    <cellStyle name="20% - Accent2 3_Before Allocation" xfId="437"/>
    <cellStyle name="20% - Accent2 4" xfId="438"/>
    <cellStyle name="20% - Accent2 4 2" xfId="439"/>
    <cellStyle name="20% - Accent2 4 2 2" xfId="440"/>
    <cellStyle name="20% - Accent2 4 2 3" xfId="441"/>
    <cellStyle name="20% - Accent2 4 3" xfId="442"/>
    <cellStyle name="20% - Accent2 4 3 2" xfId="443"/>
    <cellStyle name="20% - Accent2 4 3 3" xfId="444"/>
    <cellStyle name="20% - Accent2 4 4" xfId="445"/>
    <cellStyle name="20% - Accent2 4 4 2" xfId="446"/>
    <cellStyle name="20% - Accent2 4 5" xfId="447"/>
    <cellStyle name="20% - Accent2 4 5 2" xfId="448"/>
    <cellStyle name="20% - Accent2 4 6" xfId="449"/>
    <cellStyle name="20% - Accent2 4 7" xfId="450"/>
    <cellStyle name="20% - Accent2 40" xfId="451"/>
    <cellStyle name="20% - Accent2 40 2" xfId="452"/>
    <cellStyle name="20% - Accent2 41" xfId="453"/>
    <cellStyle name="20% - Accent2 41 2" xfId="454"/>
    <cellStyle name="20% - Accent2 42" xfId="455"/>
    <cellStyle name="20% - Accent2 43" xfId="456"/>
    <cellStyle name="20% - Accent2 44" xfId="457"/>
    <cellStyle name="20% - Accent2 45" xfId="458"/>
    <cellStyle name="20% - Accent2 46" xfId="459"/>
    <cellStyle name="20% - Accent2 47" xfId="460"/>
    <cellStyle name="20% - Accent2 48" xfId="461"/>
    <cellStyle name="20% - Accent2 49" xfId="462"/>
    <cellStyle name="20% - Accent2 4_Before Allocation" xfId="463"/>
    <cellStyle name="20% - Accent2 5" xfId="464"/>
    <cellStyle name="20% - Accent2 5 2" xfId="465"/>
    <cellStyle name="20% - Accent2 5 2 2" xfId="466"/>
    <cellStyle name="20% - Accent2 5 2 3" xfId="467"/>
    <cellStyle name="20% - Accent2 5 3" xfId="468"/>
    <cellStyle name="20% - Accent2 5 3 2" xfId="469"/>
    <cellStyle name="20% - Accent2 5 4" xfId="470"/>
    <cellStyle name="20% - Accent2 5 4 2" xfId="471"/>
    <cellStyle name="20% - Accent2 5 5" xfId="472"/>
    <cellStyle name="20% - Accent2 50" xfId="473"/>
    <cellStyle name="20% - Accent2 51" xfId="474"/>
    <cellStyle name="20% - Accent2 52" xfId="475"/>
    <cellStyle name="20% - Accent2 53" xfId="476"/>
    <cellStyle name="20% - Accent2 54" xfId="477"/>
    <cellStyle name="20% - Accent2 55" xfId="478"/>
    <cellStyle name="20% - Accent2 56" xfId="479"/>
    <cellStyle name="20% - Accent2 57" xfId="480"/>
    <cellStyle name="20% - Accent2 58" xfId="481"/>
    <cellStyle name="20% - Accent2 59" xfId="482"/>
    <cellStyle name="20% - Accent2 6" xfId="483"/>
    <cellStyle name="20% - Accent2 6 2" xfId="484"/>
    <cellStyle name="20% - Accent2 6 2 2" xfId="485"/>
    <cellStyle name="20% - Accent2 6 3" xfId="486"/>
    <cellStyle name="20% - Accent2 6 3 2" xfId="487"/>
    <cellStyle name="20% - Accent2 6 4" xfId="488"/>
    <cellStyle name="20% - Accent2 60" xfId="489"/>
    <cellStyle name="20% - Accent2 61" xfId="490"/>
    <cellStyle name="20% - Accent2 62" xfId="491"/>
    <cellStyle name="20% - Accent2 63" xfId="492"/>
    <cellStyle name="20% - Accent2 64" xfId="493"/>
    <cellStyle name="20% - Accent2 65" xfId="494"/>
    <cellStyle name="20% - Accent2 66" xfId="495"/>
    <cellStyle name="20% - Accent2 67" xfId="496"/>
    <cellStyle name="20% - Accent2 68" xfId="497"/>
    <cellStyle name="20% - Accent2 69" xfId="498"/>
    <cellStyle name="20% - Accent2 7" xfId="499"/>
    <cellStyle name="20% - Accent2 7 2" xfId="500"/>
    <cellStyle name="20% - Accent2 7 2 2" xfId="501"/>
    <cellStyle name="20% - Accent2 7 3" xfId="502"/>
    <cellStyle name="20% - Accent2 7 3 2" xfId="503"/>
    <cellStyle name="20% - Accent2 7 4" xfId="504"/>
    <cellStyle name="20% - Accent2 70" xfId="505"/>
    <cellStyle name="20% - Accent2 71" xfId="506"/>
    <cellStyle name="20% - Accent2 72" xfId="507"/>
    <cellStyle name="20% - Accent2 73" xfId="508"/>
    <cellStyle name="20% - Accent2 74" xfId="509"/>
    <cellStyle name="20% - Accent2 75" xfId="510"/>
    <cellStyle name="20% - Accent2 76" xfId="511"/>
    <cellStyle name="20% - Accent2 77" xfId="512"/>
    <cellStyle name="20% - Accent2 78" xfId="513"/>
    <cellStyle name="20% - Accent2 79" xfId="514"/>
    <cellStyle name="20% - Accent2 8" xfId="515"/>
    <cellStyle name="20% - Accent2 8 2" xfId="516"/>
    <cellStyle name="20% - Accent2 8 2 2" xfId="517"/>
    <cellStyle name="20% - Accent2 8 3" xfId="518"/>
    <cellStyle name="20% - Accent2 8 3 2" xfId="519"/>
    <cellStyle name="20% - Accent2 8 4" xfId="520"/>
    <cellStyle name="20% - Accent2 80" xfId="521"/>
    <cellStyle name="20% - Accent2 81" xfId="522"/>
    <cellStyle name="20% - Accent2 82" xfId="523"/>
    <cellStyle name="20% - Accent2 83" xfId="524"/>
    <cellStyle name="20% - Accent2 84" xfId="525"/>
    <cellStyle name="20% - Accent2 85" xfId="526"/>
    <cellStyle name="20% - Accent2 86" xfId="527"/>
    <cellStyle name="20% - Accent2 87" xfId="528"/>
    <cellStyle name="20% - Accent2 88" xfId="529"/>
    <cellStyle name="20% - Accent2 89" xfId="530"/>
    <cellStyle name="20% - Accent2 9" xfId="531"/>
    <cellStyle name="20% - Accent2 9 2" xfId="532"/>
    <cellStyle name="20% - Accent2 9 2 2" xfId="533"/>
    <cellStyle name="20% - Accent2 9 3" xfId="534"/>
    <cellStyle name="20% - Accent2 9 3 2" xfId="535"/>
    <cellStyle name="20% - Accent2 9 4" xfId="536"/>
    <cellStyle name="20% - Accent2 90" xfId="537"/>
    <cellStyle name="20% - Accent2 91" xfId="538"/>
    <cellStyle name="20% - Accent2 92" xfId="539"/>
    <cellStyle name="20% - Accent2 93" xfId="540"/>
    <cellStyle name="20% - Accent2 94" xfId="541"/>
    <cellStyle name="20% - Accent2 95" xfId="542"/>
    <cellStyle name="20% - Accent2 96" xfId="543"/>
    <cellStyle name="20% - Accent2_13-wk VSI_Revised" xfId="544"/>
    <cellStyle name="20% - Accent3" xfId="545"/>
    <cellStyle name="20% - Accent3 10" xfId="546"/>
    <cellStyle name="20% - Accent3 10 2" xfId="547"/>
    <cellStyle name="20% - Accent3 10 2 2" xfId="548"/>
    <cellStyle name="20% - Accent3 10 3" xfId="549"/>
    <cellStyle name="20% - Accent3 10 3 2" xfId="550"/>
    <cellStyle name="20% - Accent3 10 4" xfId="551"/>
    <cellStyle name="20% - Accent3 11" xfId="552"/>
    <cellStyle name="20% - Accent3 11 2" xfId="553"/>
    <cellStyle name="20% - Accent3 11 2 2" xfId="554"/>
    <cellStyle name="20% - Accent3 11 3" xfId="555"/>
    <cellStyle name="20% - Accent3 11 3 2" xfId="556"/>
    <cellStyle name="20% - Accent3 11 4" xfId="557"/>
    <cellStyle name="20% - Accent3 12" xfId="558"/>
    <cellStyle name="20% - Accent3 12 2" xfId="559"/>
    <cellStyle name="20% - Accent3 12 2 2" xfId="560"/>
    <cellStyle name="20% - Accent3 13" xfId="561"/>
    <cellStyle name="20% - Accent3 13 2" xfId="562"/>
    <cellStyle name="20% - Accent3 13 2 2" xfId="563"/>
    <cellStyle name="20% - Accent3 14" xfId="564"/>
    <cellStyle name="20% - Accent3 14 2" xfId="565"/>
    <cellStyle name="20% - Accent3 14 2 2" xfId="566"/>
    <cellStyle name="20% - Accent3 15" xfId="567"/>
    <cellStyle name="20% - Accent3 15 2" xfId="568"/>
    <cellStyle name="20% - Accent3 15 2 2" xfId="569"/>
    <cellStyle name="20% - Accent3 16" xfId="570"/>
    <cellStyle name="20% - Accent3 16 2" xfId="571"/>
    <cellStyle name="20% - Accent3 16 2 2" xfId="572"/>
    <cellStyle name="20% - Accent3 17" xfId="573"/>
    <cellStyle name="20% - Accent3 17 2" xfId="574"/>
    <cellStyle name="20% - Accent3 17 2 2" xfId="575"/>
    <cellStyle name="20% - Accent3 18" xfId="576"/>
    <cellStyle name="20% - Accent3 18 2" xfId="577"/>
    <cellStyle name="20% - Accent3 18 2 2" xfId="578"/>
    <cellStyle name="20% - Accent3 19" xfId="579"/>
    <cellStyle name="20% - Accent3 19 2" xfId="580"/>
    <cellStyle name="20% - Accent3 19 2 2" xfId="581"/>
    <cellStyle name="20% - Accent3 2" xfId="582"/>
    <cellStyle name="20% - Accent3 2 10" xfId="583"/>
    <cellStyle name="20% - Accent3 2 11" xfId="584"/>
    <cellStyle name="20% - Accent3 2 12" xfId="585"/>
    <cellStyle name="20% - Accent3 2 13" xfId="586"/>
    <cellStyle name="20% - Accent3 2 14" xfId="587"/>
    <cellStyle name="20% - Accent3 2 15" xfId="588"/>
    <cellStyle name="20% - Accent3 2 16" xfId="589"/>
    <cellStyle name="20% - Accent3 2 17" xfId="590"/>
    <cellStyle name="20% - Accent3 2 18" xfId="591"/>
    <cellStyle name="20% - Accent3 2 19" xfId="592"/>
    <cellStyle name="20% - Accent3 2 2" xfId="593"/>
    <cellStyle name="20% - Accent3 2 2 2" xfId="594"/>
    <cellStyle name="20% - Accent3 2 2 2 2" xfId="595"/>
    <cellStyle name="20% - Accent3 2 2 3" xfId="596"/>
    <cellStyle name="20% - Accent3 2 2 3 2" xfId="597"/>
    <cellStyle name="20% - Accent3 2 2 4" xfId="598"/>
    <cellStyle name="20% - Accent3 2 2 4 2" xfId="599"/>
    <cellStyle name="20% - Accent3 2 2 5" xfId="600"/>
    <cellStyle name="20% - Accent3 2 2 6" xfId="601"/>
    <cellStyle name="20% - Accent3 2 20" xfId="602"/>
    <cellStyle name="20% - Accent3 2 21" xfId="603"/>
    <cellStyle name="20% - Accent3 2 22" xfId="604"/>
    <cellStyle name="20% - Accent3 2 23" xfId="605"/>
    <cellStyle name="20% - Accent3 2 24" xfId="606"/>
    <cellStyle name="20% - Accent3 2 25" xfId="607"/>
    <cellStyle name="20% - Accent3 2 3" xfId="608"/>
    <cellStyle name="20% - Accent3 2 3 2" xfId="609"/>
    <cellStyle name="20% - Accent3 2 3 3" xfId="610"/>
    <cellStyle name="20% - Accent3 2 4" xfId="611"/>
    <cellStyle name="20% - Accent3 2 4 2" xfId="612"/>
    <cellStyle name="20% - Accent3 2 4 3" xfId="613"/>
    <cellStyle name="20% - Accent3 2 5" xfId="614"/>
    <cellStyle name="20% - Accent3 2 5 2" xfId="615"/>
    <cellStyle name="20% - Accent3 2 5 3" xfId="616"/>
    <cellStyle name="20% - Accent3 2 6" xfId="617"/>
    <cellStyle name="20% - Accent3 2 6 2" xfId="618"/>
    <cellStyle name="20% - Accent3 2 7" xfId="619"/>
    <cellStyle name="20% - Accent3 2 7 2" xfId="620"/>
    <cellStyle name="20% - Accent3 2 8" xfId="621"/>
    <cellStyle name="20% - Accent3 2 8 2" xfId="622"/>
    <cellStyle name="20% - Accent3 2 9" xfId="623"/>
    <cellStyle name="20% - Accent3 20" xfId="624"/>
    <cellStyle name="20% - Accent3 20 2" xfId="625"/>
    <cellStyle name="20% - Accent3 20 2 2" xfId="626"/>
    <cellStyle name="20% - Accent3 21" xfId="627"/>
    <cellStyle name="20% - Accent3 21 2" xfId="628"/>
    <cellStyle name="20% - Accent3 21 2 2" xfId="629"/>
    <cellStyle name="20% - Accent3 22" xfId="630"/>
    <cellStyle name="20% - Accent3 22 2" xfId="631"/>
    <cellStyle name="20% - Accent3 22 2 2" xfId="632"/>
    <cellStyle name="20% - Accent3 23" xfId="633"/>
    <cellStyle name="20% - Accent3 23 2" xfId="634"/>
    <cellStyle name="20% - Accent3 23 2 2" xfId="635"/>
    <cellStyle name="20% - Accent3 23 3" xfId="636"/>
    <cellStyle name="20% - Accent3 24" xfId="637"/>
    <cellStyle name="20% - Accent3 24 2" xfId="638"/>
    <cellStyle name="20% - Accent3 24 2 2" xfId="639"/>
    <cellStyle name="20% - Accent3 24 3" xfId="640"/>
    <cellStyle name="20% - Accent3 25" xfId="641"/>
    <cellStyle name="20% - Accent3 25 2" xfId="642"/>
    <cellStyle name="20% - Accent3 25 3" xfId="643"/>
    <cellStyle name="20% - Accent3 26" xfId="644"/>
    <cellStyle name="20% - Accent3 26 2" xfId="645"/>
    <cellStyle name="20% - Accent3 27" xfId="646"/>
    <cellStyle name="20% - Accent3 27 2" xfId="647"/>
    <cellStyle name="20% - Accent3 28" xfId="648"/>
    <cellStyle name="20% - Accent3 28 2" xfId="649"/>
    <cellStyle name="20% - Accent3 29" xfId="650"/>
    <cellStyle name="20% - Accent3 29 2" xfId="651"/>
    <cellStyle name="20% - Accent3 2_2.VSCN - GSC charge" xfId="652"/>
    <cellStyle name="20% - Accent3 3" xfId="653"/>
    <cellStyle name="20% - Accent3 3 2" xfId="654"/>
    <cellStyle name="20% - Accent3 3 2 2" xfId="655"/>
    <cellStyle name="20% - Accent3 3 2 3" xfId="656"/>
    <cellStyle name="20% - Accent3 3 3" xfId="657"/>
    <cellStyle name="20% - Accent3 3 3 2" xfId="658"/>
    <cellStyle name="20% - Accent3 3 3 3" xfId="659"/>
    <cellStyle name="20% - Accent3 3 4" xfId="660"/>
    <cellStyle name="20% - Accent3 3 4 2" xfId="661"/>
    <cellStyle name="20% - Accent3 3 5" xfId="662"/>
    <cellStyle name="20% - Accent3 3 5 2" xfId="663"/>
    <cellStyle name="20% - Accent3 3 6" xfId="664"/>
    <cellStyle name="20% - Accent3 3 7" xfId="665"/>
    <cellStyle name="20% - Accent3 30" xfId="666"/>
    <cellStyle name="20% - Accent3 30 2" xfId="667"/>
    <cellStyle name="20% - Accent3 31" xfId="668"/>
    <cellStyle name="20% - Accent3 31 2" xfId="669"/>
    <cellStyle name="20% - Accent3 32" xfId="670"/>
    <cellStyle name="20% - Accent3 32 2" xfId="671"/>
    <cellStyle name="20% - Accent3 33" xfId="672"/>
    <cellStyle name="20% - Accent3 33 2" xfId="673"/>
    <cellStyle name="20% - Accent3 34" xfId="674"/>
    <cellStyle name="20% - Accent3 34 2" xfId="675"/>
    <cellStyle name="20% - Accent3 35" xfId="676"/>
    <cellStyle name="20% - Accent3 35 2" xfId="677"/>
    <cellStyle name="20% - Accent3 36" xfId="678"/>
    <cellStyle name="20% - Accent3 36 2" xfId="679"/>
    <cellStyle name="20% - Accent3 37" xfId="680"/>
    <cellStyle name="20% - Accent3 37 2" xfId="681"/>
    <cellStyle name="20% - Accent3 38" xfId="682"/>
    <cellStyle name="20% - Accent3 38 2" xfId="683"/>
    <cellStyle name="20% - Accent3 39" xfId="684"/>
    <cellStyle name="20% - Accent3 39 2" xfId="685"/>
    <cellStyle name="20% - Accent3 3_Before Allocation" xfId="686"/>
    <cellStyle name="20% - Accent3 4" xfId="687"/>
    <cellStyle name="20% - Accent3 4 2" xfId="688"/>
    <cellStyle name="20% - Accent3 4 2 2" xfId="689"/>
    <cellStyle name="20% - Accent3 4 2 3" xfId="690"/>
    <cellStyle name="20% - Accent3 4 3" xfId="691"/>
    <cellStyle name="20% - Accent3 4 3 2" xfId="692"/>
    <cellStyle name="20% - Accent3 4 3 3" xfId="693"/>
    <cellStyle name="20% - Accent3 4 4" xfId="694"/>
    <cellStyle name="20% - Accent3 4 4 2" xfId="695"/>
    <cellStyle name="20% - Accent3 4 5" xfId="696"/>
    <cellStyle name="20% - Accent3 4 5 2" xfId="697"/>
    <cellStyle name="20% - Accent3 4 6" xfId="698"/>
    <cellStyle name="20% - Accent3 4 7" xfId="699"/>
    <cellStyle name="20% - Accent3 40" xfId="700"/>
    <cellStyle name="20% - Accent3 40 2" xfId="701"/>
    <cellStyle name="20% - Accent3 41" xfId="702"/>
    <cellStyle name="20% - Accent3 41 2" xfId="703"/>
    <cellStyle name="20% - Accent3 42" xfId="704"/>
    <cellStyle name="20% - Accent3 43" xfId="705"/>
    <cellStyle name="20% - Accent3 44" xfId="706"/>
    <cellStyle name="20% - Accent3 45" xfId="707"/>
    <cellStyle name="20% - Accent3 46" xfId="708"/>
    <cellStyle name="20% - Accent3 47" xfId="709"/>
    <cellStyle name="20% - Accent3 48" xfId="710"/>
    <cellStyle name="20% - Accent3 49" xfId="711"/>
    <cellStyle name="20% - Accent3 4_Before Allocation" xfId="712"/>
    <cellStyle name="20% - Accent3 5" xfId="713"/>
    <cellStyle name="20% - Accent3 5 2" xfId="714"/>
    <cellStyle name="20% - Accent3 5 2 2" xfId="715"/>
    <cellStyle name="20% - Accent3 5 2 3" xfId="716"/>
    <cellStyle name="20% - Accent3 5 3" xfId="717"/>
    <cellStyle name="20% - Accent3 5 3 2" xfId="718"/>
    <cellStyle name="20% - Accent3 5 4" xfId="719"/>
    <cellStyle name="20% - Accent3 5 4 2" xfId="720"/>
    <cellStyle name="20% - Accent3 5 5" xfId="721"/>
    <cellStyle name="20% - Accent3 50" xfId="722"/>
    <cellStyle name="20% - Accent3 51" xfId="723"/>
    <cellStyle name="20% - Accent3 52" xfId="724"/>
    <cellStyle name="20% - Accent3 53" xfId="725"/>
    <cellStyle name="20% - Accent3 54" xfId="726"/>
    <cellStyle name="20% - Accent3 55" xfId="727"/>
    <cellStyle name="20% - Accent3 56" xfId="728"/>
    <cellStyle name="20% - Accent3 57" xfId="729"/>
    <cellStyle name="20% - Accent3 58" xfId="730"/>
    <cellStyle name="20% - Accent3 59" xfId="731"/>
    <cellStyle name="20% - Accent3 6" xfId="732"/>
    <cellStyle name="20% - Accent3 6 2" xfId="733"/>
    <cellStyle name="20% - Accent3 6 2 2" xfId="734"/>
    <cellStyle name="20% - Accent3 6 3" xfId="735"/>
    <cellStyle name="20% - Accent3 6 3 2" xfId="736"/>
    <cellStyle name="20% - Accent3 6 4" xfId="737"/>
    <cellStyle name="20% - Accent3 60" xfId="738"/>
    <cellStyle name="20% - Accent3 61" xfId="739"/>
    <cellStyle name="20% - Accent3 62" xfId="740"/>
    <cellStyle name="20% - Accent3 63" xfId="741"/>
    <cellStyle name="20% - Accent3 64" xfId="742"/>
    <cellStyle name="20% - Accent3 65" xfId="743"/>
    <cellStyle name="20% - Accent3 66" xfId="744"/>
    <cellStyle name="20% - Accent3 67" xfId="745"/>
    <cellStyle name="20% - Accent3 68" xfId="746"/>
    <cellStyle name="20% - Accent3 69" xfId="747"/>
    <cellStyle name="20% - Accent3 7" xfId="748"/>
    <cellStyle name="20% - Accent3 7 2" xfId="749"/>
    <cellStyle name="20% - Accent3 7 2 2" xfId="750"/>
    <cellStyle name="20% - Accent3 7 3" xfId="751"/>
    <cellStyle name="20% - Accent3 7 3 2" xfId="752"/>
    <cellStyle name="20% - Accent3 7 4" xfId="753"/>
    <cellStyle name="20% - Accent3 70" xfId="754"/>
    <cellStyle name="20% - Accent3 71" xfId="755"/>
    <cellStyle name="20% - Accent3 72" xfId="756"/>
    <cellStyle name="20% - Accent3 73" xfId="757"/>
    <cellStyle name="20% - Accent3 74" xfId="758"/>
    <cellStyle name="20% - Accent3 75" xfId="759"/>
    <cellStyle name="20% - Accent3 76" xfId="760"/>
    <cellStyle name="20% - Accent3 77" xfId="761"/>
    <cellStyle name="20% - Accent3 78" xfId="762"/>
    <cellStyle name="20% - Accent3 79" xfId="763"/>
    <cellStyle name="20% - Accent3 8" xfId="764"/>
    <cellStyle name="20% - Accent3 8 2" xfId="765"/>
    <cellStyle name="20% - Accent3 8 2 2" xfId="766"/>
    <cellStyle name="20% - Accent3 8 3" xfId="767"/>
    <cellStyle name="20% - Accent3 8 3 2" xfId="768"/>
    <cellStyle name="20% - Accent3 8 4" xfId="769"/>
    <cellStyle name="20% - Accent3 80" xfId="770"/>
    <cellStyle name="20% - Accent3 81" xfId="771"/>
    <cellStyle name="20% - Accent3 82" xfId="772"/>
    <cellStyle name="20% - Accent3 83" xfId="773"/>
    <cellStyle name="20% - Accent3 84" xfId="774"/>
    <cellStyle name="20% - Accent3 85" xfId="775"/>
    <cellStyle name="20% - Accent3 86" xfId="776"/>
    <cellStyle name="20% - Accent3 87" xfId="777"/>
    <cellStyle name="20% - Accent3 88" xfId="778"/>
    <cellStyle name="20% - Accent3 89" xfId="779"/>
    <cellStyle name="20% - Accent3 9" xfId="780"/>
    <cellStyle name="20% - Accent3 9 2" xfId="781"/>
    <cellStyle name="20% - Accent3 9 2 2" xfId="782"/>
    <cellStyle name="20% - Accent3 9 3" xfId="783"/>
    <cellStyle name="20% - Accent3 9 3 2" xfId="784"/>
    <cellStyle name="20% - Accent3 9 4" xfId="785"/>
    <cellStyle name="20% - Accent3 90" xfId="786"/>
    <cellStyle name="20% - Accent3 91" xfId="787"/>
    <cellStyle name="20% - Accent3 92" xfId="788"/>
    <cellStyle name="20% - Accent3 93" xfId="789"/>
    <cellStyle name="20% - Accent3 94" xfId="790"/>
    <cellStyle name="20% - Accent3 95" xfId="791"/>
    <cellStyle name="20% - Accent3 96" xfId="792"/>
    <cellStyle name="20% - Accent3_13-wk VSI_Revised" xfId="793"/>
    <cellStyle name="20% - Accent4" xfId="794"/>
    <cellStyle name="20% - Accent4 10" xfId="795"/>
    <cellStyle name="20% - Accent4 10 2" xfId="796"/>
    <cellStyle name="20% - Accent4 10 2 2" xfId="797"/>
    <cellStyle name="20% - Accent4 10 3" xfId="798"/>
    <cellStyle name="20% - Accent4 10 3 2" xfId="799"/>
    <cellStyle name="20% - Accent4 10 4" xfId="800"/>
    <cellStyle name="20% - Accent4 11" xfId="801"/>
    <cellStyle name="20% - Accent4 11 2" xfId="802"/>
    <cellStyle name="20% - Accent4 11 2 2" xfId="803"/>
    <cellStyle name="20% - Accent4 11 3" xfId="804"/>
    <cellStyle name="20% - Accent4 11 3 2" xfId="805"/>
    <cellStyle name="20% - Accent4 11 4" xfId="806"/>
    <cellStyle name="20% - Accent4 12" xfId="807"/>
    <cellStyle name="20% - Accent4 12 2" xfId="808"/>
    <cellStyle name="20% - Accent4 12 2 2" xfId="809"/>
    <cellStyle name="20% - Accent4 13" xfId="810"/>
    <cellStyle name="20% - Accent4 13 2" xfId="811"/>
    <cellStyle name="20% - Accent4 13 2 2" xfId="812"/>
    <cellStyle name="20% - Accent4 14" xfId="813"/>
    <cellStyle name="20% - Accent4 14 2" xfId="814"/>
    <cellStyle name="20% - Accent4 14 2 2" xfId="815"/>
    <cellStyle name="20% - Accent4 15" xfId="816"/>
    <cellStyle name="20% - Accent4 15 2" xfId="817"/>
    <cellStyle name="20% - Accent4 15 2 2" xfId="818"/>
    <cellStyle name="20% - Accent4 16" xfId="819"/>
    <cellStyle name="20% - Accent4 16 2" xfId="820"/>
    <cellStyle name="20% - Accent4 16 2 2" xfId="821"/>
    <cellStyle name="20% - Accent4 17" xfId="822"/>
    <cellStyle name="20% - Accent4 17 2" xfId="823"/>
    <cellStyle name="20% - Accent4 17 2 2" xfId="824"/>
    <cellStyle name="20% - Accent4 18" xfId="825"/>
    <cellStyle name="20% - Accent4 18 2" xfId="826"/>
    <cellStyle name="20% - Accent4 18 2 2" xfId="827"/>
    <cellStyle name="20% - Accent4 19" xfId="828"/>
    <cellStyle name="20% - Accent4 19 2" xfId="829"/>
    <cellStyle name="20% - Accent4 19 2 2" xfId="830"/>
    <cellStyle name="20% - Accent4 2" xfId="831"/>
    <cellStyle name="20% - Accent4 2 10" xfId="832"/>
    <cellStyle name="20% - Accent4 2 11" xfId="833"/>
    <cellStyle name="20% - Accent4 2 12" xfId="834"/>
    <cellStyle name="20% - Accent4 2 13" xfId="835"/>
    <cellStyle name="20% - Accent4 2 14" xfId="836"/>
    <cellStyle name="20% - Accent4 2 15" xfId="837"/>
    <cellStyle name="20% - Accent4 2 16" xfId="838"/>
    <cellStyle name="20% - Accent4 2 17" xfId="839"/>
    <cellStyle name="20% - Accent4 2 18" xfId="840"/>
    <cellStyle name="20% - Accent4 2 19" xfId="841"/>
    <cellStyle name="20% - Accent4 2 2" xfId="842"/>
    <cellStyle name="20% - Accent4 2 2 2" xfId="843"/>
    <cellStyle name="20% - Accent4 2 2 2 2" xfId="844"/>
    <cellStyle name="20% - Accent4 2 2 3" xfId="845"/>
    <cellStyle name="20% - Accent4 2 2 3 2" xfId="846"/>
    <cellStyle name="20% - Accent4 2 2 4" xfId="847"/>
    <cellStyle name="20% - Accent4 2 2 4 2" xfId="848"/>
    <cellStyle name="20% - Accent4 2 2 5" xfId="849"/>
    <cellStyle name="20% - Accent4 2 2 6" xfId="850"/>
    <cellStyle name="20% - Accent4 2 20" xfId="851"/>
    <cellStyle name="20% - Accent4 2 21" xfId="852"/>
    <cellStyle name="20% - Accent4 2 22" xfId="853"/>
    <cellStyle name="20% - Accent4 2 23" xfId="854"/>
    <cellStyle name="20% - Accent4 2 24" xfId="855"/>
    <cellStyle name="20% - Accent4 2 25" xfId="856"/>
    <cellStyle name="20% - Accent4 2 3" xfId="857"/>
    <cellStyle name="20% - Accent4 2 3 2" xfId="858"/>
    <cellStyle name="20% - Accent4 2 3 3" xfId="859"/>
    <cellStyle name="20% - Accent4 2 4" xfId="860"/>
    <cellStyle name="20% - Accent4 2 4 2" xfId="861"/>
    <cellStyle name="20% - Accent4 2 4 3" xfId="862"/>
    <cellStyle name="20% - Accent4 2 5" xfId="863"/>
    <cellStyle name="20% - Accent4 2 5 2" xfId="864"/>
    <cellStyle name="20% - Accent4 2 5 3" xfId="865"/>
    <cellStyle name="20% - Accent4 2 6" xfId="866"/>
    <cellStyle name="20% - Accent4 2 6 2" xfId="867"/>
    <cellStyle name="20% - Accent4 2 7" xfId="868"/>
    <cellStyle name="20% - Accent4 2 7 2" xfId="869"/>
    <cellStyle name="20% - Accent4 2 8" xfId="870"/>
    <cellStyle name="20% - Accent4 2 8 2" xfId="871"/>
    <cellStyle name="20% - Accent4 2 9" xfId="872"/>
    <cellStyle name="20% - Accent4 20" xfId="873"/>
    <cellStyle name="20% - Accent4 20 2" xfId="874"/>
    <cellStyle name="20% - Accent4 20 2 2" xfId="875"/>
    <cellStyle name="20% - Accent4 21" xfId="876"/>
    <cellStyle name="20% - Accent4 21 2" xfId="877"/>
    <cellStyle name="20% - Accent4 21 2 2" xfId="878"/>
    <cellStyle name="20% - Accent4 22" xfId="879"/>
    <cellStyle name="20% - Accent4 22 2" xfId="880"/>
    <cellStyle name="20% - Accent4 22 2 2" xfId="881"/>
    <cellStyle name="20% - Accent4 23" xfId="882"/>
    <cellStyle name="20% - Accent4 23 2" xfId="883"/>
    <cellStyle name="20% - Accent4 23 2 2" xfId="884"/>
    <cellStyle name="20% - Accent4 23 3" xfId="885"/>
    <cellStyle name="20% - Accent4 24" xfId="886"/>
    <cellStyle name="20% - Accent4 24 2" xfId="887"/>
    <cellStyle name="20% - Accent4 24 2 2" xfId="888"/>
    <cellStyle name="20% - Accent4 24 3" xfId="889"/>
    <cellStyle name="20% - Accent4 25" xfId="890"/>
    <cellStyle name="20% - Accent4 25 2" xfId="891"/>
    <cellStyle name="20% - Accent4 25 3" xfId="892"/>
    <cellStyle name="20% - Accent4 26" xfId="893"/>
    <cellStyle name="20% - Accent4 26 2" xfId="894"/>
    <cellStyle name="20% - Accent4 27" xfId="895"/>
    <cellStyle name="20% - Accent4 27 2" xfId="896"/>
    <cellStyle name="20% - Accent4 28" xfId="897"/>
    <cellStyle name="20% - Accent4 28 2" xfId="898"/>
    <cellStyle name="20% - Accent4 29" xfId="899"/>
    <cellStyle name="20% - Accent4 29 2" xfId="900"/>
    <cellStyle name="20% - Accent4 2_2.VSCN - GSC charge" xfId="901"/>
    <cellStyle name="20% - Accent4 3" xfId="902"/>
    <cellStyle name="20% - Accent4 3 2" xfId="903"/>
    <cellStyle name="20% - Accent4 3 2 2" xfId="904"/>
    <cellStyle name="20% - Accent4 3 2 3" xfId="905"/>
    <cellStyle name="20% - Accent4 3 3" xfId="906"/>
    <cellStyle name="20% - Accent4 3 3 2" xfId="907"/>
    <cellStyle name="20% - Accent4 3 3 3" xfId="908"/>
    <cellStyle name="20% - Accent4 3 4" xfId="909"/>
    <cellStyle name="20% - Accent4 3 4 2" xfId="910"/>
    <cellStyle name="20% - Accent4 3 5" xfId="911"/>
    <cellStyle name="20% - Accent4 3 5 2" xfId="912"/>
    <cellStyle name="20% - Accent4 3 6" xfId="913"/>
    <cellStyle name="20% - Accent4 3 7" xfId="914"/>
    <cellStyle name="20% - Accent4 30" xfId="915"/>
    <cellStyle name="20% - Accent4 30 2" xfId="916"/>
    <cellStyle name="20% - Accent4 31" xfId="917"/>
    <cellStyle name="20% - Accent4 31 2" xfId="918"/>
    <cellStyle name="20% - Accent4 32" xfId="919"/>
    <cellStyle name="20% - Accent4 32 2" xfId="920"/>
    <cellStyle name="20% - Accent4 33" xfId="921"/>
    <cellStyle name="20% - Accent4 33 2" xfId="922"/>
    <cellStyle name="20% - Accent4 34" xfId="923"/>
    <cellStyle name="20% - Accent4 34 2" xfId="924"/>
    <cellStyle name="20% - Accent4 35" xfId="925"/>
    <cellStyle name="20% - Accent4 35 2" xfId="926"/>
    <cellStyle name="20% - Accent4 36" xfId="927"/>
    <cellStyle name="20% - Accent4 36 2" xfId="928"/>
    <cellStyle name="20% - Accent4 37" xfId="929"/>
    <cellStyle name="20% - Accent4 37 2" xfId="930"/>
    <cellStyle name="20% - Accent4 38" xfId="931"/>
    <cellStyle name="20% - Accent4 38 2" xfId="932"/>
    <cellStyle name="20% - Accent4 39" xfId="933"/>
    <cellStyle name="20% - Accent4 39 2" xfId="934"/>
    <cellStyle name="20% - Accent4 3_Profitability Detail NT$ Sep-12" xfId="935"/>
    <cellStyle name="20% - Accent4 4" xfId="936"/>
    <cellStyle name="20% - Accent4 4 2" xfId="937"/>
    <cellStyle name="20% - Accent4 4 2 2" xfId="938"/>
    <cellStyle name="20% - Accent4 4 2 3" xfId="939"/>
    <cellStyle name="20% - Accent4 4 3" xfId="940"/>
    <cellStyle name="20% - Accent4 4 3 2" xfId="941"/>
    <cellStyle name="20% - Accent4 4 3 3" xfId="942"/>
    <cellStyle name="20% - Accent4 4 4" xfId="943"/>
    <cellStyle name="20% - Accent4 4 4 2" xfId="944"/>
    <cellStyle name="20% - Accent4 4 5" xfId="945"/>
    <cellStyle name="20% - Accent4 4 5 2" xfId="946"/>
    <cellStyle name="20% - Accent4 4 6" xfId="947"/>
    <cellStyle name="20% - Accent4 4 7" xfId="948"/>
    <cellStyle name="20% - Accent4 40" xfId="949"/>
    <cellStyle name="20% - Accent4 40 2" xfId="950"/>
    <cellStyle name="20% - Accent4 41" xfId="951"/>
    <cellStyle name="20% - Accent4 41 2" xfId="952"/>
    <cellStyle name="20% - Accent4 42" xfId="953"/>
    <cellStyle name="20% - Accent4 43" xfId="954"/>
    <cellStyle name="20% - Accent4 44" xfId="955"/>
    <cellStyle name="20% - Accent4 45" xfId="956"/>
    <cellStyle name="20% - Accent4 46" xfId="957"/>
    <cellStyle name="20% - Accent4 47" xfId="958"/>
    <cellStyle name="20% - Accent4 48" xfId="959"/>
    <cellStyle name="20% - Accent4 49" xfId="960"/>
    <cellStyle name="20% - Accent4 4_Profitability Detail NT$ Sep-12" xfId="961"/>
    <cellStyle name="20% - Accent4 5" xfId="962"/>
    <cellStyle name="20% - Accent4 5 2" xfId="963"/>
    <cellStyle name="20% - Accent4 5 2 2" xfId="964"/>
    <cellStyle name="20% - Accent4 5 2 3" xfId="965"/>
    <cellStyle name="20% - Accent4 5 3" xfId="966"/>
    <cellStyle name="20% - Accent4 5 3 2" xfId="967"/>
    <cellStyle name="20% - Accent4 5 4" xfId="968"/>
    <cellStyle name="20% - Accent4 5 4 2" xfId="969"/>
    <cellStyle name="20% - Accent4 5 5" xfId="970"/>
    <cellStyle name="20% - Accent4 50" xfId="971"/>
    <cellStyle name="20% - Accent4 51" xfId="972"/>
    <cellStyle name="20% - Accent4 52" xfId="973"/>
    <cellStyle name="20% - Accent4 53" xfId="974"/>
    <cellStyle name="20% - Accent4 54" xfId="975"/>
    <cellStyle name="20% - Accent4 55" xfId="976"/>
    <cellStyle name="20% - Accent4 56" xfId="977"/>
    <cellStyle name="20% - Accent4 57" xfId="978"/>
    <cellStyle name="20% - Accent4 58" xfId="979"/>
    <cellStyle name="20% - Accent4 59" xfId="980"/>
    <cellStyle name="20% - Accent4 6" xfId="981"/>
    <cellStyle name="20% - Accent4 6 2" xfId="982"/>
    <cellStyle name="20% - Accent4 6 2 2" xfId="983"/>
    <cellStyle name="20% - Accent4 6 3" xfId="984"/>
    <cellStyle name="20% - Accent4 6 3 2" xfId="985"/>
    <cellStyle name="20% - Accent4 6 4" xfId="986"/>
    <cellStyle name="20% - Accent4 60" xfId="987"/>
    <cellStyle name="20% - Accent4 61" xfId="988"/>
    <cellStyle name="20% - Accent4 62" xfId="989"/>
    <cellStyle name="20% - Accent4 63" xfId="990"/>
    <cellStyle name="20% - Accent4 64" xfId="991"/>
    <cellStyle name="20% - Accent4 65" xfId="992"/>
    <cellStyle name="20% - Accent4 66" xfId="993"/>
    <cellStyle name="20% - Accent4 67" xfId="994"/>
    <cellStyle name="20% - Accent4 68" xfId="995"/>
    <cellStyle name="20% - Accent4 69" xfId="996"/>
    <cellStyle name="20% - Accent4 7" xfId="997"/>
    <cellStyle name="20% - Accent4 7 2" xfId="998"/>
    <cellStyle name="20% - Accent4 7 2 2" xfId="999"/>
    <cellStyle name="20% - Accent4 7 3" xfId="1000"/>
    <cellStyle name="20% - Accent4 7 3 2" xfId="1001"/>
    <cellStyle name="20% - Accent4 7 4" xfId="1002"/>
    <cellStyle name="20% - Accent4 70" xfId="1003"/>
    <cellStyle name="20% - Accent4 71" xfId="1004"/>
    <cellStyle name="20% - Accent4 72" xfId="1005"/>
    <cellStyle name="20% - Accent4 73" xfId="1006"/>
    <cellStyle name="20% - Accent4 74" xfId="1007"/>
    <cellStyle name="20% - Accent4 75" xfId="1008"/>
    <cellStyle name="20% - Accent4 76" xfId="1009"/>
    <cellStyle name="20% - Accent4 77" xfId="1010"/>
    <cellStyle name="20% - Accent4 78" xfId="1011"/>
    <cellStyle name="20% - Accent4 79" xfId="1012"/>
    <cellStyle name="20% - Accent4 8" xfId="1013"/>
    <cellStyle name="20% - Accent4 8 2" xfId="1014"/>
    <cellStyle name="20% - Accent4 8 2 2" xfId="1015"/>
    <cellStyle name="20% - Accent4 8 3" xfId="1016"/>
    <cellStyle name="20% - Accent4 8 3 2" xfId="1017"/>
    <cellStyle name="20% - Accent4 8 4" xfId="1018"/>
    <cellStyle name="20% - Accent4 80" xfId="1019"/>
    <cellStyle name="20% - Accent4 81" xfId="1020"/>
    <cellStyle name="20% - Accent4 82" xfId="1021"/>
    <cellStyle name="20% - Accent4 83" xfId="1022"/>
    <cellStyle name="20% - Accent4 84" xfId="1023"/>
    <cellStyle name="20% - Accent4 85" xfId="1024"/>
    <cellStyle name="20% - Accent4 86" xfId="1025"/>
    <cellStyle name="20% - Accent4 87" xfId="1026"/>
    <cellStyle name="20% - Accent4 88" xfId="1027"/>
    <cellStyle name="20% - Accent4 89" xfId="1028"/>
    <cellStyle name="20% - Accent4 9" xfId="1029"/>
    <cellStyle name="20% - Accent4 9 2" xfId="1030"/>
    <cellStyle name="20% - Accent4 9 2 2" xfId="1031"/>
    <cellStyle name="20% - Accent4 9 3" xfId="1032"/>
    <cellStyle name="20% - Accent4 9 3 2" xfId="1033"/>
    <cellStyle name="20% - Accent4 9 4" xfId="1034"/>
    <cellStyle name="20% - Accent4 90" xfId="1035"/>
    <cellStyle name="20% - Accent4 91" xfId="1036"/>
    <cellStyle name="20% - Accent4 92" xfId="1037"/>
    <cellStyle name="20% - Accent4 93" xfId="1038"/>
    <cellStyle name="20% - Accent4 94" xfId="1039"/>
    <cellStyle name="20% - Accent4 95" xfId="1040"/>
    <cellStyle name="20% - Accent4 96" xfId="1041"/>
    <cellStyle name="20% - Accent4_13-wk VSI_Revised" xfId="1042"/>
    <cellStyle name="20% - Accent5" xfId="1043"/>
    <cellStyle name="20% - Accent5 10" xfId="1044"/>
    <cellStyle name="20% - Accent5 10 2" xfId="1045"/>
    <cellStyle name="20% - Accent5 10 2 2" xfId="1046"/>
    <cellStyle name="20% - Accent5 10 3" xfId="1047"/>
    <cellStyle name="20% - Accent5 10 3 2" xfId="1048"/>
    <cellStyle name="20% - Accent5 10 4" xfId="1049"/>
    <cellStyle name="20% - Accent5 11" xfId="1050"/>
    <cellStyle name="20% - Accent5 11 2" xfId="1051"/>
    <cellStyle name="20% - Accent5 11 2 2" xfId="1052"/>
    <cellStyle name="20% - Accent5 11 3" xfId="1053"/>
    <cellStyle name="20% - Accent5 11 3 2" xfId="1054"/>
    <cellStyle name="20% - Accent5 11 4" xfId="1055"/>
    <cellStyle name="20% - Accent5 12" xfId="1056"/>
    <cellStyle name="20% - Accent5 12 2" xfId="1057"/>
    <cellStyle name="20% - Accent5 12 2 2" xfId="1058"/>
    <cellStyle name="20% - Accent5 13" xfId="1059"/>
    <cellStyle name="20% - Accent5 13 2" xfId="1060"/>
    <cellStyle name="20% - Accent5 13 2 2" xfId="1061"/>
    <cellStyle name="20% - Accent5 14" xfId="1062"/>
    <cellStyle name="20% - Accent5 14 2" xfId="1063"/>
    <cellStyle name="20% - Accent5 14 2 2" xfId="1064"/>
    <cellStyle name="20% - Accent5 15" xfId="1065"/>
    <cellStyle name="20% - Accent5 15 2" xfId="1066"/>
    <cellStyle name="20% - Accent5 15 2 2" xfId="1067"/>
    <cellStyle name="20% - Accent5 16" xfId="1068"/>
    <cellStyle name="20% - Accent5 16 2" xfId="1069"/>
    <cellStyle name="20% - Accent5 16 2 2" xfId="1070"/>
    <cellStyle name="20% - Accent5 17" xfId="1071"/>
    <cellStyle name="20% - Accent5 17 2" xfId="1072"/>
    <cellStyle name="20% - Accent5 17 2 2" xfId="1073"/>
    <cellStyle name="20% - Accent5 18" xfId="1074"/>
    <cellStyle name="20% - Accent5 18 2" xfId="1075"/>
    <cellStyle name="20% - Accent5 18 2 2" xfId="1076"/>
    <cellStyle name="20% - Accent5 19" xfId="1077"/>
    <cellStyle name="20% - Accent5 19 2" xfId="1078"/>
    <cellStyle name="20% - Accent5 19 2 2" xfId="1079"/>
    <cellStyle name="20% - Accent5 2" xfId="1080"/>
    <cellStyle name="20% - Accent5 2 10" xfId="1081"/>
    <cellStyle name="20% - Accent5 2 11" xfId="1082"/>
    <cellStyle name="20% - Accent5 2 12" xfId="1083"/>
    <cellStyle name="20% - Accent5 2 13" xfId="1084"/>
    <cellStyle name="20% - Accent5 2 14" xfId="1085"/>
    <cellStyle name="20% - Accent5 2 15" xfId="1086"/>
    <cellStyle name="20% - Accent5 2 16" xfId="1087"/>
    <cellStyle name="20% - Accent5 2 17" xfId="1088"/>
    <cellStyle name="20% - Accent5 2 18" xfId="1089"/>
    <cellStyle name="20% - Accent5 2 19" xfId="1090"/>
    <cellStyle name="20% - Accent5 2 2" xfId="1091"/>
    <cellStyle name="20% - Accent5 2 2 2" xfId="1092"/>
    <cellStyle name="20% - Accent5 2 2 2 2" xfId="1093"/>
    <cellStyle name="20% - Accent5 2 2 3" xfId="1094"/>
    <cellStyle name="20% - Accent5 2 2 3 2" xfId="1095"/>
    <cellStyle name="20% - Accent5 2 2 4" xfId="1096"/>
    <cellStyle name="20% - Accent5 2 2 4 2" xfId="1097"/>
    <cellStyle name="20% - Accent5 2 2 5" xfId="1098"/>
    <cellStyle name="20% - Accent5 2 2 6" xfId="1099"/>
    <cellStyle name="20% - Accent5 2 20" xfId="1100"/>
    <cellStyle name="20% - Accent5 2 21" xfId="1101"/>
    <cellStyle name="20% - Accent5 2 22" xfId="1102"/>
    <cellStyle name="20% - Accent5 2 23" xfId="1103"/>
    <cellStyle name="20% - Accent5 2 24" xfId="1104"/>
    <cellStyle name="20% - Accent5 2 25" xfId="1105"/>
    <cellStyle name="20% - Accent5 2 3" xfId="1106"/>
    <cellStyle name="20% - Accent5 2 3 2" xfId="1107"/>
    <cellStyle name="20% - Accent5 2 3 3" xfId="1108"/>
    <cellStyle name="20% - Accent5 2 4" xfId="1109"/>
    <cellStyle name="20% - Accent5 2 4 2" xfId="1110"/>
    <cellStyle name="20% - Accent5 2 4 3" xfId="1111"/>
    <cellStyle name="20% - Accent5 2 5" xfId="1112"/>
    <cellStyle name="20% - Accent5 2 5 2" xfId="1113"/>
    <cellStyle name="20% - Accent5 2 5 3" xfId="1114"/>
    <cellStyle name="20% - Accent5 2 6" xfId="1115"/>
    <cellStyle name="20% - Accent5 2 6 2" xfId="1116"/>
    <cellStyle name="20% - Accent5 2 7" xfId="1117"/>
    <cellStyle name="20% - Accent5 2 7 2" xfId="1118"/>
    <cellStyle name="20% - Accent5 2 8" xfId="1119"/>
    <cellStyle name="20% - Accent5 2 8 2" xfId="1120"/>
    <cellStyle name="20% - Accent5 2 9" xfId="1121"/>
    <cellStyle name="20% - Accent5 20" xfId="1122"/>
    <cellStyle name="20% - Accent5 20 2" xfId="1123"/>
    <cellStyle name="20% - Accent5 20 2 2" xfId="1124"/>
    <cellStyle name="20% - Accent5 21" xfId="1125"/>
    <cellStyle name="20% - Accent5 21 2" xfId="1126"/>
    <cellStyle name="20% - Accent5 21 2 2" xfId="1127"/>
    <cellStyle name="20% - Accent5 22" xfId="1128"/>
    <cellStyle name="20% - Accent5 22 2" xfId="1129"/>
    <cellStyle name="20% - Accent5 22 2 2" xfId="1130"/>
    <cellStyle name="20% - Accent5 23" xfId="1131"/>
    <cellStyle name="20% - Accent5 23 2" xfId="1132"/>
    <cellStyle name="20% - Accent5 23 2 2" xfId="1133"/>
    <cellStyle name="20% - Accent5 23 3" xfId="1134"/>
    <cellStyle name="20% - Accent5 24" xfId="1135"/>
    <cellStyle name="20% - Accent5 24 2" xfId="1136"/>
    <cellStyle name="20% - Accent5 24 2 2" xfId="1137"/>
    <cellStyle name="20% - Accent5 24 3" xfId="1138"/>
    <cellStyle name="20% - Accent5 25" xfId="1139"/>
    <cellStyle name="20% - Accent5 25 2" xfId="1140"/>
    <cellStyle name="20% - Accent5 25 3" xfId="1141"/>
    <cellStyle name="20% - Accent5 26" xfId="1142"/>
    <cellStyle name="20% - Accent5 26 2" xfId="1143"/>
    <cellStyle name="20% - Accent5 27" xfId="1144"/>
    <cellStyle name="20% - Accent5 27 2" xfId="1145"/>
    <cellStyle name="20% - Accent5 28" xfId="1146"/>
    <cellStyle name="20% - Accent5 28 2" xfId="1147"/>
    <cellStyle name="20% - Accent5 29" xfId="1148"/>
    <cellStyle name="20% - Accent5 29 2" xfId="1149"/>
    <cellStyle name="20% - Accent5 2_2.VSCN - GSC charge" xfId="1150"/>
    <cellStyle name="20% - Accent5 3" xfId="1151"/>
    <cellStyle name="20% - Accent5 3 2" xfId="1152"/>
    <cellStyle name="20% - Accent5 3 2 2" xfId="1153"/>
    <cellStyle name="20% - Accent5 3 2 3" xfId="1154"/>
    <cellStyle name="20% - Accent5 3 3" xfId="1155"/>
    <cellStyle name="20% - Accent5 3 3 2" xfId="1156"/>
    <cellStyle name="20% - Accent5 3 3 3" xfId="1157"/>
    <cellStyle name="20% - Accent5 3 4" xfId="1158"/>
    <cellStyle name="20% - Accent5 3 4 2" xfId="1159"/>
    <cellStyle name="20% - Accent5 3 5" xfId="1160"/>
    <cellStyle name="20% - Accent5 3 5 2" xfId="1161"/>
    <cellStyle name="20% - Accent5 3 6" xfId="1162"/>
    <cellStyle name="20% - Accent5 3 7" xfId="1163"/>
    <cellStyle name="20% - Accent5 30" xfId="1164"/>
    <cellStyle name="20% - Accent5 30 2" xfId="1165"/>
    <cellStyle name="20% - Accent5 31" xfId="1166"/>
    <cellStyle name="20% - Accent5 31 2" xfId="1167"/>
    <cellStyle name="20% - Accent5 32" xfId="1168"/>
    <cellStyle name="20% - Accent5 32 2" xfId="1169"/>
    <cellStyle name="20% - Accent5 33" xfId="1170"/>
    <cellStyle name="20% - Accent5 33 2" xfId="1171"/>
    <cellStyle name="20% - Accent5 34" xfId="1172"/>
    <cellStyle name="20% - Accent5 34 2" xfId="1173"/>
    <cellStyle name="20% - Accent5 35" xfId="1174"/>
    <cellStyle name="20% - Accent5 35 2" xfId="1175"/>
    <cellStyle name="20% - Accent5 36" xfId="1176"/>
    <cellStyle name="20% - Accent5 37" xfId="1177"/>
    <cellStyle name="20% - Accent5 38" xfId="1178"/>
    <cellStyle name="20% - Accent5 39" xfId="1179"/>
    <cellStyle name="20% - Accent5 3_Profitability Detail NT$ Sep-12" xfId="1180"/>
    <cellStyle name="20% - Accent5 4" xfId="1181"/>
    <cellStyle name="20% - Accent5 4 2" xfId="1182"/>
    <cellStyle name="20% - Accent5 4 2 2" xfId="1183"/>
    <cellStyle name="20% - Accent5 4 2 3" xfId="1184"/>
    <cellStyle name="20% - Accent5 4 3" xfId="1185"/>
    <cellStyle name="20% - Accent5 4 3 2" xfId="1186"/>
    <cellStyle name="20% - Accent5 4 3 3" xfId="1187"/>
    <cellStyle name="20% - Accent5 4 4" xfId="1188"/>
    <cellStyle name="20% - Accent5 4 4 2" xfId="1189"/>
    <cellStyle name="20% - Accent5 4 5" xfId="1190"/>
    <cellStyle name="20% - Accent5 4 5 2" xfId="1191"/>
    <cellStyle name="20% - Accent5 4 6" xfId="1192"/>
    <cellStyle name="20% - Accent5 4 7" xfId="1193"/>
    <cellStyle name="20% - Accent5 40" xfId="1194"/>
    <cellStyle name="20% - Accent5 41" xfId="1195"/>
    <cellStyle name="20% - Accent5 42" xfId="1196"/>
    <cellStyle name="20% - Accent5 43" xfId="1197"/>
    <cellStyle name="20% - Accent5 44" xfId="1198"/>
    <cellStyle name="20% - Accent5 45" xfId="1199"/>
    <cellStyle name="20% - Accent5 46" xfId="1200"/>
    <cellStyle name="20% - Accent5 47" xfId="1201"/>
    <cellStyle name="20% - Accent5 48" xfId="1202"/>
    <cellStyle name="20% - Accent5 49" xfId="1203"/>
    <cellStyle name="20% - Accent5 4_Profitability Detail NT$ Sep-12" xfId="1204"/>
    <cellStyle name="20% - Accent5 5" xfId="1205"/>
    <cellStyle name="20% - Accent5 5 2" xfId="1206"/>
    <cellStyle name="20% - Accent5 5 2 2" xfId="1207"/>
    <cellStyle name="20% - Accent5 5 2 3" xfId="1208"/>
    <cellStyle name="20% - Accent5 5 3" xfId="1209"/>
    <cellStyle name="20% - Accent5 5 3 2" xfId="1210"/>
    <cellStyle name="20% - Accent5 5 4" xfId="1211"/>
    <cellStyle name="20% - Accent5 50" xfId="1212"/>
    <cellStyle name="20% - Accent5 51" xfId="1213"/>
    <cellStyle name="20% - Accent5 52" xfId="1214"/>
    <cellStyle name="20% - Accent5 53" xfId="1215"/>
    <cellStyle name="20% - Accent5 54" xfId="1216"/>
    <cellStyle name="20% - Accent5 55" xfId="1217"/>
    <cellStyle name="20% - Accent5 56" xfId="1218"/>
    <cellStyle name="20% - Accent5 57" xfId="1219"/>
    <cellStyle name="20% - Accent5 58" xfId="1220"/>
    <cellStyle name="20% - Accent5 59" xfId="1221"/>
    <cellStyle name="20% - Accent5 6" xfId="1222"/>
    <cellStyle name="20% - Accent5 6 2" xfId="1223"/>
    <cellStyle name="20% - Accent5 6 2 2" xfId="1224"/>
    <cellStyle name="20% - Accent5 6 3" xfId="1225"/>
    <cellStyle name="20% - Accent5 6 3 2" xfId="1226"/>
    <cellStyle name="20% - Accent5 6 4" xfId="1227"/>
    <cellStyle name="20% - Accent5 60" xfId="1228"/>
    <cellStyle name="20% - Accent5 61" xfId="1229"/>
    <cellStyle name="20% - Accent5 62" xfId="1230"/>
    <cellStyle name="20% - Accent5 63" xfId="1231"/>
    <cellStyle name="20% - Accent5 64" xfId="1232"/>
    <cellStyle name="20% - Accent5 65" xfId="1233"/>
    <cellStyle name="20% - Accent5 66" xfId="1234"/>
    <cellStyle name="20% - Accent5 67" xfId="1235"/>
    <cellStyle name="20% - Accent5 68" xfId="1236"/>
    <cellStyle name="20% - Accent5 69" xfId="1237"/>
    <cellStyle name="20% - Accent5 7" xfId="1238"/>
    <cellStyle name="20% - Accent5 7 2" xfId="1239"/>
    <cellStyle name="20% - Accent5 7 2 2" xfId="1240"/>
    <cellStyle name="20% - Accent5 7 3" xfId="1241"/>
    <cellStyle name="20% - Accent5 7 3 2" xfId="1242"/>
    <cellStyle name="20% - Accent5 7 4" xfId="1243"/>
    <cellStyle name="20% - Accent5 70" xfId="1244"/>
    <cellStyle name="20% - Accent5 71" xfId="1245"/>
    <cellStyle name="20% - Accent5 72" xfId="1246"/>
    <cellStyle name="20% - Accent5 73" xfId="1247"/>
    <cellStyle name="20% - Accent5 74" xfId="1248"/>
    <cellStyle name="20% - Accent5 75" xfId="1249"/>
    <cellStyle name="20% - Accent5 76" xfId="1250"/>
    <cellStyle name="20% - Accent5 77" xfId="1251"/>
    <cellStyle name="20% - Accent5 78" xfId="1252"/>
    <cellStyle name="20% - Accent5 79" xfId="1253"/>
    <cellStyle name="20% - Accent5 8" xfId="1254"/>
    <cellStyle name="20% - Accent5 8 2" xfId="1255"/>
    <cellStyle name="20% - Accent5 8 2 2" xfId="1256"/>
    <cellStyle name="20% - Accent5 8 3" xfId="1257"/>
    <cellStyle name="20% - Accent5 8 3 2" xfId="1258"/>
    <cellStyle name="20% - Accent5 8 4" xfId="1259"/>
    <cellStyle name="20% - Accent5 80" xfId="1260"/>
    <cellStyle name="20% - Accent5 81" xfId="1261"/>
    <cellStyle name="20% - Accent5 82" xfId="1262"/>
    <cellStyle name="20% - Accent5 83" xfId="1263"/>
    <cellStyle name="20% - Accent5 84" xfId="1264"/>
    <cellStyle name="20% - Accent5 85" xfId="1265"/>
    <cellStyle name="20% - Accent5 86" xfId="1266"/>
    <cellStyle name="20% - Accent5 87" xfId="1267"/>
    <cellStyle name="20% - Accent5 88" xfId="1268"/>
    <cellStyle name="20% - Accent5 89" xfId="1269"/>
    <cellStyle name="20% - Accent5 9" xfId="1270"/>
    <cellStyle name="20% - Accent5 9 2" xfId="1271"/>
    <cellStyle name="20% - Accent5 9 2 2" xfId="1272"/>
    <cellStyle name="20% - Accent5 9 3" xfId="1273"/>
    <cellStyle name="20% - Accent5 9 3 2" xfId="1274"/>
    <cellStyle name="20% - Accent5 9 4" xfId="1275"/>
    <cellStyle name="20% - Accent5 90" xfId="1276"/>
    <cellStyle name="20% - Accent5 91" xfId="1277"/>
    <cellStyle name="20% - Accent5 92" xfId="1278"/>
    <cellStyle name="20% - Accent5 93" xfId="1279"/>
    <cellStyle name="20% - Accent5 94" xfId="1280"/>
    <cellStyle name="20% - Accent5 95" xfId="1281"/>
    <cellStyle name="20% - Accent5 96" xfId="1282"/>
    <cellStyle name="20% - Accent5_13-wk VSI_Revised" xfId="1283"/>
    <cellStyle name="20% - Accent6" xfId="1284"/>
    <cellStyle name="20% - Accent6 10" xfId="1285"/>
    <cellStyle name="20% - Accent6 10 2" xfId="1286"/>
    <cellStyle name="20% - Accent6 10 2 2" xfId="1287"/>
    <cellStyle name="20% - Accent6 10 3" xfId="1288"/>
    <cellStyle name="20% - Accent6 10 3 2" xfId="1289"/>
    <cellStyle name="20% - Accent6 10 4" xfId="1290"/>
    <cellStyle name="20% - Accent6 11" xfId="1291"/>
    <cellStyle name="20% - Accent6 11 2" xfId="1292"/>
    <cellStyle name="20% - Accent6 11 2 2" xfId="1293"/>
    <cellStyle name="20% - Accent6 11 3" xfId="1294"/>
    <cellStyle name="20% - Accent6 11 3 2" xfId="1295"/>
    <cellStyle name="20% - Accent6 11 4" xfId="1296"/>
    <cellStyle name="20% - Accent6 12" xfId="1297"/>
    <cellStyle name="20% - Accent6 12 2" xfId="1298"/>
    <cellStyle name="20% - Accent6 12 2 2" xfId="1299"/>
    <cellStyle name="20% - Accent6 13" xfId="1300"/>
    <cellStyle name="20% - Accent6 13 2" xfId="1301"/>
    <cellStyle name="20% - Accent6 13 2 2" xfId="1302"/>
    <cellStyle name="20% - Accent6 14" xfId="1303"/>
    <cellStyle name="20% - Accent6 14 2" xfId="1304"/>
    <cellStyle name="20% - Accent6 14 2 2" xfId="1305"/>
    <cellStyle name="20% - Accent6 15" xfId="1306"/>
    <cellStyle name="20% - Accent6 15 2" xfId="1307"/>
    <cellStyle name="20% - Accent6 15 2 2" xfId="1308"/>
    <cellStyle name="20% - Accent6 16" xfId="1309"/>
    <cellStyle name="20% - Accent6 16 2" xfId="1310"/>
    <cellStyle name="20% - Accent6 16 2 2" xfId="1311"/>
    <cellStyle name="20% - Accent6 17" xfId="1312"/>
    <cellStyle name="20% - Accent6 17 2" xfId="1313"/>
    <cellStyle name="20% - Accent6 17 2 2" xfId="1314"/>
    <cellStyle name="20% - Accent6 18" xfId="1315"/>
    <cellStyle name="20% - Accent6 18 2" xfId="1316"/>
    <cellStyle name="20% - Accent6 18 2 2" xfId="1317"/>
    <cellStyle name="20% - Accent6 19" xfId="1318"/>
    <cellStyle name="20% - Accent6 19 2" xfId="1319"/>
    <cellStyle name="20% - Accent6 19 2 2" xfId="1320"/>
    <cellStyle name="20% - Accent6 2" xfId="1321"/>
    <cellStyle name="20% - Accent6 2 10" xfId="1322"/>
    <cellStyle name="20% - Accent6 2 11" xfId="1323"/>
    <cellStyle name="20% - Accent6 2 12" xfId="1324"/>
    <cellStyle name="20% - Accent6 2 13" xfId="1325"/>
    <cellStyle name="20% - Accent6 2 14" xfId="1326"/>
    <cellStyle name="20% - Accent6 2 15" xfId="1327"/>
    <cellStyle name="20% - Accent6 2 16" xfId="1328"/>
    <cellStyle name="20% - Accent6 2 17" xfId="1329"/>
    <cellStyle name="20% - Accent6 2 18" xfId="1330"/>
    <cellStyle name="20% - Accent6 2 19" xfId="1331"/>
    <cellStyle name="20% - Accent6 2 2" xfId="1332"/>
    <cellStyle name="20% - Accent6 2 2 2" xfId="1333"/>
    <cellStyle name="20% - Accent6 2 2 2 2" xfId="1334"/>
    <cellStyle name="20% - Accent6 2 2 3" xfId="1335"/>
    <cellStyle name="20% - Accent6 2 2 3 2" xfId="1336"/>
    <cellStyle name="20% - Accent6 2 2 4" xfId="1337"/>
    <cellStyle name="20% - Accent6 2 2 4 2" xfId="1338"/>
    <cellStyle name="20% - Accent6 2 2 5" xfId="1339"/>
    <cellStyle name="20% - Accent6 2 2 6" xfId="1340"/>
    <cellStyle name="20% - Accent6 2 20" xfId="1341"/>
    <cellStyle name="20% - Accent6 2 21" xfId="1342"/>
    <cellStyle name="20% - Accent6 2 22" xfId="1343"/>
    <cellStyle name="20% - Accent6 2 23" xfId="1344"/>
    <cellStyle name="20% - Accent6 2 24" xfId="1345"/>
    <cellStyle name="20% - Accent6 2 25" xfId="1346"/>
    <cellStyle name="20% - Accent6 2 3" xfId="1347"/>
    <cellStyle name="20% - Accent6 2 3 2" xfId="1348"/>
    <cellStyle name="20% - Accent6 2 3 3" xfId="1349"/>
    <cellStyle name="20% - Accent6 2 4" xfId="1350"/>
    <cellStyle name="20% - Accent6 2 4 2" xfId="1351"/>
    <cellStyle name="20% - Accent6 2 4 3" xfId="1352"/>
    <cellStyle name="20% - Accent6 2 5" xfId="1353"/>
    <cellStyle name="20% - Accent6 2 5 2" xfId="1354"/>
    <cellStyle name="20% - Accent6 2 5 3" xfId="1355"/>
    <cellStyle name="20% - Accent6 2 6" xfId="1356"/>
    <cellStyle name="20% - Accent6 2 6 2" xfId="1357"/>
    <cellStyle name="20% - Accent6 2 7" xfId="1358"/>
    <cellStyle name="20% - Accent6 2 7 2" xfId="1359"/>
    <cellStyle name="20% - Accent6 2 8" xfId="1360"/>
    <cellStyle name="20% - Accent6 2 8 2" xfId="1361"/>
    <cellStyle name="20% - Accent6 2 9" xfId="1362"/>
    <cellStyle name="20% - Accent6 20" xfId="1363"/>
    <cellStyle name="20% - Accent6 20 2" xfId="1364"/>
    <cellStyle name="20% - Accent6 20 2 2" xfId="1365"/>
    <cellStyle name="20% - Accent6 21" xfId="1366"/>
    <cellStyle name="20% - Accent6 21 2" xfId="1367"/>
    <cellStyle name="20% - Accent6 21 2 2" xfId="1368"/>
    <cellStyle name="20% - Accent6 22" xfId="1369"/>
    <cellStyle name="20% - Accent6 22 2" xfId="1370"/>
    <cellStyle name="20% - Accent6 22 2 2" xfId="1371"/>
    <cellStyle name="20% - Accent6 23" xfId="1372"/>
    <cellStyle name="20% - Accent6 23 2" xfId="1373"/>
    <cellStyle name="20% - Accent6 23 2 2" xfId="1374"/>
    <cellStyle name="20% - Accent6 23 3" xfId="1375"/>
    <cellStyle name="20% - Accent6 24" xfId="1376"/>
    <cellStyle name="20% - Accent6 24 2" xfId="1377"/>
    <cellStyle name="20% - Accent6 24 2 2" xfId="1378"/>
    <cellStyle name="20% - Accent6 24 3" xfId="1379"/>
    <cellStyle name="20% - Accent6 25" xfId="1380"/>
    <cellStyle name="20% - Accent6 25 2" xfId="1381"/>
    <cellStyle name="20% - Accent6 25 3" xfId="1382"/>
    <cellStyle name="20% - Accent6 26" xfId="1383"/>
    <cellStyle name="20% - Accent6 26 2" xfId="1384"/>
    <cellStyle name="20% - Accent6 27" xfId="1385"/>
    <cellStyle name="20% - Accent6 27 2" xfId="1386"/>
    <cellStyle name="20% - Accent6 28" xfId="1387"/>
    <cellStyle name="20% - Accent6 28 2" xfId="1388"/>
    <cellStyle name="20% - Accent6 29" xfId="1389"/>
    <cellStyle name="20% - Accent6 29 2" xfId="1390"/>
    <cellStyle name="20% - Accent6 2_2.VSCN - GSC charge" xfId="1391"/>
    <cellStyle name="20% - Accent6 3" xfId="1392"/>
    <cellStyle name="20% - Accent6 3 2" xfId="1393"/>
    <cellStyle name="20% - Accent6 3 2 2" xfId="1394"/>
    <cellStyle name="20% - Accent6 3 2 3" xfId="1395"/>
    <cellStyle name="20% - Accent6 3 3" xfId="1396"/>
    <cellStyle name="20% - Accent6 3 3 2" xfId="1397"/>
    <cellStyle name="20% - Accent6 3 3 3" xfId="1398"/>
    <cellStyle name="20% - Accent6 3 4" xfId="1399"/>
    <cellStyle name="20% - Accent6 3 4 2" xfId="1400"/>
    <cellStyle name="20% - Accent6 3 5" xfId="1401"/>
    <cellStyle name="20% - Accent6 3 5 2" xfId="1402"/>
    <cellStyle name="20% - Accent6 3 6" xfId="1403"/>
    <cellStyle name="20% - Accent6 3 7" xfId="1404"/>
    <cellStyle name="20% - Accent6 30" xfId="1405"/>
    <cellStyle name="20% - Accent6 30 2" xfId="1406"/>
    <cellStyle name="20% - Accent6 31" xfId="1407"/>
    <cellStyle name="20% - Accent6 31 2" xfId="1408"/>
    <cellStyle name="20% - Accent6 32" xfId="1409"/>
    <cellStyle name="20% - Accent6 32 2" xfId="1410"/>
    <cellStyle name="20% - Accent6 33" xfId="1411"/>
    <cellStyle name="20% - Accent6 33 2" xfId="1412"/>
    <cellStyle name="20% - Accent6 34" xfId="1413"/>
    <cellStyle name="20% - Accent6 34 2" xfId="1414"/>
    <cellStyle name="20% - Accent6 35" xfId="1415"/>
    <cellStyle name="20% - Accent6 35 2" xfId="1416"/>
    <cellStyle name="20% - Accent6 36" xfId="1417"/>
    <cellStyle name="20% - Accent6 36 2" xfId="1418"/>
    <cellStyle name="20% - Accent6 37" xfId="1419"/>
    <cellStyle name="20% - Accent6 37 2" xfId="1420"/>
    <cellStyle name="20% - Accent6 38" xfId="1421"/>
    <cellStyle name="20% - Accent6 38 2" xfId="1422"/>
    <cellStyle name="20% - Accent6 39" xfId="1423"/>
    <cellStyle name="20% - Accent6 39 2" xfId="1424"/>
    <cellStyle name="20% - Accent6 3_Profitability Detail NT$ Sep-12" xfId="1425"/>
    <cellStyle name="20% - Accent6 4" xfId="1426"/>
    <cellStyle name="20% - Accent6 4 2" xfId="1427"/>
    <cellStyle name="20% - Accent6 4 2 2" xfId="1428"/>
    <cellStyle name="20% - Accent6 4 2 3" xfId="1429"/>
    <cellStyle name="20% - Accent6 4 3" xfId="1430"/>
    <cellStyle name="20% - Accent6 4 3 2" xfId="1431"/>
    <cellStyle name="20% - Accent6 4 3 3" xfId="1432"/>
    <cellStyle name="20% - Accent6 4 4" xfId="1433"/>
    <cellStyle name="20% - Accent6 4 4 2" xfId="1434"/>
    <cellStyle name="20% - Accent6 4 5" xfId="1435"/>
    <cellStyle name="20% - Accent6 4 5 2" xfId="1436"/>
    <cellStyle name="20% - Accent6 4 6" xfId="1437"/>
    <cellStyle name="20% - Accent6 4 7" xfId="1438"/>
    <cellStyle name="20% - Accent6 40" xfId="1439"/>
    <cellStyle name="20% - Accent6 40 2" xfId="1440"/>
    <cellStyle name="20% - Accent6 41" xfId="1441"/>
    <cellStyle name="20% - Accent6 41 2" xfId="1442"/>
    <cellStyle name="20% - Accent6 42" xfId="1443"/>
    <cellStyle name="20% - Accent6 43" xfId="1444"/>
    <cellStyle name="20% - Accent6 44" xfId="1445"/>
    <cellStyle name="20% - Accent6 45" xfId="1446"/>
    <cellStyle name="20% - Accent6 46" xfId="1447"/>
    <cellStyle name="20% - Accent6 47" xfId="1448"/>
    <cellStyle name="20% - Accent6 48" xfId="1449"/>
    <cellStyle name="20% - Accent6 49" xfId="1450"/>
    <cellStyle name="20% - Accent6 4_Profitability Detail NT$ Sep-12" xfId="1451"/>
    <cellStyle name="20% - Accent6 5" xfId="1452"/>
    <cellStyle name="20% - Accent6 5 2" xfId="1453"/>
    <cellStyle name="20% - Accent6 5 2 2" xfId="1454"/>
    <cellStyle name="20% - Accent6 5 2 3" xfId="1455"/>
    <cellStyle name="20% - Accent6 5 3" xfId="1456"/>
    <cellStyle name="20% - Accent6 5 3 2" xfId="1457"/>
    <cellStyle name="20% - Accent6 5 4" xfId="1458"/>
    <cellStyle name="20% - Accent6 5 4 2" xfId="1459"/>
    <cellStyle name="20% - Accent6 5 5" xfId="1460"/>
    <cellStyle name="20% - Accent6 50" xfId="1461"/>
    <cellStyle name="20% - Accent6 51" xfId="1462"/>
    <cellStyle name="20% - Accent6 52" xfId="1463"/>
    <cellStyle name="20% - Accent6 53" xfId="1464"/>
    <cellStyle name="20% - Accent6 54" xfId="1465"/>
    <cellStyle name="20% - Accent6 55" xfId="1466"/>
    <cellStyle name="20% - Accent6 56" xfId="1467"/>
    <cellStyle name="20% - Accent6 57" xfId="1468"/>
    <cellStyle name="20% - Accent6 58" xfId="1469"/>
    <cellStyle name="20% - Accent6 59" xfId="1470"/>
    <cellStyle name="20% - Accent6 6" xfId="1471"/>
    <cellStyle name="20% - Accent6 6 2" xfId="1472"/>
    <cellStyle name="20% - Accent6 6 2 2" xfId="1473"/>
    <cellStyle name="20% - Accent6 6 3" xfId="1474"/>
    <cellStyle name="20% - Accent6 6 3 2" xfId="1475"/>
    <cellStyle name="20% - Accent6 6 4" xfId="1476"/>
    <cellStyle name="20% - Accent6 60" xfId="1477"/>
    <cellStyle name="20% - Accent6 61" xfId="1478"/>
    <cellStyle name="20% - Accent6 62" xfId="1479"/>
    <cellStyle name="20% - Accent6 63" xfId="1480"/>
    <cellStyle name="20% - Accent6 64" xfId="1481"/>
    <cellStyle name="20% - Accent6 65" xfId="1482"/>
    <cellStyle name="20% - Accent6 66" xfId="1483"/>
    <cellStyle name="20% - Accent6 67" xfId="1484"/>
    <cellStyle name="20% - Accent6 68" xfId="1485"/>
    <cellStyle name="20% - Accent6 69" xfId="1486"/>
    <cellStyle name="20% - Accent6 7" xfId="1487"/>
    <cellStyle name="20% - Accent6 7 2" xfId="1488"/>
    <cellStyle name="20% - Accent6 7 2 2" xfId="1489"/>
    <cellStyle name="20% - Accent6 7 3" xfId="1490"/>
    <cellStyle name="20% - Accent6 7 3 2" xfId="1491"/>
    <cellStyle name="20% - Accent6 7 4" xfId="1492"/>
    <cellStyle name="20% - Accent6 70" xfId="1493"/>
    <cellStyle name="20% - Accent6 71" xfId="1494"/>
    <cellStyle name="20% - Accent6 72" xfId="1495"/>
    <cellStyle name="20% - Accent6 73" xfId="1496"/>
    <cellStyle name="20% - Accent6 74" xfId="1497"/>
    <cellStyle name="20% - Accent6 75" xfId="1498"/>
    <cellStyle name="20% - Accent6 76" xfId="1499"/>
    <cellStyle name="20% - Accent6 77" xfId="1500"/>
    <cellStyle name="20% - Accent6 78" xfId="1501"/>
    <cellStyle name="20% - Accent6 79" xfId="1502"/>
    <cellStyle name="20% - Accent6 8" xfId="1503"/>
    <cellStyle name="20% - Accent6 8 2" xfId="1504"/>
    <cellStyle name="20% - Accent6 8 2 2" xfId="1505"/>
    <cellStyle name="20% - Accent6 8 3" xfId="1506"/>
    <cellStyle name="20% - Accent6 8 3 2" xfId="1507"/>
    <cellStyle name="20% - Accent6 8 4" xfId="1508"/>
    <cellStyle name="20% - Accent6 80" xfId="1509"/>
    <cellStyle name="20% - Accent6 81" xfId="1510"/>
    <cellStyle name="20% - Accent6 82" xfId="1511"/>
    <cellStyle name="20% - Accent6 83" xfId="1512"/>
    <cellStyle name="20% - Accent6 84" xfId="1513"/>
    <cellStyle name="20% - Accent6 85" xfId="1514"/>
    <cellStyle name="20% - Accent6 86" xfId="1515"/>
    <cellStyle name="20% - Accent6 87" xfId="1516"/>
    <cellStyle name="20% - Accent6 88" xfId="1517"/>
    <cellStyle name="20% - Accent6 89" xfId="1518"/>
    <cellStyle name="20% - Accent6 9" xfId="1519"/>
    <cellStyle name="20% - Accent6 9 2" xfId="1520"/>
    <cellStyle name="20% - Accent6 9 2 2" xfId="1521"/>
    <cellStyle name="20% - Accent6 9 3" xfId="1522"/>
    <cellStyle name="20% - Accent6 9 3 2" xfId="1523"/>
    <cellStyle name="20% - Accent6 9 4" xfId="1524"/>
    <cellStyle name="20% - Accent6 90" xfId="1525"/>
    <cellStyle name="20% - Accent6 91" xfId="1526"/>
    <cellStyle name="20% - Accent6 92" xfId="1527"/>
    <cellStyle name="20% - Accent6 93" xfId="1528"/>
    <cellStyle name="20% - Accent6 94" xfId="1529"/>
    <cellStyle name="20% - Accent6 95" xfId="1530"/>
    <cellStyle name="20% - Accent6 96" xfId="1531"/>
    <cellStyle name="20% - Accent6_ALL inventory onhand data 0912" xfId="1532"/>
    <cellStyle name="20% - akcent 1" xfId="1533"/>
    <cellStyle name="20% - akcent 1 2" xfId="1534"/>
    <cellStyle name="20% - akcent 2" xfId="1535"/>
    <cellStyle name="20% - akcent 2 2" xfId="1536"/>
    <cellStyle name="20% - akcent 3" xfId="1537"/>
    <cellStyle name="20% - akcent 3 2" xfId="1538"/>
    <cellStyle name="20% - akcent 4" xfId="1539"/>
    <cellStyle name="20% - akcent 4 2" xfId="1540"/>
    <cellStyle name="20% - akcent 5" xfId="1541"/>
    <cellStyle name="20% - akcent 5 2" xfId="1542"/>
    <cellStyle name="20% - akcent 6" xfId="1543"/>
    <cellStyle name="20% - akcent 6 2" xfId="1544"/>
    <cellStyle name="20% - Akzent1" xfId="1545"/>
    <cellStyle name="20% - Akzent1 2" xfId="1546"/>
    <cellStyle name="20% - Akzent2" xfId="1547"/>
    <cellStyle name="20% - Akzent2 2" xfId="1548"/>
    <cellStyle name="20% - Akzent3" xfId="1549"/>
    <cellStyle name="20% - Akzent3 2" xfId="1550"/>
    <cellStyle name="20% - Akzent4" xfId="1551"/>
    <cellStyle name="20% - Akzent4 2" xfId="1552"/>
    <cellStyle name="20% - Akzent5" xfId="1553"/>
    <cellStyle name="20% - Akzent5 2" xfId="1554"/>
    <cellStyle name="20% - Akzent6" xfId="1555"/>
    <cellStyle name="20% - Akzent6 2" xfId="0"/>
    <cellStyle name="20% - Акцент1" xfId="0"/>
    <cellStyle name="20% - Акцент1 2" xfId="0"/>
    <cellStyle name="20% - Акцент2" xfId="0"/>
    <cellStyle name="20% - Акцент2 2" xfId="0"/>
    <cellStyle name="20% - Акцент3" xfId="0"/>
    <cellStyle name="20% - Акцент3 2" xfId="0"/>
    <cellStyle name="20% - Акцент4" xfId="0"/>
    <cellStyle name="20% - Акцент4 2" xfId="0"/>
    <cellStyle name="20% - Акцент5" xfId="0"/>
    <cellStyle name="20% - Акцент5 2" xfId="0"/>
    <cellStyle name="20% - Акцент6" xfId="0"/>
    <cellStyle name="20% - Акцент6 2" xfId="0"/>
    <cellStyle name="20% - アクセント 1" xfId="0"/>
    <cellStyle name="20% - アクセント 2" xfId="0"/>
    <cellStyle name="20% - アクセント 3" xfId="0"/>
    <cellStyle name="20% - アクセント 4" xfId="0"/>
    <cellStyle name="20% - アクセント 5" xfId="0"/>
    <cellStyle name="20% - アクセント 6" xfId="0"/>
    <cellStyle name="20% - 强调文字颜色 1" xfId="0"/>
    <cellStyle name="20% - 强调文字颜色 1 10" xfId="0"/>
    <cellStyle name="20% - 强调文字颜色 1 11" xfId="0"/>
    <cellStyle name="20% - 强调文字颜色 1 12" xfId="0"/>
    <cellStyle name="20% - 强调文字颜色 1 13" xfId="0"/>
    <cellStyle name="20% - 强调文字颜色 1 14" xfId="0"/>
    <cellStyle name="20% - 强调文字颜色 1 15" xfId="0"/>
    <cellStyle name="20% - 强调文字颜色 1 16" xfId="0"/>
    <cellStyle name="20% - 强调文字颜色 1 17" xfId="0"/>
    <cellStyle name="20% - 强调文字颜色 1 18" xfId="0"/>
    <cellStyle name="20% - 强调文字颜色 1 19" xfId="0"/>
    <cellStyle name="20% - 强调文字颜色 1 2" xfId="0"/>
    <cellStyle name="20% - 强调文字颜色 1 2 10" xfId="0"/>
    <cellStyle name="20% - 强调文字颜色 1 2 11" xfId="0"/>
    <cellStyle name="20% - 强调文字颜色 1 2 12" xfId="0"/>
    <cellStyle name="20% - 强调文字颜色 1 2 13" xfId="0"/>
    <cellStyle name="20% - 强调文字颜色 1 2 14" xfId="0"/>
    <cellStyle name="20% - 强调文字颜色 1 2 15" xfId="0"/>
    <cellStyle name="20% - 强调文字颜色 1 2 16" xfId="0"/>
    <cellStyle name="20% - 强调文字颜色 1 2 17" xfId="0"/>
    <cellStyle name="20% - 强调文字颜色 1 2 18" xfId="0"/>
    <cellStyle name="20% - 强调文字颜色 1 2 19" xfId="0"/>
    <cellStyle name="20% - 强调文字颜色 1 2 2" xfId="0"/>
    <cellStyle name="20% - 强调文字颜色 1 2 20" xfId="0"/>
    <cellStyle name="20% - 强调文字颜色 1 2 21" xfId="0"/>
    <cellStyle name="20% - 强调文字颜色 1 2 22" xfId="0"/>
    <cellStyle name="20% - 强调文字颜色 1 2 23" xfId="0"/>
    <cellStyle name="20% - 强调文字颜色 1 2 24" xfId="0"/>
    <cellStyle name="20% - 强调文字颜色 1 2 25" xfId="0"/>
    <cellStyle name="20% - 强调文字颜色 1 2 3" xfId="0"/>
    <cellStyle name="20% - 强调文字颜色 1 2 4" xfId="0"/>
    <cellStyle name="20% - 强调文字颜色 1 2 5" xfId="0"/>
    <cellStyle name="20% - 强调文字颜色 1 2 6" xfId="0"/>
    <cellStyle name="20% - 强调文字颜色 1 2 7" xfId="0"/>
    <cellStyle name="20% - 强调文字颜色 1 2 8" xfId="0"/>
    <cellStyle name="20% - 强调文字颜色 1 2 9" xfId="0"/>
    <cellStyle name="20% - 强调文字颜色 1 20" xfId="0"/>
    <cellStyle name="20% - 强调文字颜色 1 21" xfId="0"/>
    <cellStyle name="20% - 强调文字颜色 1 22" xfId="0"/>
    <cellStyle name="20% - 强调文字颜色 1 23" xfId="0"/>
    <cellStyle name="20% - 强调文字颜色 1 24" xfId="0"/>
    <cellStyle name="20% - 强调文字颜色 1 25" xfId="0"/>
    <cellStyle name="20% - 强调文字颜色 1 26" xfId="0"/>
    <cellStyle name="20% - 强调文字颜色 1 27" xfId="0"/>
    <cellStyle name="20% - 强调文字颜色 1 28" xfId="0"/>
    <cellStyle name="20% - 强调文字颜色 1 29" xfId="0"/>
    <cellStyle name="20% - 强调文字颜色 1 3" xfId="0"/>
    <cellStyle name="20% - 强调文字颜色 1 30" xfId="0"/>
    <cellStyle name="20% - 强调文字颜色 1 31" xfId="0"/>
    <cellStyle name="20% - 强调文字颜色 1 32" xfId="0"/>
    <cellStyle name="20% - 强调文字颜色 1 33" xfId="0"/>
    <cellStyle name="20% - 强调文字颜色 1 34" xfId="0"/>
    <cellStyle name="20% - 强调文字颜色 1 35" xfId="0"/>
    <cellStyle name="20% - 强调文字颜色 1 36" xfId="0"/>
    <cellStyle name="20% - 强调文字颜色 1 37" xfId="0"/>
    <cellStyle name="20% - 强调文字颜色 1 38" xfId="0"/>
    <cellStyle name="20% - 强调文字颜色 1 39" xfId="0"/>
    <cellStyle name="20% - 强调文字颜色 1 4" xfId="0"/>
    <cellStyle name="20% - 强调文字颜色 1 40" xfId="0"/>
    <cellStyle name="20% - 强调文字颜色 1 41" xfId="0"/>
    <cellStyle name="20% - 强调文字颜色 1 42" xfId="0"/>
    <cellStyle name="20% - 强调文字颜色 1 43" xfId="0"/>
    <cellStyle name="20% - 强调文字颜色 1 44" xfId="0"/>
    <cellStyle name="20% - 强调文字颜色 1 45" xfId="0"/>
    <cellStyle name="20% - 强调文字颜色 1 46" xfId="0"/>
    <cellStyle name="20% - 强调文字颜色 1 47" xfId="0"/>
    <cellStyle name="20% - 强调文字颜色 1 48" xfId="0"/>
    <cellStyle name="20% - 强调文字颜色 1 49" xfId="0"/>
    <cellStyle name="20% - 强调文字颜色 1 5" xfId="0"/>
    <cellStyle name="20% - 强调文字颜色 1 50" xfId="0"/>
    <cellStyle name="20% - 强调文字颜色 1 51" xfId="0"/>
    <cellStyle name="20% - 强调文字颜色 1 52" xfId="0"/>
    <cellStyle name="20% - 强调文字颜色 1 53" xfId="0"/>
    <cellStyle name="20% - 强调文字颜色 1 54" xfId="0"/>
    <cellStyle name="20% - 强调文字颜色 1 55" xfId="0"/>
    <cellStyle name="20% - 强调文字颜色 1 56" xfId="0"/>
    <cellStyle name="20% - 强调文字颜色 1 57" xfId="0"/>
    <cellStyle name="20% - 强调文字颜色 1 58" xfId="0"/>
    <cellStyle name="20% - 强调文字颜色 1 59" xfId="0"/>
    <cellStyle name="20% - 强调文字颜色 1 6" xfId="0"/>
    <cellStyle name="20% - 强调文字颜色 1 60" xfId="0"/>
    <cellStyle name="20% - 强调文字颜色 1 61" xfId="0"/>
    <cellStyle name="20% - 强调文字颜色 1 62" xfId="0"/>
    <cellStyle name="20% - 强调文字颜色 1 63" xfId="0"/>
    <cellStyle name="20% - 强调文字颜色 1 64" xfId="0"/>
    <cellStyle name="20% - 强调文字颜色 1 65" xfId="0"/>
    <cellStyle name="20% - 强调文字颜色 1 66" xfId="0"/>
    <cellStyle name="20% - 强调文字颜色 1 67" xfId="0"/>
    <cellStyle name="20% - 强调文字颜色 1 68" xfId="0"/>
    <cellStyle name="20% - 强调文字颜色 1 69" xfId="0"/>
    <cellStyle name="20% - 强调文字颜色 1 7" xfId="0"/>
    <cellStyle name="20% - 强调文字颜色 1 70" xfId="0"/>
    <cellStyle name="20% - 强调文字颜色 1 71" xfId="0"/>
    <cellStyle name="20% - 强调文字颜色 1 72" xfId="0"/>
    <cellStyle name="20% - 强调文字颜色 1 73" xfId="0"/>
    <cellStyle name="20% - 强调文字颜色 1 74" xfId="0"/>
    <cellStyle name="20% - 强调文字颜色 1 75" xfId="0"/>
    <cellStyle name="20% - 强调文字颜色 1 76" xfId="0"/>
    <cellStyle name="20% - 强调文字颜色 1 77" xfId="0"/>
    <cellStyle name="20% - 强调文字颜色 1 78" xfId="0"/>
    <cellStyle name="20% - 强调文字颜色 1 79" xfId="0"/>
    <cellStyle name="20% - 强调文字颜色 1 8" xfId="0"/>
    <cellStyle name="20% - 强调文字颜色 1 80" xfId="0"/>
    <cellStyle name="20% - 强调文字颜色 1 81" xfId="0"/>
    <cellStyle name="20% - 强调文字颜色 1 82" xfId="0"/>
    <cellStyle name="20% - 强调文字颜色 1 83" xfId="0"/>
    <cellStyle name="20% - 强调文字颜色 1 84" xfId="0"/>
    <cellStyle name="20% - 强调文字颜色 1 9" xfId="0"/>
    <cellStyle name="20% - 强调文字颜色 1_CORP SG&amp;A" xfId="0"/>
    <cellStyle name="20% - 强调文字颜色 2" xfId="0"/>
    <cellStyle name="20% - 强调文字颜色 2 10" xfId="0"/>
    <cellStyle name="20% - 强调文字颜色 2 11" xfId="0"/>
    <cellStyle name="20% - 强调文字颜色 2 12" xfId="0"/>
    <cellStyle name="20% - 强调文字颜色 2 13" xfId="0"/>
    <cellStyle name="20% - 强调文字颜色 2 14" xfId="0"/>
    <cellStyle name="20% - 强调文字颜色 2 15" xfId="0"/>
    <cellStyle name="20% - 强调文字颜色 2 16" xfId="0"/>
    <cellStyle name="20% - 强调文字颜色 2 17" xfId="0"/>
    <cellStyle name="20% - 强调文字颜色 2 18" xfId="0"/>
    <cellStyle name="20% - 强调文字颜色 2 19" xfId="0"/>
    <cellStyle name="20% - 强调文字颜色 2 2" xfId="0"/>
    <cellStyle name="20% - 强调文字颜色 2 2 10" xfId="0"/>
    <cellStyle name="20% - 强调文字颜色 2 2 11" xfId="0"/>
    <cellStyle name="20% - 强调文字颜色 2 2 12" xfId="0"/>
    <cellStyle name="20% - 强调文字颜色 2 2 13" xfId="0"/>
    <cellStyle name="20% - 强调文字颜色 2 2 14" xfId="0"/>
    <cellStyle name="20% - 强调文字颜色 2 2 15" xfId="0"/>
    <cellStyle name="20% - 强调文字颜色 2 2 16" xfId="0"/>
    <cellStyle name="20% - 强调文字颜色 2 2 17" xfId="0"/>
    <cellStyle name="20% - 强调文字颜色 2 2 18" xfId="0"/>
    <cellStyle name="20% - 强调文字颜色 2 2 19" xfId="0"/>
    <cellStyle name="20% - 强调文字颜色 2 2 2" xfId="0"/>
    <cellStyle name="20% - 强调文字颜色 2 2 20" xfId="0"/>
    <cellStyle name="20% - 强调文字颜色 2 2 21" xfId="0"/>
    <cellStyle name="20% - 强调文字颜色 2 2 22" xfId="0"/>
    <cellStyle name="20% - 强调文字颜色 2 2 23" xfId="0"/>
    <cellStyle name="20% - 强调文字颜色 2 2 24" xfId="0"/>
    <cellStyle name="20% - 强调文字颜色 2 2 25" xfId="0"/>
    <cellStyle name="20% - 强调文字颜色 2 2 3" xfId="0"/>
    <cellStyle name="20% - 强调文字颜色 2 2 4" xfId="0"/>
    <cellStyle name="20% - 强调文字颜色 2 2 5" xfId="0"/>
    <cellStyle name="20% - 强调文字颜色 2 2 6" xfId="0"/>
    <cellStyle name="20% - 强调文字颜色 2 2 7" xfId="0"/>
    <cellStyle name="20% - 强调文字颜色 2 2 8" xfId="0"/>
    <cellStyle name="20% - 强调文字颜色 2 2 9" xfId="0"/>
    <cellStyle name="20% - 强调文字颜色 2 20" xfId="0"/>
    <cellStyle name="20% - 强调文字颜色 2 21" xfId="0"/>
    <cellStyle name="20% - 强调文字颜色 2 22" xfId="0"/>
    <cellStyle name="20% - 强调文字颜色 2 23" xfId="0"/>
    <cellStyle name="20% - 强调文字颜色 2 24" xfId="0"/>
    <cellStyle name="20% - 强调文字颜色 2 25" xfId="0"/>
    <cellStyle name="20% - 强调文字颜色 2 26" xfId="0"/>
    <cellStyle name="20% - 强调文字颜色 2 27" xfId="0"/>
    <cellStyle name="20% - 强调文字颜色 2 28" xfId="0"/>
    <cellStyle name="20% - 强调文字颜色 2 29" xfId="0"/>
    <cellStyle name="20% - 强调文字颜色 2 3" xfId="0"/>
    <cellStyle name="20% - 强调文字颜色 2 30" xfId="0"/>
    <cellStyle name="20% - 强调文字颜色 2 31" xfId="0"/>
    <cellStyle name="20% - 强调文字颜色 2 32" xfId="0"/>
    <cellStyle name="20% - 强调文字颜色 2 33" xfId="0"/>
    <cellStyle name="20% - 强调文字颜色 2 34" xfId="0"/>
    <cellStyle name="20% - 强调文字颜色 2 35" xfId="0"/>
    <cellStyle name="20% - 强调文字颜色 2 36" xfId="0"/>
    <cellStyle name="20% - 强调文字颜色 2 37" xfId="0"/>
    <cellStyle name="20% - 强调文字颜色 2 38" xfId="0"/>
    <cellStyle name="20% - 强调文字颜色 2 39" xfId="0"/>
    <cellStyle name="20% - 强调文字颜色 2 4" xfId="0"/>
    <cellStyle name="20% - 强调文字颜色 2 40" xfId="0"/>
    <cellStyle name="20% - 强调文字颜色 2 41" xfId="0"/>
    <cellStyle name="20% - 强调文字颜色 2 42" xfId="0"/>
    <cellStyle name="20% - 强调文字颜色 2 43" xfId="0"/>
    <cellStyle name="20% - 强调文字颜色 2 44" xfId="0"/>
    <cellStyle name="20% - 强调文字颜色 2 45" xfId="0"/>
    <cellStyle name="20% - 强调文字颜色 2 46" xfId="0"/>
    <cellStyle name="20% - 强调文字颜色 2 47" xfId="0"/>
    <cellStyle name="20% - 强调文字颜色 2 48" xfId="0"/>
    <cellStyle name="20% - 强调文字颜色 2 49" xfId="0"/>
    <cellStyle name="20% - 强调文字颜色 2 5" xfId="0"/>
    <cellStyle name="20% - 强调文字颜色 2 50" xfId="0"/>
    <cellStyle name="20% - 强调文字颜色 2 51" xfId="0"/>
    <cellStyle name="20% - 强调文字颜色 2 52" xfId="0"/>
    <cellStyle name="20% - 强调文字颜色 2 53" xfId="0"/>
    <cellStyle name="20% - 强调文字颜色 2 54" xfId="0"/>
    <cellStyle name="20% - 强调文字颜色 2 55" xfId="0"/>
    <cellStyle name="20% - 强调文字颜色 2 56" xfId="0"/>
    <cellStyle name="20% - 强调文字颜色 2 57" xfId="0"/>
    <cellStyle name="20% - 强调文字颜色 2 58" xfId="0"/>
    <cellStyle name="20% - 强调文字颜色 2 59" xfId="0"/>
    <cellStyle name="20% - 强调文字颜色 2 6" xfId="0"/>
    <cellStyle name="20% - 强调文字颜色 2 60" xfId="0"/>
    <cellStyle name="20% - 强调文字颜色 2 61" xfId="0"/>
    <cellStyle name="20% - 强调文字颜色 2 62" xfId="0"/>
    <cellStyle name="20% - 强调文字颜色 2 63" xfId="0"/>
    <cellStyle name="20% - 强调文字颜色 2 64" xfId="0"/>
    <cellStyle name="20% - 强调文字颜色 2 65" xfId="0"/>
    <cellStyle name="20% - 强调文字颜色 2 66" xfId="0"/>
    <cellStyle name="20% - 强调文字颜色 2 67" xfId="0"/>
    <cellStyle name="20% - 强调文字颜色 2 68" xfId="0"/>
    <cellStyle name="20% - 强调文字颜色 2 69" xfId="0"/>
    <cellStyle name="20% - 强调文字颜色 2 7" xfId="0"/>
    <cellStyle name="20% - 强调文字颜色 2 70" xfId="0"/>
    <cellStyle name="20% - 强调文字颜色 2 71" xfId="0"/>
    <cellStyle name="20% - 强调文字颜色 2 72" xfId="0"/>
    <cellStyle name="20% - 强调文字颜色 2 73" xfId="0"/>
    <cellStyle name="20% - 强调文字颜色 2 74" xfId="0"/>
    <cellStyle name="20% - 强调文字颜色 2 75" xfId="0"/>
    <cellStyle name="20% - 强调文字颜色 2 76" xfId="0"/>
    <cellStyle name="20% - 强调文字颜色 2 77" xfId="0"/>
    <cellStyle name="20% - 强调文字颜色 2 78" xfId="0"/>
    <cellStyle name="20% - 强调文字颜色 2 79" xfId="0"/>
    <cellStyle name="20% - 强调文字颜色 2 8" xfId="0"/>
    <cellStyle name="20% - 强调文字颜色 2 80" xfId="0"/>
    <cellStyle name="20% - 强调文字颜色 2 81" xfId="0"/>
    <cellStyle name="20% - 强调文字颜色 2 82" xfId="0"/>
    <cellStyle name="20% - 强调文字颜色 2 83" xfId="0"/>
    <cellStyle name="20% - 强调文字颜色 2 84" xfId="0"/>
    <cellStyle name="20% - 强调文字颜色 2 9" xfId="0"/>
    <cellStyle name="20% - 强调文字颜色 2_CORP SG&amp;A" xfId="0"/>
    <cellStyle name="20% - 强调文字颜色 3" xfId="0"/>
    <cellStyle name="20% - 强调文字颜色 3 10" xfId="0"/>
    <cellStyle name="20% - 强调文字颜色 3 11" xfId="0"/>
    <cellStyle name="20% - 强调文字颜色 3 12" xfId="0"/>
    <cellStyle name="20% - 强调文字颜色 3 13" xfId="0"/>
    <cellStyle name="20% - 强调文字颜色 3 14" xfId="0"/>
    <cellStyle name="20% - 强调文字颜色 3 15" xfId="0"/>
    <cellStyle name="20% - 强调文字颜色 3 16" xfId="0"/>
    <cellStyle name="20% - 强调文字颜色 3 17" xfId="0"/>
    <cellStyle name="20% - 强调文字颜色 3 18" xfId="0"/>
    <cellStyle name="20% - 强调文字颜色 3 19" xfId="0"/>
    <cellStyle name="20% - 强调文字颜色 3 2" xfId="0"/>
    <cellStyle name="20% - 强调文字颜色 3 2 10" xfId="0"/>
    <cellStyle name="20% - 强调文字颜色 3 2 11" xfId="0"/>
    <cellStyle name="20% - 强调文字颜色 3 2 12" xfId="0"/>
    <cellStyle name="20% - 强调文字颜色 3 2 13" xfId="0"/>
    <cellStyle name="20% - 强调文字颜色 3 2 14" xfId="0"/>
    <cellStyle name="20% - 强调文字颜色 3 2 15" xfId="0"/>
    <cellStyle name="20% - 强调文字颜色 3 2 16" xfId="0"/>
    <cellStyle name="20% - 强调文字颜色 3 2 17" xfId="0"/>
    <cellStyle name="20% - 强调文字颜色 3 2 18" xfId="0"/>
    <cellStyle name="20% - 强调文字颜色 3 2 19" xfId="0"/>
    <cellStyle name="20% - 强调文字颜色 3 2 2" xfId="0"/>
    <cellStyle name="20% - 强调文字颜色 3 2 20" xfId="0"/>
    <cellStyle name="20% - 强调文字颜色 3 2 21" xfId="0"/>
    <cellStyle name="20% - 强调文字颜色 3 2 22" xfId="0"/>
    <cellStyle name="20% - 强调文字颜色 3 2 23" xfId="0"/>
    <cellStyle name="20% - 强调文字颜色 3 2 24" xfId="0"/>
    <cellStyle name="20% - 强调文字颜色 3 2 25" xfId="0"/>
    <cellStyle name="20% - 强调文字颜色 3 2 3" xfId="0"/>
    <cellStyle name="20% - 强调文字颜色 3 2 4" xfId="0"/>
    <cellStyle name="20% - 强调文字颜色 3 2 5" xfId="0"/>
    <cellStyle name="20% - 强调文字颜色 3 2 6" xfId="0"/>
    <cellStyle name="20% - 强调文字颜色 3 2 7" xfId="0"/>
    <cellStyle name="20% - 强调文字颜色 3 2 8" xfId="0"/>
    <cellStyle name="20% - 强调文字颜色 3 2 9" xfId="0"/>
    <cellStyle name="20% - 强调文字颜色 3 20" xfId="0"/>
    <cellStyle name="20% - 强调文字颜色 3 21" xfId="0"/>
    <cellStyle name="20% - 强调文字颜色 3 22" xfId="0"/>
    <cellStyle name="20% - 强调文字颜色 3 23" xfId="0"/>
    <cellStyle name="20% - 强调文字颜色 3 24" xfId="0"/>
    <cellStyle name="20% - 强调文字颜色 3 25" xfId="0"/>
    <cellStyle name="20% - 强调文字颜色 3 26" xfId="0"/>
    <cellStyle name="20% - 强调文字颜色 3 27" xfId="0"/>
    <cellStyle name="20% - 强调文字颜色 3 28" xfId="0"/>
    <cellStyle name="20% - 强调文字颜色 3 29" xfId="0"/>
    <cellStyle name="20% - 强调文字颜色 3 3" xfId="0"/>
    <cellStyle name="20% - 强调文字颜色 3 30" xfId="0"/>
    <cellStyle name="20% - 强调文字颜色 3 31" xfId="0"/>
    <cellStyle name="20% - 强调文字颜色 3 32" xfId="0"/>
    <cellStyle name="20% - 强调文字颜色 3 33" xfId="0"/>
    <cellStyle name="20% - 强调文字颜色 3 34" xfId="0"/>
    <cellStyle name="20% - 强调文字颜色 3 35" xfId="0"/>
    <cellStyle name="20% - 强调文字颜色 3 36" xfId="0"/>
    <cellStyle name="20% - 强调文字颜色 3 37" xfId="0"/>
    <cellStyle name="20% - 强调文字颜色 3 38" xfId="0"/>
    <cellStyle name="20% - 强调文字颜色 3 39" xfId="0"/>
    <cellStyle name="20% - 强调文字颜色 3 4" xfId="0"/>
    <cellStyle name="20% - 强调文字颜色 3 40" xfId="0"/>
    <cellStyle name="20% - 强调文字颜色 3 41" xfId="0"/>
    <cellStyle name="20% - 强调文字颜色 3 42" xfId="0"/>
    <cellStyle name="20% - 强调文字颜色 3 43" xfId="0"/>
    <cellStyle name="20% - 强调文字颜色 3 44" xfId="0"/>
    <cellStyle name="20% - 强调文字颜色 3 45" xfId="0"/>
    <cellStyle name="20% - 强调文字颜色 3 46" xfId="0"/>
    <cellStyle name="20% - 强调文字颜色 3 47" xfId="0"/>
    <cellStyle name="20% - 强调文字颜色 3 48" xfId="0"/>
    <cellStyle name="20% - 强调文字颜色 3 49" xfId="0"/>
    <cellStyle name="20% - 强调文字颜色 3 5" xfId="0"/>
    <cellStyle name="20% - 强调文字颜色 3 50" xfId="0"/>
    <cellStyle name="20% - 强调文字颜色 3 51" xfId="0"/>
    <cellStyle name="20% - 强调文字颜色 3 52" xfId="0"/>
    <cellStyle name="20% - 强调文字颜色 3 53" xfId="0"/>
    <cellStyle name="20% - 强调文字颜色 3 54" xfId="0"/>
    <cellStyle name="20% - 强调文字颜色 3 55" xfId="0"/>
    <cellStyle name="20% - 强调文字颜色 3 56" xfId="0"/>
    <cellStyle name="20% - 强调文字颜色 3 57" xfId="0"/>
    <cellStyle name="20% - 强调文字颜色 3 58" xfId="0"/>
    <cellStyle name="20% - 强调文字颜色 3 59" xfId="0"/>
    <cellStyle name="20% - 强调文字颜色 3 6" xfId="0"/>
    <cellStyle name="20% - 强调文字颜色 3 60" xfId="0"/>
    <cellStyle name="20% - 强调文字颜色 3 61" xfId="0"/>
    <cellStyle name="20% - 强调文字颜色 3 62" xfId="0"/>
    <cellStyle name="20% - 强调文字颜色 3 63" xfId="0"/>
    <cellStyle name="20% - 强调文字颜色 3 64" xfId="0"/>
    <cellStyle name="20% - 强调文字颜色 3 65" xfId="0"/>
    <cellStyle name="20% - 强调文字颜色 3 66" xfId="0"/>
    <cellStyle name="20% - 强调文字颜色 3 67" xfId="0"/>
    <cellStyle name="20% - 强调文字颜色 3 68" xfId="0"/>
    <cellStyle name="20% - 强调文字颜色 3 69" xfId="0"/>
    <cellStyle name="20% - 强调文字颜色 3 7" xfId="0"/>
    <cellStyle name="20% - 强调文字颜色 3 70" xfId="0"/>
    <cellStyle name="20% - 强调文字颜色 3 71" xfId="0"/>
    <cellStyle name="20% - 强调文字颜色 3 72" xfId="0"/>
    <cellStyle name="20% - 强调文字颜色 3 73" xfId="0"/>
    <cellStyle name="20% - 强调文字颜色 3 74" xfId="0"/>
    <cellStyle name="20% - 强调文字颜色 3 75" xfId="0"/>
    <cellStyle name="20% - 强调文字颜色 3 76" xfId="0"/>
    <cellStyle name="20% - 强调文字颜色 3 77" xfId="0"/>
    <cellStyle name="20% - 强调文字颜色 3 78" xfId="0"/>
    <cellStyle name="20% - 强调文字颜色 3 79" xfId="0"/>
    <cellStyle name="20% - 强调文字颜色 3 8" xfId="0"/>
    <cellStyle name="20% - 强调文字颜色 3 80" xfId="0"/>
    <cellStyle name="20% - 强调文字颜色 3 81" xfId="0"/>
    <cellStyle name="20% - 强调文字颜色 3 82" xfId="0"/>
    <cellStyle name="20% - 强调文字颜色 3 83" xfId="0"/>
    <cellStyle name="20% - 强调文字颜色 3 84" xfId="0"/>
    <cellStyle name="20% - 强调文字颜色 3 9" xfId="0"/>
    <cellStyle name="20% - 强调文字颜色 3_CORP SG&amp;A" xfId="0"/>
    <cellStyle name="20% - 强调文字颜色 4" xfId="0"/>
    <cellStyle name="20% - 强调文字颜色 4 10" xfId="0"/>
    <cellStyle name="20% - 强调文字颜色 4 11" xfId="0"/>
    <cellStyle name="20% - 强调文字颜色 4 12" xfId="0"/>
    <cellStyle name="20% - 强调文字颜色 4 13" xfId="0"/>
    <cellStyle name="20% - 强调文字颜色 4 14" xfId="0"/>
    <cellStyle name="20% - 强调文字颜色 4 15" xfId="0"/>
    <cellStyle name="20% - 强调文字颜色 4 16" xfId="0"/>
    <cellStyle name="20% - 强调文字颜色 4 17" xfId="0"/>
    <cellStyle name="20% - 强调文字颜色 4 18" xfId="0"/>
    <cellStyle name="20% - 强调文字颜色 4 19" xfId="0"/>
    <cellStyle name="20% - 强调文字颜色 4 2" xfId="0"/>
    <cellStyle name="20% - 强调文字颜色 4 2 10" xfId="0"/>
    <cellStyle name="20% - 强调文字颜色 4 2 11" xfId="0"/>
    <cellStyle name="20% - 强调文字颜色 4 2 12" xfId="0"/>
    <cellStyle name="20% - 强调文字颜色 4 2 13" xfId="0"/>
    <cellStyle name="20% - 强调文字颜色 4 2 14" xfId="0"/>
    <cellStyle name="20% - 强调文字颜色 4 2 15" xfId="0"/>
    <cellStyle name="20% - 强调文字颜色 4 2 16" xfId="0"/>
    <cellStyle name="20% - 强调文字颜色 4 2 17" xfId="0"/>
    <cellStyle name="20% - 强调文字颜色 4 2 18" xfId="0"/>
    <cellStyle name="20% - 强调文字颜色 4 2 19" xfId="0"/>
    <cellStyle name="20% - 强调文字颜色 4 2 2" xfId="0"/>
    <cellStyle name="20% - 强调文字颜色 4 2 20" xfId="0"/>
    <cellStyle name="20% - 强调文字颜色 4 2 21" xfId="0"/>
    <cellStyle name="20% - 强调文字颜色 4 2 22" xfId="0"/>
    <cellStyle name="20% - 强调文字颜色 4 2 23" xfId="0"/>
    <cellStyle name="20% - 强调文字颜色 4 2 24" xfId="0"/>
    <cellStyle name="20% - 强调文字颜色 4 2 25" xfId="0"/>
    <cellStyle name="20% - 强调文字颜色 4 2 3" xfId="0"/>
    <cellStyle name="20% - 强调文字颜色 4 2 4" xfId="0"/>
    <cellStyle name="20% - 强调文字颜色 4 2 5" xfId="0"/>
    <cellStyle name="20% - 强调文字颜色 4 2 6" xfId="0"/>
    <cellStyle name="20% - 强调文字颜色 4 2 7" xfId="0"/>
    <cellStyle name="20% - 强调文字颜色 4 2 8" xfId="0"/>
    <cellStyle name="20% - 强调文字颜色 4 2 9" xfId="0"/>
    <cellStyle name="20% - 强调文字颜色 4 20" xfId="0"/>
    <cellStyle name="20% - 强调文字颜色 4 21" xfId="0"/>
    <cellStyle name="20% - 强调文字颜色 4 22" xfId="0"/>
    <cellStyle name="20% - 强调文字颜色 4 23" xfId="0"/>
    <cellStyle name="20% - 强调文字颜色 4 24" xfId="0"/>
    <cellStyle name="20% - 强调文字颜色 4 25" xfId="0"/>
    <cellStyle name="20% - 强调文字颜色 4 26" xfId="0"/>
    <cellStyle name="20% - 强调文字颜色 4 27" xfId="0"/>
    <cellStyle name="20% - 强调文字颜色 4 28" xfId="0"/>
    <cellStyle name="20% - 强调文字颜色 4 29" xfId="0"/>
    <cellStyle name="20% - 强调文字颜色 4 3" xfId="0"/>
    <cellStyle name="20% - 强调文字颜色 4 30" xfId="0"/>
    <cellStyle name="20% - 强调文字颜色 4 31" xfId="0"/>
    <cellStyle name="20% - 强调文字颜色 4 32" xfId="0"/>
    <cellStyle name="20% - 强调文字颜色 4 33" xfId="0"/>
    <cellStyle name="20% - 强调文字颜色 4 34" xfId="0"/>
    <cellStyle name="20% - 强调文字颜色 4 35" xfId="0"/>
    <cellStyle name="20% - 强调文字颜色 4 36" xfId="0"/>
    <cellStyle name="20% - 强调文字颜色 4 37" xfId="0"/>
    <cellStyle name="20% - 强调文字颜色 4 38" xfId="0"/>
    <cellStyle name="20% - 强调文字颜色 4 39" xfId="0"/>
    <cellStyle name="20% - 强调文字颜色 4 4" xfId="0"/>
    <cellStyle name="20% - 强调文字颜色 4 40" xfId="0"/>
    <cellStyle name="20% - 强调文字颜色 4 41" xfId="0"/>
    <cellStyle name="20% - 强调文字颜色 4 42" xfId="0"/>
    <cellStyle name="20% - 强调文字颜色 4 43" xfId="0"/>
    <cellStyle name="20% - 强调文字颜色 4 44" xfId="0"/>
    <cellStyle name="20% - 强调文字颜色 4 45" xfId="0"/>
    <cellStyle name="20% - 强调文字颜色 4 46" xfId="0"/>
    <cellStyle name="20% - 强调文字颜色 4 47" xfId="0"/>
    <cellStyle name="20% - 强调文字颜色 4 48" xfId="0"/>
    <cellStyle name="20% - 强调文字颜色 4 49" xfId="0"/>
    <cellStyle name="20% - 强调文字颜色 4 5" xfId="0"/>
    <cellStyle name="20% - 强调文字颜色 4 50" xfId="0"/>
    <cellStyle name="20% - 强调文字颜色 4 51" xfId="0"/>
    <cellStyle name="20% - 强调文字颜色 4 52" xfId="0"/>
    <cellStyle name="20% - 强调文字颜色 4 53" xfId="0"/>
    <cellStyle name="20% - 强调文字颜色 4 54" xfId="0"/>
    <cellStyle name="20% - 强调文字颜色 4 55" xfId="0"/>
    <cellStyle name="20% - 强调文字颜色 4 56" xfId="0"/>
    <cellStyle name="20% - 强调文字颜色 4 57" xfId="0"/>
    <cellStyle name="20% - 强调文字颜色 4 58" xfId="0"/>
    <cellStyle name="20% - 强调文字颜色 4 59" xfId="0"/>
    <cellStyle name="20% - 强调文字颜色 4 6" xfId="0"/>
    <cellStyle name="20% - 强调文字颜色 4 60" xfId="0"/>
    <cellStyle name="20% - 强调文字颜色 4 61" xfId="0"/>
    <cellStyle name="20% - 强调文字颜色 4 62" xfId="0"/>
    <cellStyle name="20% - 强调文字颜色 4 63" xfId="0"/>
    <cellStyle name="20% - 强调文字颜色 4 64" xfId="0"/>
    <cellStyle name="20% - 强调文字颜色 4 65" xfId="0"/>
    <cellStyle name="20% - 强调文字颜色 4 66" xfId="0"/>
    <cellStyle name="20% - 强调文字颜色 4 67" xfId="0"/>
    <cellStyle name="20% - 强调文字颜色 4 68" xfId="0"/>
    <cellStyle name="20% - 强调文字颜色 4 69" xfId="0"/>
    <cellStyle name="20% - 强调文字颜色 4 7" xfId="0"/>
    <cellStyle name="20% - 强调文字颜色 4 70" xfId="0"/>
    <cellStyle name="20% - 强调文字颜色 4 71" xfId="0"/>
    <cellStyle name="20% - 强调文字颜色 4 72" xfId="0"/>
    <cellStyle name="20% - 强调文字颜色 4 73" xfId="0"/>
    <cellStyle name="20% - 强调文字颜色 4 74" xfId="0"/>
    <cellStyle name="20% - 强调文字颜色 4 75" xfId="0"/>
    <cellStyle name="20% - 强调文字颜色 4 76" xfId="0"/>
    <cellStyle name="20% - 强调文字颜色 4 77" xfId="0"/>
    <cellStyle name="20% - 强调文字颜色 4 78" xfId="0"/>
    <cellStyle name="20% - 强调文字颜色 4 79" xfId="0"/>
    <cellStyle name="20% - 强调文字颜色 4 8" xfId="0"/>
    <cellStyle name="20% - 强调文字颜色 4 80" xfId="0"/>
    <cellStyle name="20% - 强调文字颜色 4 81" xfId="0"/>
    <cellStyle name="20% - 强调文字颜色 4 82" xfId="0"/>
    <cellStyle name="20% - 强调文字颜色 4 83" xfId="0"/>
    <cellStyle name="20% - 强调文字颜色 4 84" xfId="0"/>
    <cellStyle name="20% - 强调文字颜色 4 9" xfId="0"/>
    <cellStyle name="20% - 强调文字颜色 4_CORP SG&amp;A" xfId="0"/>
    <cellStyle name="20% - 强调文字颜色 5" xfId="0"/>
    <cellStyle name="20% - 强调文字颜色 5 10" xfId="0"/>
    <cellStyle name="20% - 强调文字颜色 5 11" xfId="0"/>
    <cellStyle name="20% - 强调文字颜色 5 12" xfId="0"/>
    <cellStyle name="20% - 强调文字颜色 5 13" xfId="0"/>
    <cellStyle name="20% - 强调文字颜色 5 14" xfId="0"/>
    <cellStyle name="20% - 强调文字颜色 5 15" xfId="0"/>
    <cellStyle name="20% - 强调文字颜色 5 16" xfId="0"/>
    <cellStyle name="20% - 强调文字颜色 5 17" xfId="0"/>
    <cellStyle name="20% - 强调文字颜色 5 18" xfId="0"/>
    <cellStyle name="20% - 强调文字颜色 5 19" xfId="0"/>
    <cellStyle name="20% - 强调文字颜色 5 2" xfId="0"/>
    <cellStyle name="20% - 强调文字颜色 5 2 10" xfId="0"/>
    <cellStyle name="20% - 强调文字颜色 5 2 11" xfId="0"/>
    <cellStyle name="20% - 强调文字颜色 5 2 12" xfId="0"/>
    <cellStyle name="20% - 强调文字颜色 5 2 13" xfId="0"/>
    <cellStyle name="20% - 强调文字颜色 5 2 14" xfId="0"/>
    <cellStyle name="20% - 强调文字颜色 5 2 15" xfId="0"/>
    <cellStyle name="20% - 强调文字颜色 5 2 16" xfId="0"/>
    <cellStyle name="20% - 强调文字颜色 5 2 17" xfId="0"/>
    <cellStyle name="20% - 强调文字颜色 5 2 18" xfId="0"/>
    <cellStyle name="20% - 强调文字颜色 5 2 19" xfId="0"/>
    <cellStyle name="20% - 强调文字颜色 5 2 2" xfId="0"/>
    <cellStyle name="20% - 强调文字颜色 5 2 20" xfId="0"/>
    <cellStyle name="20% - 强调文字颜色 5 2 21" xfId="0"/>
    <cellStyle name="20% - 强调文字颜色 5 2 22" xfId="0"/>
    <cellStyle name="20% - 强调文字颜色 5 2 23" xfId="0"/>
    <cellStyle name="20% - 强调文字颜色 5 2 24" xfId="0"/>
    <cellStyle name="20% - 强调文字颜色 5 2 3" xfId="0"/>
    <cellStyle name="20% - 强调文字颜色 5 2 4" xfId="0"/>
    <cellStyle name="20% - 强调文字颜色 5 2 5" xfId="0"/>
    <cellStyle name="20% - 强调文字颜色 5 2 6" xfId="0"/>
    <cellStyle name="20% - 强调文字颜色 5 2 7" xfId="0"/>
    <cellStyle name="20% - 强调文字颜色 5 2 8" xfId="0"/>
    <cellStyle name="20% - 强调文字颜色 5 2 9" xfId="0"/>
    <cellStyle name="20% - 强调文字颜色 5 20" xfId="0"/>
    <cellStyle name="20% - 强调文字颜色 5 21" xfId="0"/>
    <cellStyle name="20% - 强调文字颜色 5 22" xfId="0"/>
    <cellStyle name="20% - 强调文字颜色 5 23" xfId="0"/>
    <cellStyle name="20% - 强调文字颜色 5 24" xfId="0"/>
    <cellStyle name="20% - 强调文字颜色 5 25" xfId="0"/>
    <cellStyle name="20% - 强调文字颜色 5 26" xfId="0"/>
    <cellStyle name="20% - 强调文字颜色 5 27" xfId="0"/>
    <cellStyle name="20% - 强调文字颜色 5 28" xfId="0"/>
    <cellStyle name="20% - 强调文字颜色 5 29" xfId="0"/>
    <cellStyle name="20% - 强调文字颜色 5 3" xfId="0"/>
    <cellStyle name="20% - 强调文字颜色 5 30" xfId="0"/>
    <cellStyle name="20% - 强调文字颜色 5 31" xfId="0"/>
    <cellStyle name="20% - 强调文字颜色 5 32" xfId="0"/>
    <cellStyle name="20% - 强调文字颜色 5 33" xfId="0"/>
    <cellStyle name="20% - 强调文字颜色 5 34" xfId="0"/>
    <cellStyle name="20% - 强调文字颜色 5 35" xfId="0"/>
    <cellStyle name="20% - 强调文字颜色 5 36" xfId="0"/>
    <cellStyle name="20% - 强调文字颜色 5 37" xfId="0"/>
    <cellStyle name="20% - 强调文字颜色 5 38" xfId="0"/>
    <cellStyle name="20% - 强调文字颜色 5 39" xfId="0"/>
    <cellStyle name="20% - 强调文字颜色 5 4" xfId="0"/>
    <cellStyle name="20% - 强调文字颜色 5 40" xfId="0"/>
    <cellStyle name="20% - 强调文字颜色 5 41" xfId="0"/>
    <cellStyle name="20% - 强调文字颜色 5 42" xfId="0"/>
    <cellStyle name="20% - 强调文字颜色 5 43" xfId="0"/>
    <cellStyle name="20% - 强调文字颜色 5 44" xfId="0"/>
    <cellStyle name="20% - 强调文字颜色 5 45" xfId="0"/>
    <cellStyle name="20% - 强调文字颜色 5 46" xfId="0"/>
    <cellStyle name="20% - 强调文字颜色 5 47" xfId="0"/>
    <cellStyle name="20% - 强调文字颜色 5 48" xfId="0"/>
    <cellStyle name="20% - 强调文字颜色 5 49" xfId="0"/>
    <cellStyle name="20% - 强调文字颜色 5 5" xfId="0"/>
    <cellStyle name="20% - 强调文字颜色 5 50" xfId="0"/>
    <cellStyle name="20% - 强调文字颜色 5 51" xfId="0"/>
    <cellStyle name="20% - 强调文字颜色 5 52" xfId="0"/>
    <cellStyle name="20% - 强调文字颜色 5 53" xfId="0"/>
    <cellStyle name="20% - 强调文字颜色 5 54" xfId="0"/>
    <cellStyle name="20% - 强调文字颜色 5 55" xfId="0"/>
    <cellStyle name="20% - 强调文字颜色 5 56" xfId="0"/>
    <cellStyle name="20% - 强调文字颜色 5 57" xfId="0"/>
    <cellStyle name="20% - 强调文字颜色 5 58" xfId="0"/>
    <cellStyle name="20% - 强调文字颜色 5 59" xfId="0"/>
    <cellStyle name="20% - 强调文字颜色 5 6" xfId="0"/>
    <cellStyle name="20% - 强调文字颜色 5 60" xfId="0"/>
    <cellStyle name="20% - 强调文字颜色 5 61" xfId="0"/>
    <cellStyle name="20% - 强调文字颜色 5 62" xfId="0"/>
    <cellStyle name="20% - 强调文字颜色 5 63" xfId="0"/>
    <cellStyle name="20% - 强调文字颜色 5 64" xfId="0"/>
    <cellStyle name="20% - 强调文字颜色 5 65" xfId="0"/>
    <cellStyle name="20% - 强调文字颜色 5 66" xfId="0"/>
    <cellStyle name="20% - 强调文字颜色 5 67" xfId="0"/>
    <cellStyle name="20% - 强调文字颜色 5 68" xfId="0"/>
    <cellStyle name="20% - 强调文字颜色 5 69" xfId="0"/>
    <cellStyle name="20% - 强调文字颜色 5 7" xfId="0"/>
    <cellStyle name="20% - 强调文字颜色 5 70" xfId="0"/>
    <cellStyle name="20% - 强调文字颜色 5 71" xfId="0"/>
    <cellStyle name="20% - 强调文字颜色 5 72" xfId="0"/>
    <cellStyle name="20% - 强调文字颜色 5 73" xfId="0"/>
    <cellStyle name="20% - 强调文字颜色 5 74" xfId="0"/>
    <cellStyle name="20% - 强调文字颜色 5 75" xfId="0"/>
    <cellStyle name="20% - 强调文字颜色 5 76" xfId="0"/>
    <cellStyle name="20% - 强调文字颜色 5 77" xfId="0"/>
    <cellStyle name="20% - 强调文字颜色 5 78" xfId="0"/>
    <cellStyle name="20% - 强调文字颜色 5 79" xfId="0"/>
    <cellStyle name="20% - 强调文字颜色 5 8" xfId="0"/>
    <cellStyle name="20% - 强调文字颜色 5 80" xfId="0"/>
    <cellStyle name="20% - 强调文字颜色 5 81" xfId="0"/>
    <cellStyle name="20% - 强调文字颜色 5 82" xfId="0"/>
    <cellStyle name="20% - 强调文字颜色 5 83" xfId="0"/>
    <cellStyle name="20% - 强调文字颜色 5 9" xfId="0"/>
    <cellStyle name="20% - 强调文字颜色 5_CORP SG&amp;A" xfId="0"/>
    <cellStyle name="20% - 强调文字颜色 6" xfId="0"/>
    <cellStyle name="20% - 强调文字颜色 6 10" xfId="0"/>
    <cellStyle name="20% - 强调文字颜色 6 11" xfId="0"/>
    <cellStyle name="20% - 强调文字颜色 6 12" xfId="0"/>
    <cellStyle name="20% - 强调文字颜色 6 13" xfId="0"/>
    <cellStyle name="20% - 强调文字颜色 6 14" xfId="0"/>
    <cellStyle name="20% - 强调文字颜色 6 15" xfId="0"/>
    <cellStyle name="20% - 强调文字颜色 6 16" xfId="0"/>
    <cellStyle name="20% - 强调文字颜色 6 17" xfId="0"/>
    <cellStyle name="20% - 强调文字颜色 6 18" xfId="0"/>
    <cellStyle name="20% - 强调文字颜色 6 19" xfId="0"/>
    <cellStyle name="20% - 强调文字颜色 6 2" xfId="0"/>
    <cellStyle name="20% - 强调文字颜色 6 2 10" xfId="0"/>
    <cellStyle name="20% - 强调文字颜色 6 2 11" xfId="0"/>
    <cellStyle name="20% - 强调文字颜色 6 2 12" xfId="0"/>
    <cellStyle name="20% - 强调文字颜色 6 2 13" xfId="0"/>
    <cellStyle name="20% - 强调文字颜色 6 2 14" xfId="0"/>
    <cellStyle name="20% - 强调文字颜色 6 2 15" xfId="0"/>
    <cellStyle name="20% - 强调文字颜色 6 2 16" xfId="0"/>
    <cellStyle name="20% - 强调文字颜色 6 2 17" xfId="0"/>
    <cellStyle name="20% - 强调文字颜色 6 2 18" xfId="0"/>
    <cellStyle name="20% - 强调文字颜色 6 2 19" xfId="0"/>
    <cellStyle name="20% - 强调文字颜色 6 2 2" xfId="0"/>
    <cellStyle name="20% - 强调文字颜色 6 2 20" xfId="0"/>
    <cellStyle name="20% - 强调文字颜色 6 2 21" xfId="0"/>
    <cellStyle name="20% - 强调文字颜色 6 2 22" xfId="0"/>
    <cellStyle name="20% - 强调文字颜色 6 2 23" xfId="0"/>
    <cellStyle name="20% - 强调文字颜色 6 2 24" xfId="0"/>
    <cellStyle name="20% - 强调文字颜色 6 2 3" xfId="0"/>
    <cellStyle name="20% - 强调文字颜色 6 2 4" xfId="0"/>
    <cellStyle name="20% - 强调文字颜色 6 2 5" xfId="0"/>
    <cellStyle name="20% - 强调文字颜色 6 2 6" xfId="0"/>
    <cellStyle name="20% - 强调文字颜色 6 2 7" xfId="0"/>
    <cellStyle name="20% - 强调文字颜色 6 2 8" xfId="0"/>
    <cellStyle name="20% - 强调文字颜色 6 2 9" xfId="0"/>
    <cellStyle name="20% - 强调文字颜色 6 20" xfId="0"/>
    <cellStyle name="20% - 强调文字颜色 6 21" xfId="0"/>
    <cellStyle name="20% - 强调文字颜色 6 22" xfId="0"/>
    <cellStyle name="20% - 强调文字颜色 6 23" xfId="0"/>
    <cellStyle name="20% - 强调文字颜色 6 24" xfId="0"/>
    <cellStyle name="20% - 强调文字颜色 6 25" xfId="0"/>
    <cellStyle name="20% - 强调文字颜色 6 26" xfId="0"/>
    <cellStyle name="20% - 强调文字颜色 6 27" xfId="0"/>
    <cellStyle name="20% - 强调文字颜色 6 28" xfId="0"/>
    <cellStyle name="20% - 强调文字颜色 6 29" xfId="0"/>
    <cellStyle name="20% - 强调文字颜色 6 3" xfId="0"/>
    <cellStyle name="20% - 强调文字颜色 6 30" xfId="0"/>
    <cellStyle name="20% - 强调文字颜色 6 31" xfId="0"/>
    <cellStyle name="20% - 强调文字颜色 6 32" xfId="0"/>
    <cellStyle name="20% - 强调文字颜色 6 33" xfId="0"/>
    <cellStyle name="20% - 强调文字颜色 6 34" xfId="0"/>
    <cellStyle name="20% - 强调文字颜色 6 35" xfId="0"/>
    <cellStyle name="20% - 强调文字颜色 6 36" xfId="0"/>
    <cellStyle name="20% - 强调文字颜色 6 37" xfId="0"/>
    <cellStyle name="20% - 强调文字颜色 6 38" xfId="0"/>
    <cellStyle name="20% - 强调文字颜色 6 39" xfId="0"/>
    <cellStyle name="20% - 强调文字颜色 6 4" xfId="0"/>
    <cellStyle name="20% - 强调文字颜色 6 40" xfId="0"/>
    <cellStyle name="20% - 强调文字颜色 6 41" xfId="0"/>
    <cellStyle name="20% - 强调文字颜色 6 42" xfId="0"/>
    <cellStyle name="20% - 强调文字颜色 6 43" xfId="0"/>
    <cellStyle name="20% - 强调文字颜色 6 44" xfId="0"/>
    <cellStyle name="20% - 强调文字颜色 6 45" xfId="0"/>
    <cellStyle name="20% - 强调文字颜色 6 46" xfId="0"/>
    <cellStyle name="20% - 强调文字颜色 6 47" xfId="0"/>
    <cellStyle name="20% - 强调文字颜色 6 48" xfId="0"/>
    <cellStyle name="20% - 强调文字颜色 6 49" xfId="0"/>
    <cellStyle name="20% - 强调文字颜色 6 5" xfId="0"/>
    <cellStyle name="20% - 强调文字颜色 6 50" xfId="0"/>
    <cellStyle name="20% - 强调文字颜色 6 51" xfId="0"/>
    <cellStyle name="20% - 强调文字颜色 6 52" xfId="0"/>
    <cellStyle name="20% - 强调文字颜色 6 53" xfId="0"/>
    <cellStyle name="20% - 强调文字颜色 6 54" xfId="0"/>
    <cellStyle name="20% - 强调文字颜色 6 55" xfId="0"/>
    <cellStyle name="20% - 强调文字颜色 6 56" xfId="0"/>
    <cellStyle name="20% - 强调文字颜色 6 57" xfId="0"/>
    <cellStyle name="20% - 强调文字颜色 6 58" xfId="0"/>
    <cellStyle name="20% - 强调文字颜色 6 59" xfId="0"/>
    <cellStyle name="20% - 强调文字颜色 6 6" xfId="0"/>
    <cellStyle name="20% - 强调文字颜色 6 60" xfId="0"/>
    <cellStyle name="20% - 强调文字颜色 6 61" xfId="0"/>
    <cellStyle name="20% - 强调文字颜色 6 62" xfId="0"/>
    <cellStyle name="20% - 强调文字颜色 6 63" xfId="0"/>
    <cellStyle name="20% - 强调文字颜色 6 64" xfId="0"/>
    <cellStyle name="20% - 强调文字颜色 6 65" xfId="0"/>
    <cellStyle name="20% - 强调文字颜色 6 66" xfId="0"/>
    <cellStyle name="20% - 强调文字颜色 6 67" xfId="0"/>
    <cellStyle name="20% - 强调文字颜色 6 68" xfId="0"/>
    <cellStyle name="20% - 强调文字颜色 6 69" xfId="0"/>
    <cellStyle name="20% - 强调文字颜色 6 7" xfId="0"/>
    <cellStyle name="20% - 强调文字颜色 6 70" xfId="0"/>
    <cellStyle name="20% - 强调文字颜色 6 71" xfId="0"/>
    <cellStyle name="20% - 强调文字颜色 6 72" xfId="0"/>
    <cellStyle name="20% - 强调文字颜色 6 73" xfId="0"/>
    <cellStyle name="20% - 强调文字颜色 6 74" xfId="0"/>
    <cellStyle name="20% - 强调文字颜色 6 75" xfId="0"/>
    <cellStyle name="20% - 强调文字颜色 6 76" xfId="0"/>
    <cellStyle name="20% - 强调文字颜色 6 77" xfId="0"/>
    <cellStyle name="20% - 强调文字颜色 6 78" xfId="0"/>
    <cellStyle name="20% - 强调文字颜色 6 79" xfId="0"/>
    <cellStyle name="20% - 强调文字颜色 6 8" xfId="0"/>
    <cellStyle name="20% - 强调文字颜色 6 80" xfId="0"/>
    <cellStyle name="20% - 强调文字颜色 6 81" xfId="0"/>
    <cellStyle name="20% - 强调文字颜色 6 82" xfId="0"/>
    <cellStyle name="20% - 强调文字颜色 6 83" xfId="0"/>
    <cellStyle name="20% - 强调文字颜色 6 84" xfId="0"/>
    <cellStyle name="20% - 强调文字颜色 6 9" xfId="0"/>
    <cellStyle name="20% - 强调文字颜色 6_CORP SG&amp;A" xfId="0"/>
    <cellStyle name="20% - 輔色1 2" xfId="0"/>
    <cellStyle name="20% - 輔色1 2 2" xfId="0"/>
    <cellStyle name="20% - 輔色1 3" xfId="0"/>
    <cellStyle name="20% - 輔色1 3 2" xfId="0"/>
    <cellStyle name="20% - 輔色1 3 3" xfId="0"/>
    <cellStyle name="20% - 輔色1 4" xfId="0"/>
    <cellStyle name="20% - 輔色1 5" xfId="0"/>
    <cellStyle name="20% - 輔色2 2" xfId="0"/>
    <cellStyle name="20% - 輔色2 2 2" xfId="0"/>
    <cellStyle name="20% - 輔色2 3" xfId="0"/>
    <cellStyle name="20% - 輔色2 3 2" xfId="0"/>
    <cellStyle name="20% - 輔色2 3 3" xfId="0"/>
    <cellStyle name="20% - 輔色2 4" xfId="0"/>
    <cellStyle name="20% - 輔色2 5" xfId="0"/>
    <cellStyle name="20% - 輔色3 2" xfId="0"/>
    <cellStyle name="20% - 輔色3 2 2" xfId="0"/>
    <cellStyle name="20% - 輔色3 3" xfId="0"/>
    <cellStyle name="20% - 輔色3 3 2" xfId="0"/>
    <cellStyle name="20% - 輔色3 3 3" xfId="0"/>
    <cellStyle name="20% - 輔色3 4" xfId="0"/>
    <cellStyle name="20% - 輔色3 5" xfId="0"/>
    <cellStyle name="20% - 輔色4 2" xfId="0"/>
    <cellStyle name="20% - 輔色4 2 2" xfId="0"/>
    <cellStyle name="20% - 輔色4 3" xfId="0"/>
    <cellStyle name="20% - 輔色4 3 2" xfId="0"/>
    <cellStyle name="20% - 輔色4 3 3" xfId="0"/>
    <cellStyle name="20% - 輔色4 4" xfId="0"/>
    <cellStyle name="20% - 輔色4 5" xfId="0"/>
    <cellStyle name="20% - 輔色5 2" xfId="0"/>
    <cellStyle name="20% - 輔色5 2 2" xfId="0"/>
    <cellStyle name="20% - 輔色5 3" xfId="0"/>
    <cellStyle name="20% - 輔色5 3 2" xfId="0"/>
    <cellStyle name="20% - 輔色5 3 3" xfId="0"/>
    <cellStyle name="20% - 輔色5 4" xfId="0"/>
    <cellStyle name="20% - 輔色5 5" xfId="0"/>
    <cellStyle name="20% - 輔色6 2" xfId="0"/>
    <cellStyle name="20% - 輔色6 2 2" xfId="0"/>
    <cellStyle name="20% - 輔色6 3" xfId="0"/>
    <cellStyle name="20% - 輔色6 3 2" xfId="0"/>
    <cellStyle name="20% - 輔色6 3 3" xfId="0"/>
    <cellStyle name="20% - 輔色6 4" xfId="0"/>
    <cellStyle name="20% - 輔色6 5" xfId="0"/>
    <cellStyle name="20 % - Accent1" xfId="0"/>
    <cellStyle name="20 % - Accent1 2" xfId="0"/>
    <cellStyle name="20 % - Accent2" xfId="0"/>
    <cellStyle name="20 % - Accent2 2" xfId="0"/>
    <cellStyle name="20 % - Accent3" xfId="0"/>
    <cellStyle name="20 % - Accent3 2" xfId="0"/>
    <cellStyle name="20 % - Accent4" xfId="0"/>
    <cellStyle name="20 % - Accent4 2" xfId="0"/>
    <cellStyle name="20 % - Accent5" xfId="0"/>
    <cellStyle name="20 % - Accent5 2" xfId="0"/>
    <cellStyle name="20 % - Accent6" xfId="0"/>
    <cellStyle name="20 % - Accent6 2" xfId="0"/>
    <cellStyle name="3232" xfId="0"/>
    <cellStyle name="3232 2" xfId="0"/>
    <cellStyle name="40 % - Markeringsfarve1" xfId="0"/>
    <cellStyle name="40 % - Markeringsfarve1 2" xfId="0"/>
    <cellStyle name="40 % - Markeringsfarve2" xfId="0"/>
    <cellStyle name="40 % - Markeringsfarve2 2" xfId="0"/>
    <cellStyle name="40 % - Markeringsfarve3" xfId="0"/>
    <cellStyle name="40 % - Markeringsfarve3 2" xfId="0"/>
    <cellStyle name="40 % - Markeringsfarve4" xfId="0"/>
    <cellStyle name="40 % - Markeringsfarve4 2" xfId="0"/>
    <cellStyle name="40 % - Markeringsfarve5" xfId="0"/>
    <cellStyle name="40 % - Markeringsfarve5 2" xfId="0"/>
    <cellStyle name="40 % - Markeringsfarve6" xfId="0"/>
    <cellStyle name="40 % - Markeringsfarve6 2" xfId="0"/>
    <cellStyle name="40% - Accent1" xfId="0"/>
    <cellStyle name="40% - Accent1 10" xfId="0"/>
    <cellStyle name="40% - Accent1 10 2" xfId="0"/>
    <cellStyle name="40% - Accent1 10 2 2" xfId="0"/>
    <cellStyle name="40% - Accent1 10 3" xfId="0"/>
    <cellStyle name="40% - Accent1 10 3 2" xfId="0"/>
    <cellStyle name="40% - Accent1 10 4" xfId="0"/>
    <cellStyle name="40% - Accent1 11" xfId="0"/>
    <cellStyle name="40% - Accent1 11 2" xfId="0"/>
    <cellStyle name="40% - Accent1 11 2 2" xfId="0"/>
    <cellStyle name="40% - Accent1 11 3" xfId="0"/>
    <cellStyle name="40% - Accent1 11 3 2" xfId="0"/>
    <cellStyle name="40% - Accent1 11 4" xfId="0"/>
    <cellStyle name="40% - Accent1 12" xfId="0"/>
    <cellStyle name="40% - Accent1 12 2" xfId="0"/>
    <cellStyle name="40% - Accent1 12 2 2" xfId="0"/>
    <cellStyle name="40% - Accent1 13" xfId="0"/>
    <cellStyle name="40% - Accent1 13 2" xfId="0"/>
    <cellStyle name="40% - Accent1 13 2 2" xfId="0"/>
    <cellStyle name="40% - Accent1 14" xfId="0"/>
    <cellStyle name="40% - Accent1 14 2" xfId="0"/>
    <cellStyle name="40% - Accent1 14 2 2" xfId="0"/>
    <cellStyle name="40% - Accent1 15" xfId="0"/>
    <cellStyle name="40% - Accent1 15 2" xfId="0"/>
    <cellStyle name="40% - Accent1 15 2 2" xfId="0"/>
    <cellStyle name="40% - Accent1 16" xfId="0"/>
    <cellStyle name="40% - Accent1 16 2" xfId="0"/>
    <cellStyle name="40% - Accent1 16 2 2" xfId="0"/>
    <cellStyle name="40% - Accent1 17" xfId="0"/>
    <cellStyle name="40% - Accent1 17 2" xfId="0"/>
    <cellStyle name="40% - Accent1 17 2 2" xfId="0"/>
    <cellStyle name="40% - Accent1 18" xfId="0"/>
    <cellStyle name="40% - Accent1 18 2" xfId="0"/>
    <cellStyle name="40% - Accent1 18 2 2" xfId="0"/>
    <cellStyle name="40% - Accent1 19" xfId="0"/>
    <cellStyle name="40% - Accent1 19 2" xfId="0"/>
    <cellStyle name="40% - Accent1 19 2 2" xfId="0"/>
    <cellStyle name="40% - Accent1 2" xfId="0"/>
    <cellStyle name="40% - Accent1 2 10" xfId="0"/>
    <cellStyle name="40% - Accent1 2 11" xfId="0"/>
    <cellStyle name="40% - Accent1 2 12" xfId="0"/>
    <cellStyle name="40% - Accent1 2 13" xfId="0"/>
    <cellStyle name="40% - Accent1 2 14" xfId="0"/>
    <cellStyle name="40% - Accent1 2 15" xfId="0"/>
    <cellStyle name="40% - Accent1 2 16" xfId="0"/>
    <cellStyle name="40% - Accent1 2 17" xfId="0"/>
    <cellStyle name="40% - Accent1 2 18" xfId="0"/>
    <cellStyle name="40% - Accent1 2 19" xfId="0"/>
    <cellStyle name="40% - Accent1 2 2" xfId="0"/>
    <cellStyle name="40% - Accent1 2 2 2" xfId="0"/>
    <cellStyle name="40% - Accent1 2 2 2 2" xfId="0"/>
    <cellStyle name="40% - Accent1 2 2 3" xfId="0"/>
    <cellStyle name="40% - Accent1 2 2 3 2" xfId="0"/>
    <cellStyle name="40% - Accent1 2 2 4" xfId="0"/>
    <cellStyle name="40% - Accent1 2 2 4 2" xfId="0"/>
    <cellStyle name="40% - Accent1 2 2 5" xfId="0"/>
    <cellStyle name="40% - Accent1 2 2 6" xfId="0"/>
    <cellStyle name="40% - Accent1 2 20" xfId="0"/>
    <cellStyle name="40% - Accent1 2 21" xfId="0"/>
    <cellStyle name="40% - Accent1 2 22" xfId="0"/>
    <cellStyle name="40% - Accent1 2 23" xfId="0"/>
    <cellStyle name="40% - Accent1 2 24" xfId="0"/>
    <cellStyle name="40% - Accent1 2 25" xfId="0"/>
    <cellStyle name="40% - Accent1 2 3" xfId="0"/>
    <cellStyle name="40% - Accent1 2 3 2" xfId="0"/>
    <cellStyle name="40% - Accent1 2 3 3" xfId="0"/>
    <cellStyle name="40% - Accent1 2 4" xfId="0"/>
    <cellStyle name="40% - Accent1 2 4 2" xfId="0"/>
    <cellStyle name="40% - Accent1 2 4 3" xfId="0"/>
    <cellStyle name="40% - Accent1 2 5" xfId="0"/>
    <cellStyle name="40% - Accent1 2 5 2" xfId="0"/>
    <cellStyle name="40% - Accent1 2 5 3" xfId="0"/>
    <cellStyle name="40% - Accent1 2 6" xfId="0"/>
    <cellStyle name="40% - Accent1 2 6 2" xfId="0"/>
    <cellStyle name="40% - Accent1 2 7" xfId="0"/>
    <cellStyle name="40% - Accent1 2 7 2" xfId="0"/>
    <cellStyle name="40% - Accent1 2 8" xfId="0"/>
    <cellStyle name="40% - Accent1 2 8 2" xfId="0"/>
    <cellStyle name="40% - Accent1 2 9" xfId="0"/>
    <cellStyle name="40% - Accent1 20" xfId="0"/>
    <cellStyle name="40% - Accent1 20 2" xfId="0"/>
    <cellStyle name="40% - Accent1 20 2 2" xfId="0"/>
    <cellStyle name="40% - Accent1 21" xfId="0"/>
    <cellStyle name="40% - Accent1 21 2" xfId="0"/>
    <cellStyle name="40% - Accent1 21 2 2" xfId="0"/>
    <cellStyle name="40% - Accent1 22" xfId="0"/>
    <cellStyle name="40% - Accent1 22 2" xfId="0"/>
    <cellStyle name="40% - Accent1 22 2 2" xfId="0"/>
    <cellStyle name="40% - Accent1 23" xfId="0"/>
    <cellStyle name="40% - Accent1 23 2" xfId="0"/>
    <cellStyle name="40% - Accent1 23 2 2" xfId="0"/>
    <cellStyle name="40% - Accent1 23 3" xfId="0"/>
    <cellStyle name="40% - Accent1 24" xfId="0"/>
    <cellStyle name="40% - Accent1 24 2" xfId="0"/>
    <cellStyle name="40% - Accent1 24 2 2" xfId="0"/>
    <cellStyle name="40% - Accent1 24 3" xfId="0"/>
    <cellStyle name="40% - Accent1 25" xfId="0"/>
    <cellStyle name="40% - Accent1 25 2" xfId="0"/>
    <cellStyle name="40% - Accent1 25 2 2" xfId="0"/>
    <cellStyle name="40% - Accent1 25 3" xfId="0"/>
    <cellStyle name="40% - Accent1 26" xfId="0"/>
    <cellStyle name="40% - Accent1 26 2" xfId="0"/>
    <cellStyle name="40% - Accent1 26 3" xfId="0"/>
    <cellStyle name="40% - Accent1 27" xfId="0"/>
    <cellStyle name="40% - Accent1 27 2" xfId="0"/>
    <cellStyle name="40% - Accent1 27 3" xfId="0"/>
    <cellStyle name="40% - Accent1 28" xfId="0"/>
    <cellStyle name="40% - Accent1 28 2" xfId="0"/>
    <cellStyle name="40% - Accent1 28 3" xfId="0"/>
    <cellStyle name="40% - Accent1 29" xfId="0"/>
    <cellStyle name="40% - Accent1 29 2" xfId="0"/>
    <cellStyle name="40% - Accent1 29 3" xfId="0"/>
    <cellStyle name="40% - Accent1 2_2.VSCN - GSC charge" xfId="0"/>
    <cellStyle name="40% - Accent1 3" xfId="0"/>
    <cellStyle name="40% - Accent1 3 2" xfId="0"/>
    <cellStyle name="40% - Accent1 3 2 2" xfId="0"/>
    <cellStyle name="40% - Accent1 3 2 3" xfId="0"/>
    <cellStyle name="40% - Accent1 3 3" xfId="0"/>
    <cellStyle name="40% - Accent1 3 3 2" xfId="0"/>
    <cellStyle name="40% - Accent1 3 3 3" xfId="0"/>
    <cellStyle name="40% - Accent1 3 4" xfId="0"/>
    <cellStyle name="40% - Accent1 3 4 2" xfId="0"/>
    <cellStyle name="40% - Accent1 3 5" xfId="0"/>
    <cellStyle name="40% - Accent1 3 5 2" xfId="0"/>
    <cellStyle name="40% - Accent1 3 6" xfId="0"/>
    <cellStyle name="40% - Accent1 3 7" xfId="0"/>
    <cellStyle name="40% - Accent1 30" xfId="0"/>
    <cellStyle name="40% - Accent1 30 2" xfId="0"/>
    <cellStyle name="40% - Accent1 31" xfId="0"/>
    <cellStyle name="40% - Accent1 31 2" xfId="0"/>
    <cellStyle name="40% - Accent1 32" xfId="0"/>
    <cellStyle name="40% - Accent1 32 2" xfId="0"/>
    <cellStyle name="40% - Accent1 33" xfId="0"/>
    <cellStyle name="40% - Accent1 33 2" xfId="0"/>
    <cellStyle name="40% - Accent1 34" xfId="0"/>
    <cellStyle name="40% - Accent1 34 2" xfId="0"/>
    <cellStyle name="40% - Accent1 35" xfId="0"/>
    <cellStyle name="40% - Accent1 35 2" xfId="0"/>
    <cellStyle name="40% - Accent1 36" xfId="0"/>
    <cellStyle name="40% - Accent1 36 2" xfId="0"/>
    <cellStyle name="40% - Accent1 37" xfId="0"/>
    <cellStyle name="40% - Accent1 37 2" xfId="0"/>
    <cellStyle name="40% - Accent1 38" xfId="0"/>
    <cellStyle name="40% - Accent1 38 2" xfId="0"/>
    <cellStyle name="40% - Accent1 39" xfId="0"/>
    <cellStyle name="40% - Accent1 39 2" xfId="0"/>
    <cellStyle name="40% - Accent1 3_Profitability Detail NT$ Sep-12" xfId="0"/>
    <cellStyle name="40% - Accent1 4" xfId="0"/>
    <cellStyle name="40% - Accent1 4 2" xfId="0"/>
    <cellStyle name="40% - Accent1 4 2 2" xfId="0"/>
    <cellStyle name="40% - Accent1 4 2 3" xfId="0"/>
    <cellStyle name="40% - Accent1 4 3" xfId="0"/>
    <cellStyle name="40% - Accent1 4 3 2" xfId="0"/>
    <cellStyle name="40% - Accent1 4 3 3" xfId="0"/>
    <cellStyle name="40% - Accent1 4 4" xfId="0"/>
    <cellStyle name="40% - Accent1 4 4 2" xfId="0"/>
    <cellStyle name="40% - Accent1 4 5" xfId="0"/>
    <cellStyle name="40% - Accent1 4 5 2" xfId="0"/>
    <cellStyle name="40% - Accent1 4 6" xfId="0"/>
    <cellStyle name="40% - Accent1 4 7" xfId="0"/>
    <cellStyle name="40% - Accent1 40" xfId="0"/>
    <cellStyle name="40% - Accent1 40 2" xfId="0"/>
    <cellStyle name="40% - Accent1 41" xfId="0"/>
    <cellStyle name="40% - Accent1 41 2" xfId="0"/>
    <cellStyle name="40% - Accent1 42" xfId="0"/>
    <cellStyle name="40% - Accent1 43" xfId="0"/>
    <cellStyle name="40% - Accent1 44" xfId="0"/>
    <cellStyle name="40% - Accent1 45" xfId="0"/>
    <cellStyle name="40% - Accent1 46" xfId="0"/>
    <cellStyle name="40% - Accent1 47" xfId="0"/>
    <cellStyle name="40% - Accent1 48" xfId="0"/>
    <cellStyle name="40% - Accent1 49" xfId="0"/>
    <cellStyle name="40% - Accent1 4_Profitability Detail NT$ Sep-12" xfId="0"/>
    <cellStyle name="40% - Accent1 5" xfId="0"/>
    <cellStyle name="40% - Accent1 5 2" xfId="0"/>
    <cellStyle name="40% - Accent1 5 2 2" xfId="0"/>
    <cellStyle name="40% - Accent1 5 2 3" xfId="0"/>
    <cellStyle name="40% - Accent1 5 3" xfId="0"/>
    <cellStyle name="40% - Accent1 5 3 2" xfId="0"/>
    <cellStyle name="40% - Accent1 5 4" xfId="0"/>
    <cellStyle name="40% - Accent1 5 4 2" xfId="0"/>
    <cellStyle name="40% - Accent1 5 5" xfId="0"/>
    <cellStyle name="40% - Accent1 50" xfId="0"/>
    <cellStyle name="40% - Accent1 51" xfId="0"/>
    <cellStyle name="40% - Accent1 52" xfId="0"/>
    <cellStyle name="40% - Accent1 53" xfId="0"/>
    <cellStyle name="40% - Accent1 54" xfId="0"/>
    <cellStyle name="40% - Accent1 55" xfId="0"/>
    <cellStyle name="40% - Accent1 56" xfId="0"/>
    <cellStyle name="40% - Accent1 57" xfId="0"/>
    <cellStyle name="40% - Accent1 58" xfId="0"/>
    <cellStyle name="40% - Accent1 59" xfId="0"/>
    <cellStyle name="40% - Accent1 6" xfId="0"/>
    <cellStyle name="40% - Accent1 6 2" xfId="0"/>
    <cellStyle name="40% - Accent1 6 2 2" xfId="0"/>
    <cellStyle name="40% - Accent1 6 3" xfId="0"/>
    <cellStyle name="40% - Accent1 6 3 2" xfId="0"/>
    <cellStyle name="40% - Accent1 6 4" xfId="0"/>
    <cellStyle name="40% - Accent1 60" xfId="0"/>
    <cellStyle name="40% - Accent1 61" xfId="0"/>
    <cellStyle name="40% - Accent1 62" xfId="0"/>
    <cellStyle name="40% - Accent1 63" xfId="0"/>
    <cellStyle name="40% - Accent1 64" xfId="0"/>
    <cellStyle name="40% - Accent1 65" xfId="0"/>
    <cellStyle name="40% - Accent1 66" xfId="0"/>
    <cellStyle name="40% - Accent1 67" xfId="0"/>
    <cellStyle name="40% - Accent1 68" xfId="0"/>
    <cellStyle name="40% - Accent1 69" xfId="0"/>
    <cellStyle name="40% - Accent1 7" xfId="0"/>
    <cellStyle name="40% - Accent1 7 2" xfId="0"/>
    <cellStyle name="40% - Accent1 7 2 2" xfId="0"/>
    <cellStyle name="40% - Accent1 7 3" xfId="0"/>
    <cellStyle name="40% - Accent1 7 3 2" xfId="0"/>
    <cellStyle name="40% - Accent1 7 4" xfId="0"/>
    <cellStyle name="40% - Accent1 70" xfId="0"/>
    <cellStyle name="40% - Accent1 71" xfId="0"/>
    <cellStyle name="40% - Accent1 72" xfId="0"/>
    <cellStyle name="40% - Accent1 73" xfId="0"/>
    <cellStyle name="40% - Accent1 74" xfId="0"/>
    <cellStyle name="40% - Accent1 75" xfId="0"/>
    <cellStyle name="40% - Accent1 76" xfId="0"/>
    <cellStyle name="40% - Accent1 77" xfId="0"/>
    <cellStyle name="40% - Accent1 78" xfId="0"/>
    <cellStyle name="40% - Accent1 79" xfId="0"/>
    <cellStyle name="40% - Accent1 8" xfId="0"/>
    <cellStyle name="40% - Accent1 8 2" xfId="0"/>
    <cellStyle name="40% - Accent1 8 2 2" xfId="0"/>
    <cellStyle name="40% - Accent1 8 3" xfId="0"/>
    <cellStyle name="40% - Accent1 8 3 2" xfId="0"/>
    <cellStyle name="40% - Accent1 8 4" xfId="0"/>
    <cellStyle name="40% - Accent1 80" xfId="0"/>
    <cellStyle name="40% - Accent1 81" xfId="0"/>
    <cellStyle name="40% - Accent1 82" xfId="0"/>
    <cellStyle name="40% - Accent1 83" xfId="0"/>
    <cellStyle name="40% - Accent1 84" xfId="0"/>
    <cellStyle name="40% - Accent1 85" xfId="0"/>
    <cellStyle name="40% - Accent1 86" xfId="0"/>
    <cellStyle name="40% - Accent1 87" xfId="0"/>
    <cellStyle name="40% - Accent1 88" xfId="0"/>
    <cellStyle name="40% - Accent1 89" xfId="0"/>
    <cellStyle name="40% - Accent1 9" xfId="0"/>
    <cellStyle name="40% - Accent1 9 2" xfId="0"/>
    <cellStyle name="40% - Accent1 9 2 2" xfId="0"/>
    <cellStyle name="40% - Accent1 9 3" xfId="0"/>
    <cellStyle name="40% - Accent1 9 3 2" xfId="0"/>
    <cellStyle name="40% - Accent1 9 4" xfId="0"/>
    <cellStyle name="40% - Accent1 90" xfId="0"/>
    <cellStyle name="40% - Accent1 91" xfId="0"/>
    <cellStyle name="40% - Accent1 92" xfId="0"/>
    <cellStyle name="40% - Accent1 93" xfId="0"/>
    <cellStyle name="40% - Accent1 94" xfId="0"/>
    <cellStyle name="40% - Accent1 95" xfId="0"/>
    <cellStyle name="40% - Accent1 96" xfId="0"/>
    <cellStyle name="40% - Accent1_ALL inventory onhand data 0912" xfId="0"/>
    <cellStyle name="40% - Accent2" xfId="0"/>
    <cellStyle name="40% - Accent2 10" xfId="0"/>
    <cellStyle name="40% - Accent2 10 2" xfId="0"/>
    <cellStyle name="40% - Accent2 10 2 2" xfId="0"/>
    <cellStyle name="40% - Accent2 10 3" xfId="0"/>
    <cellStyle name="40% - Accent2 10 3 2" xfId="0"/>
    <cellStyle name="40% - Accent2 10 4" xfId="0"/>
    <cellStyle name="40% - Accent2 11" xfId="0"/>
    <cellStyle name="40% - Accent2 11 2" xfId="0"/>
    <cellStyle name="40% - Accent2 11 2 2" xfId="0"/>
    <cellStyle name="40% - Accent2 11 3" xfId="0"/>
    <cellStyle name="40% - Accent2 11 3 2" xfId="0"/>
    <cellStyle name="40% - Accent2 11 4" xfId="0"/>
    <cellStyle name="40% - Accent2 12" xfId="0"/>
    <cellStyle name="40% - Accent2 12 2" xfId="0"/>
    <cellStyle name="40% - Accent2 12 2 2" xfId="0"/>
    <cellStyle name="40% - Accent2 13" xfId="0"/>
    <cellStyle name="40% - Accent2 13 2" xfId="0"/>
    <cellStyle name="40% - Accent2 13 2 2" xfId="0"/>
    <cellStyle name="40% - Accent2 14" xfId="0"/>
    <cellStyle name="40% - Accent2 14 2" xfId="0"/>
    <cellStyle name="40% - Accent2 14 2 2" xfId="0"/>
    <cellStyle name="40% - Accent2 15" xfId="0"/>
    <cellStyle name="40% - Accent2 15 2" xfId="0"/>
    <cellStyle name="40% - Accent2 15 2 2" xfId="0"/>
    <cellStyle name="40% - Accent2 16" xfId="0"/>
    <cellStyle name="40% - Accent2 16 2" xfId="0"/>
    <cellStyle name="40% - Accent2 16 2 2" xfId="0"/>
    <cellStyle name="40% - Accent2 17" xfId="0"/>
    <cellStyle name="40% - Accent2 17 2" xfId="0"/>
    <cellStyle name="40% - Accent2 17 2 2" xfId="0"/>
    <cellStyle name="40% - Accent2 18" xfId="0"/>
    <cellStyle name="40% - Accent2 18 2" xfId="0"/>
    <cellStyle name="40% - Accent2 18 2 2" xfId="0"/>
    <cellStyle name="40% - Accent2 19" xfId="0"/>
    <cellStyle name="40% - Accent2 19 2" xfId="0"/>
    <cellStyle name="40% - Accent2 19 2 2" xfId="0"/>
    <cellStyle name="40% - Accent2 2" xfId="0"/>
    <cellStyle name="40% - Accent2 2 10" xfId="0"/>
    <cellStyle name="40% - Accent2 2 11" xfId="0"/>
    <cellStyle name="40% - Accent2 2 12" xfId="0"/>
    <cellStyle name="40% - Accent2 2 13" xfId="0"/>
    <cellStyle name="40% - Accent2 2 14" xfId="0"/>
    <cellStyle name="40% - Accent2 2 15" xfId="0"/>
    <cellStyle name="40% - Accent2 2 16" xfId="0"/>
    <cellStyle name="40% - Accent2 2 17" xfId="0"/>
    <cellStyle name="40% - Accent2 2 18" xfId="0"/>
    <cellStyle name="40% - Accent2 2 19" xfId="0"/>
    <cellStyle name="40% - Accent2 2 2" xfId="0"/>
    <cellStyle name="40% - Accent2 2 2 2" xfId="0"/>
    <cellStyle name="40% - Accent2 2 2 2 2" xfId="0"/>
    <cellStyle name="40% - Accent2 2 2 3" xfId="0"/>
    <cellStyle name="40% - Accent2 2 2 3 2" xfId="0"/>
    <cellStyle name="40% - Accent2 2 2 4" xfId="0"/>
    <cellStyle name="40% - Accent2 2 2 4 2" xfId="0"/>
    <cellStyle name="40% - Accent2 2 2 5" xfId="0"/>
    <cellStyle name="40% - Accent2 2 2 6" xfId="0"/>
    <cellStyle name="40% - Accent2 2 20" xfId="0"/>
    <cellStyle name="40% - Accent2 2 21" xfId="0"/>
    <cellStyle name="40% - Accent2 2 22" xfId="0"/>
    <cellStyle name="40% - Accent2 2 23" xfId="0"/>
    <cellStyle name="40% - Accent2 2 24" xfId="0"/>
    <cellStyle name="40% - Accent2 2 25" xfId="0"/>
    <cellStyle name="40% - Accent2 2 3" xfId="0"/>
    <cellStyle name="40% - Accent2 2 3 2" xfId="0"/>
    <cellStyle name="40% - Accent2 2 3 3" xfId="0"/>
    <cellStyle name="40% - Accent2 2 4" xfId="0"/>
    <cellStyle name="40% - Accent2 2 4 2" xfId="0"/>
    <cellStyle name="40% - Accent2 2 4 3" xfId="0"/>
    <cellStyle name="40% - Accent2 2 5" xfId="0"/>
    <cellStyle name="40% - Accent2 2 5 2" xfId="0"/>
    <cellStyle name="40% - Accent2 2 5 3" xfId="0"/>
    <cellStyle name="40% - Accent2 2 6" xfId="0"/>
    <cellStyle name="40% - Accent2 2 6 2" xfId="0"/>
    <cellStyle name="40% - Accent2 2 7" xfId="0"/>
    <cellStyle name="40% - Accent2 2 7 2" xfId="0"/>
    <cellStyle name="40% - Accent2 2 8" xfId="0"/>
    <cellStyle name="40% - Accent2 2 8 2" xfId="0"/>
    <cellStyle name="40% - Accent2 2 9" xfId="0"/>
    <cellStyle name="40% - Accent2 20" xfId="0"/>
    <cellStyle name="40% - Accent2 20 2" xfId="0"/>
    <cellStyle name="40% - Accent2 20 2 2" xfId="0"/>
    <cellStyle name="40% - Accent2 21" xfId="0"/>
    <cellStyle name="40% - Accent2 21 2" xfId="0"/>
    <cellStyle name="40% - Accent2 21 2 2" xfId="0"/>
    <cellStyle name="40% - Accent2 22" xfId="0"/>
    <cellStyle name="40% - Accent2 22 2" xfId="0"/>
    <cellStyle name="40% - Accent2 22 2 2" xfId="0"/>
    <cellStyle name="40% - Accent2 23" xfId="0"/>
    <cellStyle name="40% - Accent2 23 2" xfId="0"/>
    <cellStyle name="40% - Accent2 23 2 2" xfId="0"/>
    <cellStyle name="40% - Accent2 23 3" xfId="0"/>
    <cellStyle name="40% - Accent2 24" xfId="0"/>
    <cellStyle name="40% - Accent2 24 2" xfId="0"/>
    <cellStyle name="40% - Accent2 24 2 2" xfId="0"/>
    <cellStyle name="40% - Accent2 24 3" xfId="0"/>
    <cellStyle name="40% - Accent2 25" xfId="0"/>
    <cellStyle name="40% - Accent2 25 2" xfId="0"/>
    <cellStyle name="40% - Accent2 25 3" xfId="0"/>
    <cellStyle name="40% - Accent2 26" xfId="0"/>
    <cellStyle name="40% - Accent2 26 2" xfId="0"/>
    <cellStyle name="40% - Accent2 27" xfId="0"/>
    <cellStyle name="40% - Accent2 27 2" xfId="0"/>
    <cellStyle name="40% - Accent2 28" xfId="0"/>
    <cellStyle name="40% - Accent2 28 2" xfId="0"/>
    <cellStyle name="40% - Accent2 29" xfId="0"/>
    <cellStyle name="40% - Accent2 29 2" xfId="0"/>
    <cellStyle name="40% - Accent2 2_2.VSCN - GSC charge" xfId="0"/>
    <cellStyle name="40% - Accent2 3" xfId="0"/>
    <cellStyle name="40% - Accent2 3 2" xfId="0"/>
    <cellStyle name="40% - Accent2 3 2 2" xfId="0"/>
    <cellStyle name="40% - Accent2 3 2 3" xfId="0"/>
    <cellStyle name="40% - Accent2 3 3" xfId="0"/>
    <cellStyle name="40% - Accent2 3 3 2" xfId="0"/>
    <cellStyle name="40% - Accent2 3 3 3" xfId="0"/>
    <cellStyle name="40% - Accent2 3 4" xfId="0"/>
    <cellStyle name="40% - Accent2 3 4 2" xfId="0"/>
    <cellStyle name="40% - Accent2 3 5" xfId="0"/>
    <cellStyle name="40% - Accent2 3 5 2" xfId="0"/>
    <cellStyle name="40% - Accent2 3 6" xfId="0"/>
    <cellStyle name="40% - Accent2 3 7" xfId="0"/>
    <cellStyle name="40% - Accent2 30" xfId="0"/>
    <cellStyle name="40% - Accent2 30 2" xfId="0"/>
    <cellStyle name="40% - Accent2 31" xfId="0"/>
    <cellStyle name="40% - Accent2 31 2" xfId="0"/>
    <cellStyle name="40% - Accent2 32" xfId="0"/>
    <cellStyle name="40% - Accent2 32 2" xfId="0"/>
    <cellStyle name="40% - Accent2 33" xfId="0"/>
    <cellStyle name="40% - Accent2 33 2" xfId="0"/>
    <cellStyle name="40% - Accent2 34" xfId="0"/>
    <cellStyle name="40% - Accent2 34 2" xfId="0"/>
    <cellStyle name="40% - Accent2 35" xfId="0"/>
    <cellStyle name="40% - Accent2 35 2" xfId="0"/>
    <cellStyle name="40% - Accent2 36" xfId="0"/>
    <cellStyle name="40% - Accent2 37" xfId="0"/>
    <cellStyle name="40% - Accent2 38" xfId="0"/>
    <cellStyle name="40% - Accent2 39" xfId="0"/>
    <cellStyle name="40% - Accent2 3_Profitability Detail NT$ Sep-12" xfId="0"/>
    <cellStyle name="40% - Accent2 4" xfId="0"/>
    <cellStyle name="40% - Accent2 4 2" xfId="0"/>
    <cellStyle name="40% - Accent2 4 2 2" xfId="0"/>
    <cellStyle name="40% - Accent2 4 2 3" xfId="0"/>
    <cellStyle name="40% - Accent2 4 3" xfId="0"/>
    <cellStyle name="40% - Accent2 4 3 2" xfId="0"/>
    <cellStyle name="40% - Accent2 4 3 3" xfId="0"/>
    <cellStyle name="40% - Accent2 4 4" xfId="0"/>
    <cellStyle name="40% - Accent2 4 4 2" xfId="0"/>
    <cellStyle name="40% - Accent2 4 5" xfId="0"/>
    <cellStyle name="40% - Accent2 4 5 2" xfId="0"/>
    <cellStyle name="40% - Accent2 4 6" xfId="0"/>
    <cellStyle name="40% - Accent2 4 7" xfId="0"/>
    <cellStyle name="40% - Accent2 40" xfId="0"/>
    <cellStyle name="40% - Accent2 41" xfId="0"/>
    <cellStyle name="40% - Accent2 42" xfId="0"/>
    <cellStyle name="40% - Accent2 43" xfId="0"/>
    <cellStyle name="40% - Accent2 44" xfId="0"/>
    <cellStyle name="40% - Accent2 45" xfId="0"/>
    <cellStyle name="40% - Accent2 46" xfId="0"/>
    <cellStyle name="40% - Accent2 47" xfId="0"/>
    <cellStyle name="40% - Accent2 48" xfId="0"/>
    <cellStyle name="40% - Accent2 49" xfId="0"/>
    <cellStyle name="40% - Accent2 4_Profitability Detail NT$ Sep-12" xfId="0"/>
    <cellStyle name="40% - Accent2 5" xfId="0"/>
    <cellStyle name="40% - Accent2 5 2" xfId="0"/>
    <cellStyle name="40% - Accent2 5 2 2" xfId="0"/>
    <cellStyle name="40% - Accent2 5 2 3" xfId="0"/>
    <cellStyle name="40% - Accent2 5 3" xfId="0"/>
    <cellStyle name="40% - Accent2 5 3 2" xfId="0"/>
    <cellStyle name="40% - Accent2 5 4" xfId="0"/>
    <cellStyle name="40% - Accent2 50" xfId="0"/>
    <cellStyle name="40% - Accent2 51" xfId="0"/>
    <cellStyle name="40% - Accent2 52" xfId="0"/>
    <cellStyle name="40% - Accent2 53" xfId="0"/>
    <cellStyle name="40% - Accent2 54" xfId="0"/>
    <cellStyle name="40% - Accent2 55" xfId="0"/>
    <cellStyle name="40% - Accent2 56" xfId="0"/>
    <cellStyle name="40% - Accent2 57" xfId="0"/>
    <cellStyle name="40% - Accent2 58" xfId="0"/>
    <cellStyle name="40% - Accent2 59" xfId="0"/>
    <cellStyle name="40% - Accent2 6" xfId="0"/>
    <cellStyle name="40% - Accent2 6 2" xfId="0"/>
    <cellStyle name="40% - Accent2 6 2 2" xfId="0"/>
    <cellStyle name="40% - Accent2 6 3" xfId="0"/>
    <cellStyle name="40% - Accent2 6 3 2" xfId="0"/>
    <cellStyle name="40% - Accent2 6 4" xfId="0"/>
    <cellStyle name="40% - Accent2 60" xfId="0"/>
    <cellStyle name="40% - Accent2 61" xfId="0"/>
    <cellStyle name="40% - Accent2 62" xfId="0"/>
    <cellStyle name="40% - Accent2 63" xfId="0"/>
    <cellStyle name="40% - Accent2 64" xfId="0"/>
    <cellStyle name="40% - Accent2 65" xfId="0"/>
    <cellStyle name="40% - Accent2 66" xfId="0"/>
    <cellStyle name="40% - Accent2 67" xfId="0"/>
    <cellStyle name="40% - Accent2 68" xfId="0"/>
    <cellStyle name="40% - Accent2 69" xfId="0"/>
    <cellStyle name="40% - Accent2 7" xfId="0"/>
    <cellStyle name="40% - Accent2 7 2" xfId="0"/>
    <cellStyle name="40% - Accent2 7 2 2" xfId="0"/>
    <cellStyle name="40% - Accent2 7 3" xfId="0"/>
    <cellStyle name="40% - Accent2 7 3 2" xfId="0"/>
    <cellStyle name="40% - Accent2 7 4" xfId="0"/>
    <cellStyle name="40% - Accent2 70" xfId="0"/>
    <cellStyle name="40% - Accent2 71" xfId="0"/>
    <cellStyle name="40% - Accent2 72" xfId="0"/>
    <cellStyle name="40% - Accent2 73" xfId="0"/>
    <cellStyle name="40% - Accent2 74" xfId="0"/>
    <cellStyle name="40% - Accent2 75" xfId="0"/>
    <cellStyle name="40% - Accent2 76" xfId="0"/>
    <cellStyle name="40% - Accent2 77" xfId="0"/>
    <cellStyle name="40% - Accent2 78" xfId="0"/>
    <cellStyle name="40% - Accent2 79" xfId="0"/>
    <cellStyle name="40% - Accent2 8" xfId="0"/>
    <cellStyle name="40% - Accent2 8 2" xfId="0"/>
    <cellStyle name="40% - Accent2 8 2 2" xfId="0"/>
    <cellStyle name="40% - Accent2 8 3" xfId="0"/>
    <cellStyle name="40% - Accent2 8 3 2" xfId="0"/>
    <cellStyle name="40% - Accent2 8 4" xfId="0"/>
    <cellStyle name="40% - Accent2 80" xfId="0"/>
    <cellStyle name="40% - Accent2 81" xfId="0"/>
    <cellStyle name="40% - Accent2 82" xfId="0"/>
    <cellStyle name="40% - Accent2 83" xfId="0"/>
    <cellStyle name="40% - Accent2 84" xfId="0"/>
    <cellStyle name="40% - Accent2 85" xfId="0"/>
    <cellStyle name="40% - Accent2 86" xfId="0"/>
    <cellStyle name="40% - Accent2 87" xfId="0"/>
    <cellStyle name="40% - Accent2 88" xfId="0"/>
    <cellStyle name="40% - Accent2 89" xfId="0"/>
    <cellStyle name="40% - Accent2 9" xfId="0"/>
    <cellStyle name="40% - Accent2 9 2" xfId="0"/>
    <cellStyle name="40% - Accent2 9 2 2" xfId="0"/>
    <cellStyle name="40% - Accent2 9 3" xfId="0"/>
    <cellStyle name="40% - Accent2 9 3 2" xfId="0"/>
    <cellStyle name="40% - Accent2 9 4" xfId="0"/>
    <cellStyle name="40% - Accent2 90" xfId="0"/>
    <cellStyle name="40% - Accent2 91" xfId="0"/>
    <cellStyle name="40% - Accent2 92" xfId="0"/>
    <cellStyle name="40% - Accent2 93" xfId="0"/>
    <cellStyle name="40% - Accent2 94" xfId="0"/>
    <cellStyle name="40% - Accent2 95" xfId="0"/>
    <cellStyle name="40% - Accent2 96" xfId="0"/>
    <cellStyle name="40% - Accent2_ALL inventory onhand data 0912" xfId="0"/>
    <cellStyle name="40% - Accent3" xfId="0"/>
    <cellStyle name="40% - Accent3 10" xfId="0"/>
    <cellStyle name="40% - Accent3 10 2" xfId="0"/>
    <cellStyle name="40% - Accent3 10 2 2" xfId="0"/>
    <cellStyle name="40% - Accent3 10 3" xfId="0"/>
    <cellStyle name="40% - Accent3 10 3 2" xfId="0"/>
    <cellStyle name="40% - Accent3 10 4" xfId="0"/>
    <cellStyle name="40% - Accent3 11" xfId="0"/>
    <cellStyle name="40% - Accent3 11 2" xfId="0"/>
    <cellStyle name="40% - Accent3 11 2 2" xfId="0"/>
    <cellStyle name="40% - Accent3 11 3" xfId="0"/>
    <cellStyle name="40% - Accent3 11 3 2" xfId="0"/>
    <cellStyle name="40% - Accent3 11 4" xfId="0"/>
    <cellStyle name="40% - Accent3 12" xfId="0"/>
    <cellStyle name="40% - Accent3 12 2" xfId="0"/>
    <cellStyle name="40% - Accent3 12 2 2" xfId="0"/>
    <cellStyle name="40% - Accent3 13" xfId="0"/>
    <cellStyle name="40% - Accent3 13 2" xfId="0"/>
    <cellStyle name="40% - Accent3 13 2 2" xfId="0"/>
    <cellStyle name="40% - Accent3 14" xfId="0"/>
    <cellStyle name="40% - Accent3 14 2" xfId="0"/>
    <cellStyle name="40% - Accent3 14 2 2" xfId="0"/>
    <cellStyle name="40% - Accent3 15" xfId="0"/>
    <cellStyle name="40% - Accent3 15 2" xfId="0"/>
    <cellStyle name="40% - Accent3 15 2 2" xfId="0"/>
    <cellStyle name="40% - Accent3 16" xfId="0"/>
    <cellStyle name="40% - Accent3 16 2" xfId="0"/>
    <cellStyle name="40% - Accent3 16 2 2" xfId="0"/>
    <cellStyle name="40% - Accent3 17" xfId="0"/>
    <cellStyle name="40% - Accent3 17 2" xfId="0"/>
    <cellStyle name="40% - Accent3 17 2 2" xfId="0"/>
    <cellStyle name="40% - Accent3 18" xfId="0"/>
    <cellStyle name="40% - Accent3 18 2" xfId="0"/>
    <cellStyle name="40% - Accent3 18 2 2" xfId="0"/>
    <cellStyle name="40% - Accent3 19" xfId="0"/>
    <cellStyle name="40% - Accent3 19 2" xfId="0"/>
    <cellStyle name="40% - Accent3 19 2 2" xfId="0"/>
    <cellStyle name="40% - Accent3 2" xfId="0"/>
    <cellStyle name="40% - Accent3 2 10" xfId="0"/>
    <cellStyle name="40% - Accent3 2 11" xfId="0"/>
    <cellStyle name="40% - Accent3 2 12" xfId="0"/>
    <cellStyle name="40% - Accent3 2 13" xfId="0"/>
    <cellStyle name="40% - Accent3 2 14" xfId="0"/>
    <cellStyle name="40% - Accent3 2 15" xfId="0"/>
    <cellStyle name="40% - Accent3 2 16" xfId="0"/>
    <cellStyle name="40% - Accent3 2 17" xfId="0"/>
    <cellStyle name="40% - Accent3 2 18" xfId="0"/>
    <cellStyle name="40% - Accent3 2 19" xfId="0"/>
    <cellStyle name="40% - Accent3 2 2" xfId="0"/>
    <cellStyle name="40% - Accent3 2 2 2" xfId="0"/>
    <cellStyle name="40% - Accent3 2 2 2 2" xfId="0"/>
    <cellStyle name="40% - Accent3 2 2 3" xfId="0"/>
    <cellStyle name="40% - Accent3 2 2 3 2" xfId="0"/>
    <cellStyle name="40% - Accent3 2 2 4" xfId="0"/>
    <cellStyle name="40% - Accent3 2 2 4 2" xfId="0"/>
    <cellStyle name="40% - Accent3 2 2 5" xfId="0"/>
    <cellStyle name="40% - Accent3 2 2 6" xfId="0"/>
    <cellStyle name="40% - Accent3 2 20" xfId="0"/>
    <cellStyle name="40% - Accent3 2 21" xfId="0"/>
    <cellStyle name="40% - Accent3 2 22" xfId="0"/>
    <cellStyle name="40% - Accent3 2 23" xfId="0"/>
    <cellStyle name="40% - Accent3 2 24" xfId="0"/>
    <cellStyle name="40% - Accent3 2 25" xfId="0"/>
    <cellStyle name="40% - Accent3 2 3" xfId="0"/>
    <cellStyle name="40% - Accent3 2 3 2" xfId="0"/>
    <cellStyle name="40% - Accent3 2 3 3" xfId="0"/>
    <cellStyle name="40% - Accent3 2 4" xfId="0"/>
    <cellStyle name="40% - Accent3 2 4 2" xfId="0"/>
    <cellStyle name="40% - Accent3 2 4 3" xfId="0"/>
    <cellStyle name="40% - Accent3 2 5" xfId="0"/>
    <cellStyle name="40% - Accent3 2 5 2" xfId="0"/>
    <cellStyle name="40% - Accent3 2 5 3" xfId="0"/>
    <cellStyle name="40% - Accent3 2 6" xfId="0"/>
    <cellStyle name="40% - Accent3 2 6 2" xfId="0"/>
    <cellStyle name="40% - Accent3 2 7" xfId="0"/>
    <cellStyle name="40% - Accent3 2 7 2" xfId="0"/>
    <cellStyle name="40% - Accent3 2 8" xfId="0"/>
    <cellStyle name="40% - Accent3 2 8 2" xfId="0"/>
    <cellStyle name="40% - Accent3 2 9" xfId="0"/>
    <cellStyle name="40% - Accent3 20" xfId="0"/>
    <cellStyle name="40% - Accent3 20 2" xfId="0"/>
    <cellStyle name="40% - Accent3 20 2 2" xfId="0"/>
    <cellStyle name="40% - Accent3 21" xfId="0"/>
    <cellStyle name="40% - Accent3 21 2" xfId="0"/>
    <cellStyle name="40% - Accent3 21 2 2" xfId="0"/>
    <cellStyle name="40% - Accent3 22" xfId="0"/>
    <cellStyle name="40% - Accent3 22 2" xfId="0"/>
    <cellStyle name="40% - Accent3 22 2 2" xfId="0"/>
    <cellStyle name="40% - Accent3 23" xfId="0"/>
    <cellStyle name="40% - Accent3 23 2" xfId="0"/>
    <cellStyle name="40% - Accent3 23 2 2" xfId="0"/>
    <cellStyle name="40% - Accent3 23 3" xfId="0"/>
    <cellStyle name="40% - Accent3 24" xfId="0"/>
    <cellStyle name="40% - Accent3 24 2" xfId="0"/>
    <cellStyle name="40% - Accent3 24 2 2" xfId="0"/>
    <cellStyle name="40% - Accent3 24 3" xfId="0"/>
    <cellStyle name="40% - Accent3 25" xfId="0"/>
    <cellStyle name="40% - Accent3 25 2" xfId="0"/>
    <cellStyle name="40% - Accent3 25 3" xfId="0"/>
    <cellStyle name="40% - Accent3 26" xfId="0"/>
    <cellStyle name="40% - Accent3 26 2" xfId="0"/>
    <cellStyle name="40% - Accent3 27" xfId="0"/>
    <cellStyle name="40% - Accent3 27 2" xfId="0"/>
    <cellStyle name="40% - Accent3 28" xfId="0"/>
    <cellStyle name="40% - Accent3 28 2" xfId="0"/>
    <cellStyle name="40% - Accent3 29" xfId="0"/>
    <cellStyle name="40% - Accent3 29 2" xfId="0"/>
    <cellStyle name="40% - Accent3 2_2.VSCN - GSC charge" xfId="0"/>
    <cellStyle name="40% - Accent3 3" xfId="0"/>
    <cellStyle name="40% - Accent3 3 2" xfId="0"/>
    <cellStyle name="40% - Accent3 3 2 2" xfId="0"/>
    <cellStyle name="40% - Accent3 3 2 3" xfId="0"/>
    <cellStyle name="40% - Accent3 3 3" xfId="0"/>
    <cellStyle name="40% - Accent3 3 3 2" xfId="0"/>
    <cellStyle name="40% - Accent3 3 3 3" xfId="0"/>
    <cellStyle name="40% - Accent3 3 4" xfId="0"/>
    <cellStyle name="40% - Accent3 3 4 2" xfId="0"/>
    <cellStyle name="40% - Accent3 3 5" xfId="0"/>
    <cellStyle name="40% - Accent3 3 5 2" xfId="0"/>
    <cellStyle name="40% - Accent3 3 6" xfId="0"/>
    <cellStyle name="40% - Accent3 3 7" xfId="0"/>
    <cellStyle name="40% - Accent3 30" xfId="0"/>
    <cellStyle name="40% - Accent3 30 2" xfId="0"/>
    <cellStyle name="40% - Accent3 31" xfId="0"/>
    <cellStyle name="40% - Accent3 31 2" xfId="0"/>
    <cellStyle name="40% - Accent3 32" xfId="0"/>
    <cellStyle name="40% - Accent3 32 2" xfId="0"/>
    <cellStyle name="40% - Accent3 33" xfId="0"/>
    <cellStyle name="40% - Accent3 33 2" xfId="0"/>
    <cellStyle name="40% - Accent3 34" xfId="0"/>
    <cellStyle name="40% - Accent3 34 2" xfId="0"/>
    <cellStyle name="40% - Accent3 35" xfId="0"/>
    <cellStyle name="40% - Accent3 35 2" xfId="0"/>
    <cellStyle name="40% - Accent3 36" xfId="0"/>
    <cellStyle name="40% - Accent3 36 2" xfId="0"/>
    <cellStyle name="40% - Accent3 37" xfId="0"/>
    <cellStyle name="40% - Accent3 37 2" xfId="0"/>
    <cellStyle name="40% - Accent3 38" xfId="0"/>
    <cellStyle name="40% - Accent3 38 2" xfId="0"/>
    <cellStyle name="40% - Accent3 39" xfId="0"/>
    <cellStyle name="40% - Accent3 39 2" xfId="0"/>
    <cellStyle name="40% - Accent3 3_Profitability Detail NT$ Sep-12" xfId="0"/>
    <cellStyle name="40% - Accent3 4" xfId="0"/>
    <cellStyle name="40% - Accent3 4 2" xfId="0"/>
    <cellStyle name="40% - Accent3 4 2 2" xfId="0"/>
    <cellStyle name="40% - Accent3 4 2 3" xfId="0"/>
    <cellStyle name="40% - Accent3 4 3" xfId="0"/>
    <cellStyle name="40% - Accent3 4 3 2" xfId="0"/>
    <cellStyle name="40% - Accent3 4 3 3" xfId="0"/>
    <cellStyle name="40% - Accent3 4 4" xfId="0"/>
    <cellStyle name="40% - Accent3 4 4 2" xfId="0"/>
    <cellStyle name="40% - Accent3 4 5" xfId="0"/>
    <cellStyle name="40% - Accent3 4 5 2" xfId="0"/>
    <cellStyle name="40% - Accent3 4 6" xfId="0"/>
    <cellStyle name="40% - Accent3 4 7" xfId="0"/>
    <cellStyle name="40% - Accent3 40" xfId="0"/>
    <cellStyle name="40% - Accent3 40 2" xfId="0"/>
    <cellStyle name="40% - Accent3 41" xfId="0"/>
    <cellStyle name="40% - Accent3 41 2" xfId="0"/>
    <cellStyle name="40% - Accent3 42" xfId="0"/>
    <cellStyle name="40% - Accent3 43" xfId="0"/>
    <cellStyle name="40% - Accent3 44" xfId="0"/>
    <cellStyle name="40% - Accent3 45" xfId="0"/>
    <cellStyle name="40% - Accent3 46" xfId="0"/>
    <cellStyle name="40% - Accent3 47" xfId="0"/>
    <cellStyle name="40% - Accent3 48" xfId="0"/>
    <cellStyle name="40% - Accent3 49" xfId="0"/>
    <cellStyle name="40% - Accent3 4_Profitability Detail NT$ Sep-12" xfId="0"/>
    <cellStyle name="40% - Accent3 5" xfId="0"/>
    <cellStyle name="40% - Accent3 5 2" xfId="0"/>
    <cellStyle name="40% - Accent3 5 2 2" xfId="0"/>
    <cellStyle name="40% - Accent3 5 2 3" xfId="0"/>
    <cellStyle name="40% - Accent3 5 3" xfId="0"/>
    <cellStyle name="40% - Accent3 5 3 2" xfId="0"/>
    <cellStyle name="40% - Accent3 5 4" xfId="0"/>
    <cellStyle name="40% - Accent3 5 4 2" xfId="0"/>
    <cellStyle name="40% - Accent3 5 5" xfId="0"/>
    <cellStyle name="40% - Accent3 50" xfId="0"/>
    <cellStyle name="40% - Accent3 51" xfId="0"/>
    <cellStyle name="40% - Accent3 52" xfId="0"/>
    <cellStyle name="40% - Accent3 53" xfId="0"/>
    <cellStyle name="40% - Accent3 54" xfId="0"/>
    <cellStyle name="40% - Accent3 55" xfId="0"/>
    <cellStyle name="40% - Accent3 56" xfId="0"/>
    <cellStyle name="40% - Accent3 57" xfId="0"/>
    <cellStyle name="40% - Accent3 58" xfId="0"/>
    <cellStyle name="40% - Accent3 59" xfId="0"/>
    <cellStyle name="40% - Accent3 6" xfId="0"/>
    <cellStyle name="40% - Accent3 6 2" xfId="0"/>
    <cellStyle name="40% - Accent3 6 2 2" xfId="0"/>
    <cellStyle name="40% - Accent3 6 3" xfId="0"/>
    <cellStyle name="40% - Accent3 6 3 2" xfId="0"/>
    <cellStyle name="40% - Accent3 6 4" xfId="0"/>
    <cellStyle name="40% - Accent3 60" xfId="0"/>
    <cellStyle name="40% - Accent3 61" xfId="0"/>
    <cellStyle name="40% - Accent3 62" xfId="0"/>
    <cellStyle name="40% - Accent3 63" xfId="0"/>
    <cellStyle name="40% - Accent3 64" xfId="0"/>
    <cellStyle name="40% - Accent3 65" xfId="0"/>
    <cellStyle name="40% - Accent3 66" xfId="0"/>
    <cellStyle name="40% - Accent3 67" xfId="0"/>
    <cellStyle name="40% - Accent3 68" xfId="0"/>
    <cellStyle name="40% - Accent3 69" xfId="0"/>
    <cellStyle name="40% - Accent3 7" xfId="0"/>
    <cellStyle name="40% - Accent3 7 2" xfId="0"/>
    <cellStyle name="40% - Accent3 7 2 2" xfId="0"/>
    <cellStyle name="40% - Accent3 7 3" xfId="0"/>
    <cellStyle name="40% - Accent3 7 3 2" xfId="0"/>
    <cellStyle name="40% - Accent3 7 4" xfId="0"/>
    <cellStyle name="40% - Accent3 70" xfId="0"/>
    <cellStyle name="40% - Accent3 71" xfId="0"/>
    <cellStyle name="40% - Accent3 72" xfId="0"/>
    <cellStyle name="40% - Accent3 73" xfId="0"/>
    <cellStyle name="40% - Accent3 74" xfId="0"/>
    <cellStyle name="40% - Accent3 75" xfId="0"/>
    <cellStyle name="40% - Accent3 76" xfId="0"/>
    <cellStyle name="40% - Accent3 77" xfId="0"/>
    <cellStyle name="40% - Accent3 78" xfId="0"/>
    <cellStyle name="40% - Accent3 79" xfId="0"/>
    <cellStyle name="40% - Accent3 8" xfId="0"/>
    <cellStyle name="40% - Accent3 8 2" xfId="0"/>
    <cellStyle name="40% - Accent3 8 2 2" xfId="0"/>
    <cellStyle name="40% - Accent3 8 3" xfId="0"/>
    <cellStyle name="40% - Accent3 8 3 2" xfId="0"/>
    <cellStyle name="40% - Accent3 8 4" xfId="0"/>
    <cellStyle name="40% - Accent3 80" xfId="0"/>
    <cellStyle name="40% - Accent3 81" xfId="0"/>
    <cellStyle name="40% - Accent3 82" xfId="0"/>
    <cellStyle name="40% - Accent3 83" xfId="0"/>
    <cellStyle name="40% - Accent3 84" xfId="0"/>
    <cellStyle name="40% - Accent3 85" xfId="0"/>
    <cellStyle name="40% - Accent3 86" xfId="0"/>
    <cellStyle name="40% - Accent3 87" xfId="0"/>
    <cellStyle name="40% - Accent3 88" xfId="0"/>
    <cellStyle name="40% - Accent3 89" xfId="0"/>
    <cellStyle name="40% - Accent3 9" xfId="0"/>
    <cellStyle name="40% - Accent3 9 2" xfId="0"/>
    <cellStyle name="40% - Accent3 9 2 2" xfId="0"/>
    <cellStyle name="40% - Accent3 9 3" xfId="0"/>
    <cellStyle name="40% - Accent3 9 3 2" xfId="0"/>
    <cellStyle name="40% - Accent3 9 4" xfId="0"/>
    <cellStyle name="40% - Accent3 90" xfId="0"/>
    <cellStyle name="40% - Accent3 91" xfId="0"/>
    <cellStyle name="40% - Accent3 92" xfId="0"/>
    <cellStyle name="40% - Accent3 93" xfId="0"/>
    <cellStyle name="40% - Accent3 94" xfId="0"/>
    <cellStyle name="40% - Accent3 95" xfId="0"/>
    <cellStyle name="40% - Accent3 96" xfId="0"/>
    <cellStyle name="40% - Accent3_ALL inventory onhand data 0912" xfId="0"/>
    <cellStyle name="40% - Accent4" xfId="0"/>
    <cellStyle name="40% - Accent4 10" xfId="0"/>
    <cellStyle name="40% - Accent4 10 2" xfId="0"/>
    <cellStyle name="40% - Accent4 10 2 2" xfId="0"/>
    <cellStyle name="40% - Accent4 10 3" xfId="0"/>
    <cellStyle name="40% - Accent4 10 3 2" xfId="0"/>
    <cellStyle name="40% - Accent4 10 4" xfId="0"/>
    <cellStyle name="40% - Accent4 11" xfId="0"/>
    <cellStyle name="40% - Accent4 11 2" xfId="0"/>
    <cellStyle name="40% - Accent4 11 2 2" xfId="0"/>
    <cellStyle name="40% - Accent4 11 3" xfId="0"/>
    <cellStyle name="40% - Accent4 11 3 2" xfId="0"/>
    <cellStyle name="40% - Accent4 11 4" xfId="0"/>
    <cellStyle name="40% - Accent4 12" xfId="0"/>
    <cellStyle name="40% - Accent4 12 2" xfId="0"/>
    <cellStyle name="40% - Accent4 12 2 2" xfId="0"/>
    <cellStyle name="40% - Accent4 13" xfId="0"/>
    <cellStyle name="40% - Accent4 13 2" xfId="0"/>
    <cellStyle name="40% - Accent4 13 2 2" xfId="0"/>
    <cellStyle name="40% - Accent4 14" xfId="0"/>
    <cellStyle name="40% - Accent4 14 2" xfId="0"/>
    <cellStyle name="40% - Accent4 14 2 2" xfId="0"/>
    <cellStyle name="40% - Accent4 15" xfId="0"/>
    <cellStyle name="40% - Accent4 15 2" xfId="0"/>
    <cellStyle name="40% - Accent4 15 2 2" xfId="0"/>
    <cellStyle name="40% - Accent4 16" xfId="0"/>
    <cellStyle name="40% - Accent4 16 2" xfId="0"/>
    <cellStyle name="40% - Accent4 16 2 2" xfId="0"/>
    <cellStyle name="40% - Accent4 17" xfId="0"/>
    <cellStyle name="40% - Accent4 17 2" xfId="0"/>
    <cellStyle name="40% - Accent4 17 2 2" xfId="0"/>
    <cellStyle name="40% - Accent4 18" xfId="0"/>
    <cellStyle name="40% - Accent4 18 2" xfId="0"/>
    <cellStyle name="40% - Accent4 18 2 2" xfId="0"/>
    <cellStyle name="40% - Accent4 19" xfId="0"/>
    <cellStyle name="40% - Accent4 19 2" xfId="0"/>
    <cellStyle name="40% - Accent4 19 2 2" xfId="0"/>
    <cellStyle name="40% - Accent4 2" xfId="0"/>
    <cellStyle name="40% - Accent4 2 10" xfId="0"/>
    <cellStyle name="40% - Accent4 2 11" xfId="0"/>
    <cellStyle name="40% - Accent4 2 12" xfId="0"/>
    <cellStyle name="40% - Accent4 2 13" xfId="0"/>
    <cellStyle name="40% - Accent4 2 14" xfId="0"/>
    <cellStyle name="40% - Accent4 2 15" xfId="0"/>
    <cellStyle name="40% - Accent4 2 16" xfId="0"/>
    <cellStyle name="40% - Accent4 2 17" xfId="0"/>
    <cellStyle name="40% - Accent4 2 18" xfId="0"/>
    <cellStyle name="40% - Accent4 2 19" xfId="0"/>
    <cellStyle name="40% - Accent4 2 2" xfId="0"/>
    <cellStyle name="40% - Accent4 2 2 2" xfId="0"/>
    <cellStyle name="40% - Accent4 2 2 2 2" xfId="0"/>
    <cellStyle name="40% - Accent4 2 2 3" xfId="0"/>
    <cellStyle name="40% - Accent4 2 2 3 2" xfId="0"/>
    <cellStyle name="40% - Accent4 2 2 4" xfId="0"/>
    <cellStyle name="40% - Accent4 2 2 4 2" xfId="0"/>
    <cellStyle name="40% - Accent4 2 2 5" xfId="0"/>
    <cellStyle name="40% - Accent4 2 2 6" xfId="0"/>
    <cellStyle name="40% - Accent4 2 20" xfId="0"/>
    <cellStyle name="40% - Accent4 2 21" xfId="0"/>
    <cellStyle name="40% - Accent4 2 22" xfId="0"/>
    <cellStyle name="40% - Accent4 2 23" xfId="0"/>
    <cellStyle name="40% - Accent4 2 24" xfId="0"/>
    <cellStyle name="40% - Accent4 2 25" xfId="0"/>
    <cellStyle name="40% - Accent4 2 3" xfId="0"/>
    <cellStyle name="40% - Accent4 2 3 2" xfId="0"/>
    <cellStyle name="40% - Accent4 2 3 3" xfId="0"/>
    <cellStyle name="40% - Accent4 2 4" xfId="0"/>
    <cellStyle name="40% - Accent4 2 4 2" xfId="0"/>
    <cellStyle name="40% - Accent4 2 4 3" xfId="0"/>
    <cellStyle name="40% - Accent4 2 5" xfId="0"/>
    <cellStyle name="40% - Accent4 2 5 2" xfId="0"/>
    <cellStyle name="40% - Accent4 2 5 3" xfId="0"/>
    <cellStyle name="40% - Accent4 2 6" xfId="0"/>
    <cellStyle name="40% - Accent4 2 6 2" xfId="0"/>
    <cellStyle name="40% - Accent4 2 7" xfId="0"/>
    <cellStyle name="40% - Accent4 2 7 2" xfId="0"/>
    <cellStyle name="40% - Accent4 2 8" xfId="0"/>
    <cellStyle name="40% - Accent4 2 8 2" xfId="0"/>
    <cellStyle name="40% - Accent4 2 9" xfId="0"/>
    <cellStyle name="40% - Accent4 20" xfId="0"/>
    <cellStyle name="40% - Accent4 20 2" xfId="0"/>
    <cellStyle name="40% - Accent4 20 2 2" xfId="0"/>
    <cellStyle name="40% - Accent4 21" xfId="0"/>
    <cellStyle name="40% - Accent4 21 2" xfId="0"/>
    <cellStyle name="40% - Accent4 21 2 2" xfId="0"/>
    <cellStyle name="40% - Accent4 22" xfId="0"/>
    <cellStyle name="40% - Accent4 22 2" xfId="0"/>
    <cellStyle name="40% - Accent4 22 2 2" xfId="0"/>
    <cellStyle name="40% - Accent4 23" xfId="0"/>
    <cellStyle name="40% - Accent4 23 2" xfId="0"/>
    <cellStyle name="40% - Accent4 23 2 2" xfId="0"/>
    <cellStyle name="40% - Accent4 23 3" xfId="0"/>
    <cellStyle name="40% - Accent4 24" xfId="0"/>
    <cellStyle name="40% - Accent4 24 2" xfId="0"/>
    <cellStyle name="40% - Accent4 24 2 2" xfId="0"/>
    <cellStyle name="40% - Accent4 24 3" xfId="0"/>
    <cellStyle name="40% - Accent4 25" xfId="0"/>
    <cellStyle name="40% - Accent4 25 2" xfId="0"/>
    <cellStyle name="40% - Accent4 25 2 2" xfId="0"/>
    <cellStyle name="40% - Accent4 25 3" xfId="0"/>
    <cellStyle name="40% - Accent4 26" xfId="0"/>
    <cellStyle name="40% - Accent4 26 2" xfId="0"/>
    <cellStyle name="40% - Accent4 26 3" xfId="0"/>
    <cellStyle name="40% - Accent4 27" xfId="0"/>
    <cellStyle name="40% - Accent4 27 2" xfId="0"/>
    <cellStyle name="40% - Accent4 27 3" xfId="0"/>
    <cellStyle name="40% - Accent4 28" xfId="0"/>
    <cellStyle name="40% - Accent4 28 2" xfId="0"/>
    <cellStyle name="40% - Accent4 28 3" xfId="0"/>
    <cellStyle name="40% - Accent4 29" xfId="0"/>
    <cellStyle name="40% - Accent4 29 2" xfId="0"/>
    <cellStyle name="40% - Accent4 29 3" xfId="0"/>
    <cellStyle name="40% - Accent4 2_2.VSCN - GSC charge" xfId="0"/>
    <cellStyle name="40% - Accent4 3" xfId="0"/>
    <cellStyle name="40% - Accent4 3 2" xfId="0"/>
    <cellStyle name="40% - Accent4 3 2 2" xfId="0"/>
    <cellStyle name="40% - Accent4 3 2 3" xfId="0"/>
    <cellStyle name="40% - Accent4 3 3" xfId="0"/>
    <cellStyle name="40% - Accent4 3 3 2" xfId="0"/>
    <cellStyle name="40% - Accent4 3 3 3" xfId="0"/>
    <cellStyle name="40% - Accent4 3 4" xfId="0"/>
    <cellStyle name="40% - Accent4 3 4 2" xfId="0"/>
    <cellStyle name="40% - Accent4 3 5" xfId="0"/>
    <cellStyle name="40% - Accent4 3 5 2" xfId="0"/>
    <cellStyle name="40% - Accent4 3 6" xfId="0"/>
    <cellStyle name="40% - Accent4 3 7" xfId="0"/>
    <cellStyle name="40% - Accent4 30" xfId="0"/>
    <cellStyle name="40% - Accent4 30 2" xfId="0"/>
    <cellStyle name="40% - Accent4 31" xfId="0"/>
    <cellStyle name="40% - Accent4 31 2" xfId="0"/>
    <cellStyle name="40% - Accent4 32" xfId="0"/>
    <cellStyle name="40% - Accent4 32 2" xfId="0"/>
    <cellStyle name="40% - Accent4 33" xfId="0"/>
    <cellStyle name="40% - Accent4 33 2" xfId="0"/>
    <cellStyle name="40% - Accent4 34" xfId="0"/>
    <cellStyle name="40% - Accent4 34 2" xfId="0"/>
    <cellStyle name="40% - Accent4 35" xfId="0"/>
    <cellStyle name="40% - Accent4 35 2" xfId="0"/>
    <cellStyle name="40% - Accent4 36" xfId="0"/>
    <cellStyle name="40% - Accent4 36 2" xfId="0"/>
    <cellStyle name="40% - Accent4 37" xfId="0"/>
    <cellStyle name="40% - Accent4 37 2" xfId="0"/>
    <cellStyle name="40% - Accent4 38" xfId="0"/>
    <cellStyle name="40% - Accent4 38 2" xfId="0"/>
    <cellStyle name="40% - Accent4 39" xfId="0"/>
    <cellStyle name="40% - Accent4 39 2" xfId="0"/>
    <cellStyle name="40% - Accent4 3_Profitability Detail NT$ Sep-12" xfId="0"/>
    <cellStyle name="40% - Accent4 4" xfId="0"/>
    <cellStyle name="40% - Accent4 4 2" xfId="0"/>
    <cellStyle name="40% - Accent4 4 2 2" xfId="0"/>
    <cellStyle name="40% - Accent4 4 2 3" xfId="0"/>
    <cellStyle name="40% - Accent4 4 3" xfId="0"/>
    <cellStyle name="40% - Accent4 4 3 2" xfId="0"/>
    <cellStyle name="40% - Accent4 4 3 3" xfId="0"/>
    <cellStyle name="40% - Accent4 4 4" xfId="0"/>
    <cellStyle name="40% - Accent4 4 4 2" xfId="0"/>
    <cellStyle name="40% - Accent4 4 5" xfId="0"/>
    <cellStyle name="40% - Accent4 4 5 2" xfId="0"/>
    <cellStyle name="40% - Accent4 4 6" xfId="0"/>
    <cellStyle name="40% - Accent4 4 7" xfId="0"/>
    <cellStyle name="40% - Accent4 40" xfId="0"/>
    <cellStyle name="40% - Accent4 40 2" xfId="0"/>
    <cellStyle name="40% - Accent4 41" xfId="0"/>
    <cellStyle name="40% - Accent4 41 2" xfId="0"/>
    <cellStyle name="40% - Accent4 42" xfId="0"/>
    <cellStyle name="40% - Accent4 43" xfId="0"/>
    <cellStyle name="40% - Accent4 44" xfId="0"/>
    <cellStyle name="40% - Accent4 45" xfId="0"/>
    <cellStyle name="40% - Accent4 46" xfId="0"/>
    <cellStyle name="40% - Accent4 47" xfId="0"/>
    <cellStyle name="40% - Accent4 48" xfId="0"/>
    <cellStyle name="40% - Accent4 49" xfId="0"/>
    <cellStyle name="40% - Accent4 4_Profitability Detail NT$ Sep-12" xfId="0"/>
    <cellStyle name="40% - Accent4 5" xfId="0"/>
    <cellStyle name="40% - Accent4 5 2" xfId="0"/>
    <cellStyle name="40% - Accent4 5 2 2" xfId="0"/>
    <cellStyle name="40% - Accent4 5 2 3" xfId="0"/>
    <cellStyle name="40% - Accent4 5 3" xfId="0"/>
    <cellStyle name="40% - Accent4 5 3 2" xfId="0"/>
    <cellStyle name="40% - Accent4 5 4" xfId="0"/>
    <cellStyle name="40% - Accent4 5 4 2" xfId="0"/>
    <cellStyle name="40% - Accent4 5 5" xfId="0"/>
    <cellStyle name="40% - Accent4 50" xfId="0"/>
    <cellStyle name="40% - Accent4 51" xfId="0"/>
    <cellStyle name="40% - Accent4 52" xfId="0"/>
    <cellStyle name="40% - Accent4 53" xfId="0"/>
    <cellStyle name="40% - Accent4 54" xfId="0"/>
    <cellStyle name="40% - Accent4 55" xfId="0"/>
    <cellStyle name="40% - Accent4 56" xfId="0"/>
    <cellStyle name="40% - Accent4 57" xfId="0"/>
    <cellStyle name="40% - Accent4 58" xfId="0"/>
    <cellStyle name="40% - Accent4 59" xfId="0"/>
    <cellStyle name="40% - Accent4 6" xfId="0"/>
    <cellStyle name="40% - Accent4 6 2" xfId="0"/>
    <cellStyle name="40% - Accent4 6 2 2" xfId="0"/>
    <cellStyle name="40% - Accent4 6 3" xfId="0"/>
    <cellStyle name="40% - Accent4 6 3 2" xfId="0"/>
    <cellStyle name="40% - Accent4 6 4" xfId="0"/>
    <cellStyle name="40% - Accent4 60" xfId="0"/>
    <cellStyle name="40% - Accent4 61" xfId="0"/>
    <cellStyle name="40% - Accent4 62" xfId="0"/>
    <cellStyle name="40% - Accent4 63" xfId="0"/>
    <cellStyle name="40% - Accent4 64" xfId="0"/>
    <cellStyle name="40% - Accent4 65" xfId="0"/>
    <cellStyle name="40% - Accent4 66" xfId="0"/>
    <cellStyle name="40% - Accent4 67" xfId="0"/>
    <cellStyle name="40% - Accent4 68" xfId="0"/>
    <cellStyle name="40% - Accent4 69" xfId="0"/>
    <cellStyle name="40% - Accent4 7" xfId="0"/>
    <cellStyle name="40% - Accent4 7 2" xfId="0"/>
    <cellStyle name="40% - Accent4 7 2 2" xfId="0"/>
    <cellStyle name="40% - Accent4 7 3" xfId="0"/>
    <cellStyle name="40% - Accent4 7 3 2" xfId="0"/>
    <cellStyle name="40% - Accent4 7 4" xfId="0"/>
    <cellStyle name="40% - Accent4 70" xfId="0"/>
    <cellStyle name="40% - Accent4 71" xfId="0"/>
    <cellStyle name="40% - Accent4 72" xfId="0"/>
    <cellStyle name="40% - Accent4 73" xfId="0"/>
    <cellStyle name="40% - Accent4 74" xfId="0"/>
    <cellStyle name="40% - Accent4 75" xfId="0"/>
    <cellStyle name="40% - Accent4 76" xfId="0"/>
    <cellStyle name="40% - Accent4 77" xfId="0"/>
    <cellStyle name="40% - Accent4 78" xfId="0"/>
    <cellStyle name="40% - Accent4 79" xfId="0"/>
    <cellStyle name="40% - Accent4 8" xfId="0"/>
    <cellStyle name="40% - Accent4 8 2" xfId="0"/>
    <cellStyle name="40% - Accent4 8 2 2" xfId="0"/>
    <cellStyle name="40% - Accent4 8 3" xfId="0"/>
    <cellStyle name="40% - Accent4 8 3 2" xfId="0"/>
    <cellStyle name="40% - Accent4 8 4" xfId="0"/>
    <cellStyle name="40% - Accent4 80" xfId="0"/>
    <cellStyle name="40% - Accent4 81" xfId="0"/>
    <cellStyle name="40% - Accent4 82" xfId="0"/>
    <cellStyle name="40% - Accent4 83" xfId="0"/>
    <cellStyle name="40% - Accent4 84" xfId="0"/>
    <cellStyle name="40% - Accent4 85" xfId="0"/>
    <cellStyle name="40% - Accent4 86" xfId="0"/>
    <cellStyle name="40% - Accent4 87" xfId="0"/>
    <cellStyle name="40% - Accent4 88" xfId="0"/>
    <cellStyle name="40% - Accent4 89" xfId="0"/>
    <cellStyle name="40% - Accent4 9" xfId="0"/>
    <cellStyle name="40% - Accent4 9 2" xfId="0"/>
    <cellStyle name="40% - Accent4 9 2 2" xfId="0"/>
    <cellStyle name="40% - Accent4 9 3" xfId="0"/>
    <cellStyle name="40% - Accent4 9 3 2" xfId="0"/>
    <cellStyle name="40% - Accent4 9 4" xfId="0"/>
    <cellStyle name="40% - Accent4 90" xfId="0"/>
    <cellStyle name="40% - Accent4 91" xfId="0"/>
    <cellStyle name="40% - Accent4 92" xfId="0"/>
    <cellStyle name="40% - Accent4 93" xfId="0"/>
    <cellStyle name="40% - Accent4 94" xfId="0"/>
    <cellStyle name="40% - Accent4 95" xfId="0"/>
    <cellStyle name="40% - Accent4 96" xfId="0"/>
    <cellStyle name="40% - Accent4_ALL inventory onhand data 0912" xfId="0"/>
    <cellStyle name="40% - Accent5" xfId="0"/>
    <cellStyle name="40% - Accent5 10" xfId="0"/>
    <cellStyle name="40% - Accent5 10 2" xfId="0"/>
    <cellStyle name="40% - Accent5 10 2 2" xfId="0"/>
    <cellStyle name="40% - Accent5 10 3" xfId="0"/>
    <cellStyle name="40% - Accent5 10 3 2" xfId="0"/>
    <cellStyle name="40% - Accent5 10 4" xfId="0"/>
    <cellStyle name="40% - Accent5 11" xfId="0"/>
    <cellStyle name="40% - Accent5 11 2" xfId="0"/>
    <cellStyle name="40% - Accent5 11 2 2" xfId="0"/>
    <cellStyle name="40% - Accent5 11 3" xfId="0"/>
    <cellStyle name="40% - Accent5 11 3 2" xfId="0"/>
    <cellStyle name="40% - Accent5 11 4" xfId="0"/>
    <cellStyle name="40% - Accent5 12" xfId="0"/>
    <cellStyle name="40% - Accent5 12 2" xfId="0"/>
    <cellStyle name="40% - Accent5 12 2 2" xfId="0"/>
    <cellStyle name="40% - Accent5 13" xfId="0"/>
    <cellStyle name="40% - Accent5 13 2" xfId="0"/>
    <cellStyle name="40% - Accent5 13 2 2" xfId="0"/>
    <cellStyle name="40% - Accent5 14" xfId="0"/>
    <cellStyle name="40% - Accent5 14 2" xfId="0"/>
    <cellStyle name="40% - Accent5 14 2 2" xfId="0"/>
    <cellStyle name="40% - Accent5 15" xfId="0"/>
    <cellStyle name="40% - Accent5 15 2" xfId="0"/>
    <cellStyle name="40% - Accent5 15 2 2" xfId="0"/>
    <cellStyle name="40% - Accent5 16" xfId="0"/>
    <cellStyle name="40% - Accent5 16 2" xfId="0"/>
    <cellStyle name="40% - Accent5 16 2 2" xfId="0"/>
    <cellStyle name="40% - Accent5 17" xfId="0"/>
    <cellStyle name="40% - Accent5 17 2" xfId="0"/>
    <cellStyle name="40% - Accent5 17 2 2" xfId="0"/>
    <cellStyle name="40% - Accent5 18" xfId="0"/>
    <cellStyle name="40% - Accent5 18 2" xfId="0"/>
    <cellStyle name="40% - Accent5 18 2 2" xfId="0"/>
    <cellStyle name="40% - Accent5 19" xfId="0"/>
    <cellStyle name="40% - Accent5 19 2" xfId="0"/>
    <cellStyle name="40% - Accent5 19 2 2" xfId="0"/>
    <cellStyle name="40% - Accent5 2" xfId="0"/>
    <cellStyle name="40% - Accent5 2 10" xfId="0"/>
    <cellStyle name="40% - Accent5 2 11" xfId="0"/>
    <cellStyle name="40% - Accent5 2 12" xfId="0"/>
    <cellStyle name="40% - Accent5 2 13" xfId="0"/>
    <cellStyle name="40% - Accent5 2 14" xfId="0"/>
    <cellStyle name="40% - Accent5 2 15" xfId="0"/>
    <cellStyle name="40% - Accent5 2 16" xfId="0"/>
    <cellStyle name="40% - Accent5 2 17" xfId="0"/>
    <cellStyle name="40% - Accent5 2 18" xfId="0"/>
    <cellStyle name="40% - Accent5 2 19" xfId="0"/>
    <cellStyle name="40% - Accent5 2 2" xfId="0"/>
    <cellStyle name="40% - Accent5 2 2 2" xfId="0"/>
    <cellStyle name="40% - Accent5 2 2 2 2" xfId="0"/>
    <cellStyle name="40% - Accent5 2 2 3" xfId="0"/>
    <cellStyle name="40% - Accent5 2 2 3 2" xfId="0"/>
    <cellStyle name="40% - Accent5 2 2 4" xfId="0"/>
    <cellStyle name="40% - Accent5 2 2 4 2" xfId="0"/>
    <cellStyle name="40% - Accent5 2 2 5" xfId="0"/>
    <cellStyle name="40% - Accent5 2 2 6" xfId="0"/>
    <cellStyle name="40% - Accent5 2 20" xfId="0"/>
    <cellStyle name="40% - Accent5 2 21" xfId="0"/>
    <cellStyle name="40% - Accent5 2 22" xfId="0"/>
    <cellStyle name="40% - Accent5 2 23" xfId="0"/>
    <cellStyle name="40% - Accent5 2 24" xfId="0"/>
    <cellStyle name="40% - Accent5 2 25" xfId="0"/>
    <cellStyle name="40% - Accent5 2 3" xfId="0"/>
    <cellStyle name="40% - Accent5 2 3 2" xfId="0"/>
    <cellStyle name="40% - Accent5 2 3 3" xfId="0"/>
    <cellStyle name="40% - Accent5 2 4" xfId="0"/>
    <cellStyle name="40% - Accent5 2 4 2" xfId="0"/>
    <cellStyle name="40% - Accent5 2 4 3" xfId="0"/>
    <cellStyle name="40% - Accent5 2 5" xfId="0"/>
    <cellStyle name="40% - Accent5 2 5 2" xfId="0"/>
    <cellStyle name="40% - Accent5 2 5 3" xfId="0"/>
    <cellStyle name="40% - Accent5 2 6" xfId="0"/>
    <cellStyle name="40% - Accent5 2 6 2" xfId="0"/>
    <cellStyle name="40% - Accent5 2 7" xfId="0"/>
    <cellStyle name="40% - Accent5 2 7 2" xfId="0"/>
    <cellStyle name="40% - Accent5 2 8" xfId="0"/>
    <cellStyle name="40% - Accent5 2 8 2" xfId="0"/>
    <cellStyle name="40% - Accent5 2 9" xfId="0"/>
    <cellStyle name="40% - Accent5 20" xfId="0"/>
    <cellStyle name="40% - Accent5 20 2" xfId="0"/>
    <cellStyle name="40% - Accent5 20 2 2" xfId="0"/>
    <cellStyle name="40% - Accent5 21" xfId="0"/>
    <cellStyle name="40% - Accent5 21 2" xfId="0"/>
    <cellStyle name="40% - Accent5 21 2 2" xfId="0"/>
    <cellStyle name="40% - Accent5 22" xfId="0"/>
    <cellStyle name="40% - Accent5 22 2" xfId="0"/>
    <cellStyle name="40% - Accent5 22 2 2" xfId="0"/>
    <cellStyle name="40% - Accent5 23" xfId="0"/>
    <cellStyle name="40% - Accent5 23 2" xfId="0"/>
    <cellStyle name="40% - Accent5 23 2 2" xfId="0"/>
    <cellStyle name="40% - Accent5 23 3" xfId="0"/>
    <cellStyle name="40% - Accent5 24" xfId="0"/>
    <cellStyle name="40% - Accent5 24 2" xfId="0"/>
    <cellStyle name="40% - Accent5 24 2 2" xfId="0"/>
    <cellStyle name="40% - Accent5 24 3" xfId="0"/>
    <cellStyle name="40% - Accent5 25" xfId="0"/>
    <cellStyle name="40% - Accent5 25 2" xfId="0"/>
    <cellStyle name="40% - Accent5 25 3" xfId="0"/>
    <cellStyle name="40% - Accent5 26" xfId="0"/>
    <cellStyle name="40% - Accent5 26 2" xfId="0"/>
    <cellStyle name="40% - Accent5 27" xfId="0"/>
    <cellStyle name="40% - Accent5 27 2" xfId="0"/>
    <cellStyle name="40% - Accent5 28" xfId="0"/>
    <cellStyle name="40% - Accent5 28 2" xfId="0"/>
    <cellStyle name="40% - Accent5 29" xfId="0"/>
    <cellStyle name="40% - Accent5 29 2" xfId="0"/>
    <cellStyle name="40% - Accent5 2_2.VSCN - GSC charge" xfId="0"/>
    <cellStyle name="40% - Accent5 3" xfId="0"/>
    <cellStyle name="40% - Accent5 3 2" xfId="0"/>
    <cellStyle name="40% - Accent5 3 2 2" xfId="0"/>
    <cellStyle name="40% - Accent5 3 2 3" xfId="0"/>
    <cellStyle name="40% - Accent5 3 3" xfId="0"/>
    <cellStyle name="40% - Accent5 3 3 2" xfId="0"/>
    <cellStyle name="40% - Accent5 3 3 3" xfId="0"/>
    <cellStyle name="40% - Accent5 3 4" xfId="0"/>
    <cellStyle name="40% - Accent5 3 4 2" xfId="0"/>
    <cellStyle name="40% - Accent5 3 5" xfId="0"/>
    <cellStyle name="40% - Accent5 3 5 2" xfId="0"/>
    <cellStyle name="40% - Accent5 3 6" xfId="0"/>
    <cellStyle name="40% - Accent5 3 7" xfId="0"/>
    <cellStyle name="40% - Accent5 30" xfId="0"/>
    <cellStyle name="40% - Accent5 30 2" xfId="0"/>
    <cellStyle name="40% - Accent5 31" xfId="0"/>
    <cellStyle name="40% - Accent5 31 2" xfId="0"/>
    <cellStyle name="40% - Accent5 32" xfId="0"/>
    <cellStyle name="40% - Accent5 32 2" xfId="0"/>
    <cellStyle name="40% - Accent5 33" xfId="0"/>
    <cellStyle name="40% - Accent5 33 2" xfId="0"/>
    <cellStyle name="40% - Accent5 34" xfId="0"/>
    <cellStyle name="40% - Accent5 34 2" xfId="0"/>
    <cellStyle name="40% - Accent5 35" xfId="0"/>
    <cellStyle name="40% - Accent5 35 2" xfId="0"/>
    <cellStyle name="40% - Accent5 36" xfId="0"/>
    <cellStyle name="40% - Accent5 37" xfId="0"/>
    <cellStyle name="40% - Accent5 38" xfId="0"/>
    <cellStyle name="40% - Accent5 39" xfId="0"/>
    <cellStyle name="40% - Accent5 3_Profitability Detail NT$ Sep-12" xfId="0"/>
    <cellStyle name="40% - Accent5 4" xfId="0"/>
    <cellStyle name="40% - Accent5 4 2" xfId="0"/>
    <cellStyle name="40% - Accent5 4 2 2" xfId="0"/>
    <cellStyle name="40% - Accent5 4 2 3" xfId="0"/>
    <cellStyle name="40% - Accent5 4 3" xfId="0"/>
    <cellStyle name="40% - Accent5 4 3 2" xfId="0"/>
    <cellStyle name="40% - Accent5 4 3 3" xfId="0"/>
    <cellStyle name="40% - Accent5 4 4" xfId="0"/>
    <cellStyle name="40% - Accent5 4 4 2" xfId="0"/>
    <cellStyle name="40% - Accent5 4 5" xfId="0"/>
    <cellStyle name="40% - Accent5 4 5 2" xfId="0"/>
    <cellStyle name="40% - Accent5 4 6" xfId="0"/>
    <cellStyle name="40% - Accent5 4 7" xfId="0"/>
    <cellStyle name="40% - Accent5 40" xfId="0"/>
    <cellStyle name="40% - Accent5 41" xfId="0"/>
    <cellStyle name="40% - Accent5 42" xfId="0"/>
    <cellStyle name="40% - Accent5 43" xfId="0"/>
    <cellStyle name="40% - Accent5 44" xfId="0"/>
    <cellStyle name="40% - Accent5 45" xfId="0"/>
    <cellStyle name="40% - Accent5 46" xfId="0"/>
    <cellStyle name="40% - Accent5 47" xfId="0"/>
    <cellStyle name="40% - Accent5 48" xfId="0"/>
    <cellStyle name="40% - Accent5 49" xfId="0"/>
    <cellStyle name="40% - Accent5 4_Profitability Detail NT$ Sep-12" xfId="0"/>
    <cellStyle name="40% - Accent5 5" xfId="0"/>
    <cellStyle name="40% - Accent5 5 2" xfId="0"/>
    <cellStyle name="40% - Accent5 5 2 2" xfId="0"/>
    <cellStyle name="40% - Accent5 5 2 3" xfId="0"/>
    <cellStyle name="40% - Accent5 5 3" xfId="0"/>
    <cellStyle name="40% - Accent5 5 3 2" xfId="0"/>
    <cellStyle name="40% - Accent5 5 4" xfId="0"/>
    <cellStyle name="40% - Accent5 5 4 2" xfId="0"/>
    <cellStyle name="40% - Accent5 5 5" xfId="0"/>
    <cellStyle name="40% - Accent5 50" xfId="0"/>
    <cellStyle name="40% - Accent5 51" xfId="0"/>
    <cellStyle name="40% - Accent5 52" xfId="0"/>
    <cellStyle name="40% - Accent5 53" xfId="0"/>
    <cellStyle name="40% - Accent5 54" xfId="0"/>
    <cellStyle name="40% - Accent5 55" xfId="0"/>
    <cellStyle name="40% - Accent5 56" xfId="0"/>
    <cellStyle name="40% - Accent5 57" xfId="0"/>
    <cellStyle name="40% - Accent5 58" xfId="0"/>
    <cellStyle name="40% - Accent5 59" xfId="0"/>
    <cellStyle name="40% - Accent5 6" xfId="0"/>
    <cellStyle name="40% - Accent5 6 2" xfId="0"/>
    <cellStyle name="40% - Accent5 6 2 2" xfId="0"/>
    <cellStyle name="40% - Accent5 6 3" xfId="0"/>
    <cellStyle name="40% - Accent5 6 3 2" xfId="0"/>
    <cellStyle name="40% - Accent5 6 4" xfId="0"/>
    <cellStyle name="40% - Accent5 60" xfId="0"/>
    <cellStyle name="40% - Accent5 61" xfId="0"/>
    <cellStyle name="40% - Accent5 62" xfId="0"/>
    <cellStyle name="40% - Accent5 63" xfId="0"/>
    <cellStyle name="40% - Accent5 64" xfId="0"/>
    <cellStyle name="40% - Accent5 65" xfId="0"/>
    <cellStyle name="40% - Accent5 66" xfId="0"/>
    <cellStyle name="40% - Accent5 67" xfId="0"/>
    <cellStyle name="40% - Accent5 68" xfId="0"/>
    <cellStyle name="40% - Accent5 69" xfId="0"/>
    <cellStyle name="40% - Accent5 7" xfId="0"/>
    <cellStyle name="40% - Accent5 7 2" xfId="0"/>
    <cellStyle name="40% - Accent5 7 2 2" xfId="0"/>
    <cellStyle name="40% - Accent5 7 3" xfId="0"/>
    <cellStyle name="40% - Accent5 7 3 2" xfId="0"/>
    <cellStyle name="40% - Accent5 7 4" xfId="0"/>
    <cellStyle name="40% - Accent5 70" xfId="0"/>
    <cellStyle name="40% - Accent5 71" xfId="0"/>
    <cellStyle name="40% - Accent5 72" xfId="0"/>
    <cellStyle name="40% - Accent5 73" xfId="0"/>
    <cellStyle name="40% - Accent5 74" xfId="0"/>
    <cellStyle name="40% - Accent5 75" xfId="0"/>
    <cellStyle name="40% - Accent5 76" xfId="0"/>
    <cellStyle name="40% - Accent5 77" xfId="0"/>
    <cellStyle name="40% - Accent5 78" xfId="0"/>
    <cellStyle name="40% - Accent5 79" xfId="0"/>
    <cellStyle name="40% - Accent5 8" xfId="0"/>
    <cellStyle name="40% - Accent5 8 2" xfId="0"/>
    <cellStyle name="40% - Accent5 8 2 2" xfId="0"/>
    <cellStyle name="40% - Accent5 8 3" xfId="0"/>
    <cellStyle name="40% - Accent5 8 3 2" xfId="0"/>
    <cellStyle name="40% - Accent5 8 4" xfId="0"/>
    <cellStyle name="40% - Accent5 80" xfId="0"/>
    <cellStyle name="40% - Accent5 81" xfId="0"/>
    <cellStyle name="40% - Accent5 82" xfId="0"/>
    <cellStyle name="40% - Accent5 83" xfId="0"/>
    <cellStyle name="40% - Accent5 84" xfId="0"/>
    <cellStyle name="40% - Accent5 85" xfId="0"/>
    <cellStyle name="40% - Accent5 86" xfId="0"/>
    <cellStyle name="40% - Accent5 87" xfId="0"/>
    <cellStyle name="40% - Accent5 88" xfId="0"/>
    <cellStyle name="40% - Accent5 89" xfId="0"/>
    <cellStyle name="40% - Accent5 9" xfId="0"/>
    <cellStyle name="40% - Accent5 9 2" xfId="0"/>
    <cellStyle name="40% - Accent5 9 2 2" xfId="0"/>
    <cellStyle name="40% - Accent5 9 3" xfId="0"/>
    <cellStyle name="40% - Accent5 9 3 2" xfId="0"/>
    <cellStyle name="40% - Accent5 9 4" xfId="0"/>
    <cellStyle name="40% - Accent5 90" xfId="0"/>
    <cellStyle name="40% - Accent5 91" xfId="0"/>
    <cellStyle name="40% - Accent5 92" xfId="0"/>
    <cellStyle name="40% - Accent5 93" xfId="0"/>
    <cellStyle name="40% - Accent5 94" xfId="0"/>
    <cellStyle name="40% - Accent5 95" xfId="0"/>
    <cellStyle name="40% - Accent5 96" xfId="0"/>
    <cellStyle name="40% - Accent5_ALL inventory onhand data 0912" xfId="0"/>
    <cellStyle name="40% - Accent6" xfId="0"/>
    <cellStyle name="40% - Accent6 10" xfId="0"/>
    <cellStyle name="40% - Accent6 10 2" xfId="0"/>
    <cellStyle name="40% - Accent6 10 2 2" xfId="0"/>
    <cellStyle name="40% - Accent6 10 3" xfId="0"/>
    <cellStyle name="40% - Accent6 10 3 2" xfId="0"/>
    <cellStyle name="40% - Accent6 10 4" xfId="0"/>
    <cellStyle name="40% - Accent6 11" xfId="0"/>
    <cellStyle name="40% - Accent6 11 2" xfId="0"/>
    <cellStyle name="40% - Accent6 11 2 2" xfId="0"/>
    <cellStyle name="40% - Accent6 11 3" xfId="0"/>
    <cellStyle name="40% - Accent6 11 3 2" xfId="0"/>
    <cellStyle name="40% - Accent6 11 4" xfId="0"/>
    <cellStyle name="40% - Accent6 12" xfId="0"/>
    <cellStyle name="40% - Accent6 12 2" xfId="0"/>
    <cellStyle name="40% - Accent6 12 2 2" xfId="0"/>
    <cellStyle name="40% - Accent6 13" xfId="0"/>
    <cellStyle name="40% - Accent6 13 2" xfId="0"/>
    <cellStyle name="40% - Accent6 13 2 2" xfId="0"/>
    <cellStyle name="40% - Accent6 14" xfId="0"/>
    <cellStyle name="40% - Accent6 14 2" xfId="0"/>
    <cellStyle name="40% - Accent6 14 2 2" xfId="0"/>
    <cellStyle name="40% - Accent6 15" xfId="0"/>
    <cellStyle name="40% - Accent6 15 2" xfId="0"/>
    <cellStyle name="40% - Accent6 15 2 2" xfId="0"/>
    <cellStyle name="40% - Accent6 16" xfId="0"/>
    <cellStyle name="40% - Accent6 16 2" xfId="0"/>
    <cellStyle name="40% - Accent6 16 2 2" xfId="0"/>
    <cellStyle name="40% - Accent6 17" xfId="0"/>
    <cellStyle name="40% - Accent6 17 2" xfId="0"/>
    <cellStyle name="40% - Accent6 17 2 2" xfId="0"/>
    <cellStyle name="40% - Accent6 18" xfId="0"/>
    <cellStyle name="40% - Accent6 18 2" xfId="0"/>
    <cellStyle name="40% - Accent6 18 2 2" xfId="0"/>
    <cellStyle name="40% - Accent6 19" xfId="0"/>
    <cellStyle name="40% - Accent6 19 2" xfId="0"/>
    <cellStyle name="40% - Accent6 19 2 2" xfId="0"/>
    <cellStyle name="40% - Accent6 2" xfId="0"/>
    <cellStyle name="40% - Accent6 2 10" xfId="0"/>
    <cellStyle name="40% - Accent6 2 11" xfId="0"/>
    <cellStyle name="40% - Accent6 2 12" xfId="0"/>
    <cellStyle name="40% - Accent6 2 13" xfId="0"/>
    <cellStyle name="40% - Accent6 2 14" xfId="0"/>
    <cellStyle name="40% - Accent6 2 15" xfId="0"/>
    <cellStyle name="40% - Accent6 2 16" xfId="0"/>
    <cellStyle name="40% - Accent6 2 17" xfId="0"/>
    <cellStyle name="40% - Accent6 2 18" xfId="0"/>
    <cellStyle name="40% - Accent6 2 19" xfId="0"/>
    <cellStyle name="40% - Accent6 2 2" xfId="0"/>
    <cellStyle name="40% - Accent6 2 2 2" xfId="0"/>
    <cellStyle name="40% - Accent6 2 2 2 2" xfId="0"/>
    <cellStyle name="40% - Accent6 2 2 3" xfId="0"/>
    <cellStyle name="40% - Accent6 2 2 3 2" xfId="0"/>
    <cellStyle name="40% - Accent6 2 2 4" xfId="0"/>
    <cellStyle name="40% - Accent6 2 2 4 2" xfId="0"/>
    <cellStyle name="40% - Accent6 2 2 5" xfId="0"/>
    <cellStyle name="40% - Accent6 2 2 6" xfId="0"/>
    <cellStyle name="40% - Accent6 2 20" xfId="0"/>
    <cellStyle name="40% - Accent6 2 21" xfId="0"/>
    <cellStyle name="40% - Accent6 2 22" xfId="0"/>
    <cellStyle name="40% - Accent6 2 23" xfId="0"/>
    <cellStyle name="40% - Accent6 2 24" xfId="0"/>
    <cellStyle name="40% - Accent6 2 25" xfId="0"/>
    <cellStyle name="40% - Accent6 2 3" xfId="0"/>
    <cellStyle name="40% - Accent6 2 3 2" xfId="0"/>
    <cellStyle name="40% - Accent6 2 3 3" xfId="0"/>
    <cellStyle name="40% - Accent6 2 4" xfId="0"/>
    <cellStyle name="40% - Accent6 2 4 2" xfId="0"/>
    <cellStyle name="40% - Accent6 2 4 3" xfId="0"/>
    <cellStyle name="40% - Accent6 2 5" xfId="0"/>
    <cellStyle name="40% - Accent6 2 5 2" xfId="0"/>
    <cellStyle name="40% - Accent6 2 5 3" xfId="0"/>
    <cellStyle name="40% - Accent6 2 6" xfId="0"/>
    <cellStyle name="40% - Accent6 2 6 2" xfId="0"/>
    <cellStyle name="40% - Accent6 2 7" xfId="0"/>
    <cellStyle name="40% - Accent6 2 7 2" xfId="0"/>
    <cellStyle name="40% - Accent6 2 8" xfId="0"/>
    <cellStyle name="40% - Accent6 2 8 2" xfId="0"/>
    <cellStyle name="40% - Accent6 2 9" xfId="0"/>
    <cellStyle name="40% - Accent6 20" xfId="0"/>
    <cellStyle name="40% - Accent6 20 2" xfId="0"/>
    <cellStyle name="40% - Accent6 20 2 2" xfId="0"/>
    <cellStyle name="40% - Accent6 21" xfId="0"/>
    <cellStyle name="40% - Accent6 21 2" xfId="0"/>
    <cellStyle name="40% - Accent6 21 2 2" xfId="0"/>
    <cellStyle name="40% - Accent6 22" xfId="0"/>
    <cellStyle name="40% - Accent6 22 2" xfId="0"/>
    <cellStyle name="40% - Accent6 22 2 2" xfId="0"/>
    <cellStyle name="40% - Accent6 23" xfId="0"/>
    <cellStyle name="40% - Accent6 23 2" xfId="0"/>
    <cellStyle name="40% - Accent6 23 2 2" xfId="0"/>
    <cellStyle name="40% - Accent6 23 3" xfId="0"/>
    <cellStyle name="40% - Accent6 24" xfId="0"/>
    <cellStyle name="40% - Accent6 24 2" xfId="0"/>
    <cellStyle name="40% - Accent6 24 2 2" xfId="0"/>
    <cellStyle name="40% - Accent6 24 3" xfId="0"/>
    <cellStyle name="40% - Accent6 25" xfId="0"/>
    <cellStyle name="40% - Accent6 25 2" xfId="0"/>
    <cellStyle name="40% - Accent6 25 2 2" xfId="0"/>
    <cellStyle name="40% - Accent6 25 3" xfId="0"/>
    <cellStyle name="40% - Accent6 26" xfId="0"/>
    <cellStyle name="40% - Accent6 26 2" xfId="0"/>
    <cellStyle name="40% - Accent6 26 3" xfId="0"/>
    <cellStyle name="40% - Accent6 27" xfId="0"/>
    <cellStyle name="40% - Accent6 27 2" xfId="0"/>
    <cellStyle name="40% - Accent6 27 3" xfId="0"/>
    <cellStyle name="40% - Accent6 28" xfId="0"/>
    <cellStyle name="40% - Accent6 28 2" xfId="0"/>
    <cellStyle name="40% - Accent6 28 3" xfId="0"/>
    <cellStyle name="40% - Accent6 29" xfId="0"/>
    <cellStyle name="40% - Accent6 29 2" xfId="0"/>
    <cellStyle name="40% - Accent6 29 3" xfId="0"/>
    <cellStyle name="40% - Accent6 2_2.VSCN - GSC charge" xfId="0"/>
    <cellStyle name="40% - Accent6 3" xfId="0"/>
    <cellStyle name="40% - Accent6 3 2" xfId="0"/>
    <cellStyle name="40% - Accent6 3 2 2" xfId="0"/>
    <cellStyle name="40% - Accent6 3 2 3" xfId="0"/>
    <cellStyle name="40% - Accent6 3 3" xfId="0"/>
    <cellStyle name="40% - Accent6 3 3 2" xfId="0"/>
    <cellStyle name="40% - Accent6 3 3 3" xfId="0"/>
    <cellStyle name="40% - Accent6 3 4" xfId="0"/>
    <cellStyle name="40% - Accent6 3 4 2" xfId="0"/>
    <cellStyle name="40% - Accent6 3 5" xfId="0"/>
    <cellStyle name="40% - Accent6 3 5 2" xfId="0"/>
    <cellStyle name="40% - Accent6 3 6" xfId="0"/>
    <cellStyle name="40% - Accent6 3 7" xfId="0"/>
    <cellStyle name="40% - Accent6 30" xfId="0"/>
    <cellStyle name="40% - Accent6 30 2" xfId="0"/>
    <cellStyle name="40% - Accent6 31" xfId="0"/>
    <cellStyle name="40% - Accent6 31 2" xfId="0"/>
    <cellStyle name="40% - Accent6 32" xfId="0"/>
    <cellStyle name="40% - Accent6 32 2" xfId="0"/>
    <cellStyle name="40% - Accent6 33" xfId="0"/>
    <cellStyle name="40% - Accent6 33 2" xfId="0"/>
    <cellStyle name="40% - Accent6 34" xfId="0"/>
    <cellStyle name="40% - Accent6 34 2" xfId="0"/>
    <cellStyle name="40% - Accent6 35" xfId="0"/>
    <cellStyle name="40% - Accent6 35 2" xfId="0"/>
    <cellStyle name="40% - Accent6 36" xfId="0"/>
    <cellStyle name="40% - Accent6 36 2" xfId="0"/>
    <cellStyle name="40% - Accent6 37" xfId="0"/>
    <cellStyle name="40% - Accent6 37 2" xfId="0"/>
    <cellStyle name="40% - Accent6 38" xfId="0"/>
    <cellStyle name="40% - Accent6 38 2" xfId="0"/>
    <cellStyle name="40% - Accent6 39" xfId="0"/>
    <cellStyle name="40% - Accent6 39 2" xfId="0"/>
    <cellStyle name="40% - Accent6 3_Profitability Detail NT$ Sep-12" xfId="0"/>
    <cellStyle name="40% - Accent6 4" xfId="0"/>
    <cellStyle name="40% - Accent6 4 2" xfId="0"/>
    <cellStyle name="40% - Accent6 4 2 2" xfId="0"/>
    <cellStyle name="40% - Accent6 4 2 3" xfId="0"/>
    <cellStyle name="40% - Accent6 4 3" xfId="0"/>
    <cellStyle name="40% - Accent6 4 3 2" xfId="0"/>
    <cellStyle name="40% - Accent6 4 3 3" xfId="0"/>
    <cellStyle name="40% - Accent6 4 4" xfId="0"/>
    <cellStyle name="40% - Accent6 4 4 2" xfId="0"/>
    <cellStyle name="40% - Accent6 4 5" xfId="0"/>
    <cellStyle name="40% - Accent6 4 5 2" xfId="0"/>
    <cellStyle name="40% - Accent6 4 6" xfId="0"/>
    <cellStyle name="40% - Accent6 4 7" xfId="0"/>
    <cellStyle name="40% - Accent6 40" xfId="0"/>
    <cellStyle name="40% - Accent6 40 2" xfId="0"/>
    <cellStyle name="40% - Accent6 41" xfId="0"/>
    <cellStyle name="40% - Accent6 41 2" xfId="0"/>
    <cellStyle name="40% - Accent6 42" xfId="0"/>
    <cellStyle name="40% - Accent6 43" xfId="0"/>
    <cellStyle name="40% - Accent6 44" xfId="0"/>
    <cellStyle name="40% - Accent6 45" xfId="0"/>
    <cellStyle name="40% - Accent6 46" xfId="0"/>
    <cellStyle name="40% - Accent6 47" xfId="0"/>
    <cellStyle name="40% - Accent6 48" xfId="0"/>
    <cellStyle name="40% - Accent6 49" xfId="0"/>
    <cellStyle name="40% - Accent6 4_Profitability Detail NT$ Sep-12" xfId="0"/>
    <cellStyle name="40% - Accent6 5" xfId="0"/>
    <cellStyle name="40% - Accent6 5 2" xfId="0"/>
    <cellStyle name="40% - Accent6 5 2 2" xfId="0"/>
    <cellStyle name="40% - Accent6 5 2 3" xfId="0"/>
    <cellStyle name="40% - Accent6 5 3" xfId="0"/>
    <cellStyle name="40% - Accent6 5 3 2" xfId="0"/>
    <cellStyle name="40% - Accent6 5 4" xfId="0"/>
    <cellStyle name="40% - Accent6 5 4 2" xfId="0"/>
    <cellStyle name="40% - Accent6 5 5" xfId="0"/>
    <cellStyle name="40% - Accent6 50" xfId="0"/>
    <cellStyle name="40% - Accent6 51" xfId="0"/>
    <cellStyle name="40% - Accent6 52" xfId="0"/>
    <cellStyle name="40% - Accent6 53" xfId="0"/>
    <cellStyle name="40% - Accent6 54" xfId="0"/>
    <cellStyle name="40% - Accent6 55" xfId="0"/>
    <cellStyle name="40% - Accent6 56" xfId="0"/>
    <cellStyle name="40% - Accent6 57" xfId="0"/>
    <cellStyle name="40% - Accent6 58" xfId="0"/>
    <cellStyle name="40% - Accent6 59" xfId="0"/>
    <cellStyle name="40% - Accent6 6" xfId="0"/>
    <cellStyle name="40% - Accent6 6 2" xfId="0"/>
    <cellStyle name="40% - Accent6 6 2 2" xfId="0"/>
    <cellStyle name="40% - Accent6 6 3" xfId="0"/>
    <cellStyle name="40% - Accent6 6 3 2" xfId="0"/>
    <cellStyle name="40% - Accent6 6 4" xfId="0"/>
    <cellStyle name="40% - Accent6 60" xfId="0"/>
    <cellStyle name="40% - Accent6 61" xfId="0"/>
    <cellStyle name="40% - Accent6 62" xfId="0"/>
    <cellStyle name="40% - Accent6 63" xfId="0"/>
    <cellStyle name="40% - Accent6 64" xfId="0"/>
    <cellStyle name="40% - Accent6 65" xfId="0"/>
    <cellStyle name="40% - Accent6 66" xfId="0"/>
    <cellStyle name="40% - Accent6 67" xfId="0"/>
    <cellStyle name="40% - Accent6 68" xfId="0"/>
    <cellStyle name="40% - Accent6 69" xfId="0"/>
    <cellStyle name="40% - Accent6 7" xfId="0"/>
    <cellStyle name="40% - Accent6 7 2" xfId="0"/>
    <cellStyle name="40% - Accent6 7 2 2" xfId="0"/>
    <cellStyle name="40% - Accent6 7 3" xfId="0"/>
    <cellStyle name="40% - Accent6 7 3 2" xfId="0"/>
    <cellStyle name="40% - Accent6 7 4" xfId="0"/>
    <cellStyle name="40% - Accent6 70" xfId="0"/>
    <cellStyle name="40% - Accent6 71" xfId="0"/>
    <cellStyle name="40% - Accent6 72" xfId="0"/>
    <cellStyle name="40% - Accent6 73" xfId="0"/>
    <cellStyle name="40% - Accent6 74" xfId="0"/>
    <cellStyle name="40% - Accent6 75" xfId="0"/>
    <cellStyle name="40% - Accent6 76" xfId="0"/>
    <cellStyle name="40% - Accent6 77" xfId="0"/>
    <cellStyle name="40% - Accent6 78" xfId="0"/>
    <cellStyle name="40% - Accent6 79" xfId="0"/>
    <cellStyle name="40% - Accent6 8" xfId="0"/>
    <cellStyle name="40% - Accent6 8 2" xfId="0"/>
    <cellStyle name="40% - Accent6 8 2 2" xfId="0"/>
    <cellStyle name="40% - Accent6 8 3" xfId="0"/>
    <cellStyle name="40% - Accent6 8 3 2" xfId="0"/>
    <cellStyle name="40% - Accent6 8 4" xfId="0"/>
    <cellStyle name="40% - Accent6 80" xfId="0"/>
    <cellStyle name="40% - Accent6 81" xfId="0"/>
    <cellStyle name="40% - Accent6 82" xfId="0"/>
    <cellStyle name="40% - Accent6 83" xfId="0"/>
    <cellStyle name="40% - Accent6 84" xfId="0"/>
    <cellStyle name="40% - Accent6 85" xfId="0"/>
    <cellStyle name="40% - Accent6 86" xfId="0"/>
    <cellStyle name="40% - Accent6 87" xfId="0"/>
    <cellStyle name="40% - Accent6 88" xfId="0"/>
    <cellStyle name="40% - Accent6 89" xfId="0"/>
    <cellStyle name="40% - Accent6 9" xfId="0"/>
    <cellStyle name="40% - Accent6 9 2" xfId="0"/>
    <cellStyle name="40% - Accent6 9 2 2" xfId="0"/>
    <cellStyle name="40% - Accent6 9 3" xfId="0"/>
    <cellStyle name="40% - Accent6 9 3 2" xfId="0"/>
    <cellStyle name="40% - Accent6 9 4" xfId="0"/>
    <cellStyle name="40% - Accent6 90" xfId="0"/>
    <cellStyle name="40% - Accent6 91" xfId="0"/>
    <cellStyle name="40% - Accent6 92" xfId="0"/>
    <cellStyle name="40% - Accent6 93" xfId="0"/>
    <cellStyle name="40% - Accent6 94" xfId="0"/>
    <cellStyle name="40% - Accent6 95" xfId="0"/>
    <cellStyle name="40% - Accent6 96" xfId="0"/>
    <cellStyle name="40% - Accent6_ALL inventory onhand data 0912" xfId="0"/>
    <cellStyle name="40% - akcent 1" xfId="0"/>
    <cellStyle name="40% - akcent 1 2" xfId="0"/>
    <cellStyle name="40% - akcent 2" xfId="0"/>
    <cellStyle name="40% - akcent 2 2" xfId="0"/>
    <cellStyle name="40% - akcent 3" xfId="0"/>
    <cellStyle name="40% - akcent 3 2" xfId="0"/>
    <cellStyle name="40% - akcent 4" xfId="0"/>
    <cellStyle name="40% - akcent 4 2" xfId="0"/>
    <cellStyle name="40% - akcent 5" xfId="0"/>
    <cellStyle name="40% - akcent 5 2" xfId="0"/>
    <cellStyle name="40% - akcent 6" xfId="0"/>
    <cellStyle name="40% - akcent 6 2" xfId="0"/>
    <cellStyle name="40% - Akzent1" xfId="0"/>
    <cellStyle name="40% - Akzent1 2" xfId="0"/>
    <cellStyle name="40% - Akzent2" xfId="0"/>
    <cellStyle name="40% - Akzent2 2" xfId="0"/>
    <cellStyle name="40% - Akzent3" xfId="0"/>
    <cellStyle name="40% - Akzent3 2" xfId="0"/>
    <cellStyle name="40% - Akzent4" xfId="0"/>
    <cellStyle name="40% - Akzent4 2" xfId="0"/>
    <cellStyle name="40% - Akzent5" xfId="0"/>
    <cellStyle name="40% - Akzent5 2" xfId="0"/>
    <cellStyle name="40% - Akzent6" xfId="0"/>
    <cellStyle name="40% - Akzent6 2" xfId="0"/>
    <cellStyle name="40% - Акцент1" xfId="0"/>
    <cellStyle name="40% - Акцент1 2" xfId="0"/>
    <cellStyle name="40% - Акцент2" xfId="0"/>
    <cellStyle name="40% - Акцент2 2" xfId="0"/>
    <cellStyle name="40% - Акцент3" xfId="0"/>
    <cellStyle name="40% - Акцент3 2" xfId="0"/>
    <cellStyle name="40% - Акцент4" xfId="0"/>
    <cellStyle name="40% - Акцент4 2" xfId="0"/>
    <cellStyle name="40% - Акцент5" xfId="0"/>
    <cellStyle name="40% - Акцент5 2" xfId="0"/>
    <cellStyle name="40% - Акцент6" xfId="0"/>
    <cellStyle name="40% - Акцент6 2" xfId="0"/>
    <cellStyle name="40% - アクセント 1" xfId="0"/>
    <cellStyle name="40% - アクセント 2" xfId="0"/>
    <cellStyle name="40% - アクセント 3" xfId="0"/>
    <cellStyle name="40% - アクセント 4" xfId="0"/>
    <cellStyle name="40% - アクセント 5" xfId="0"/>
    <cellStyle name="40% - アクセント 6" xfId="0"/>
    <cellStyle name="40% - 强调文字颜色 1" xfId="0"/>
    <cellStyle name="40% - 强调文字颜色 1 10" xfId="0"/>
    <cellStyle name="40% - 强调文字颜色 1 11" xfId="0"/>
    <cellStyle name="40% - 强调文字颜色 1 12" xfId="0"/>
    <cellStyle name="40% - 强调文字颜色 1 13" xfId="0"/>
    <cellStyle name="40% - 强调文字颜色 1 14" xfId="0"/>
    <cellStyle name="40% - 强调文字颜色 1 15" xfId="0"/>
    <cellStyle name="40% - 强调文字颜色 1 16" xfId="0"/>
    <cellStyle name="40% - 强调文字颜色 1 17" xfId="0"/>
    <cellStyle name="40% - 强调文字颜色 1 18" xfId="0"/>
    <cellStyle name="40% - 强调文字颜色 1 19" xfId="0"/>
    <cellStyle name="40% - 强调文字颜色 1 2" xfId="0"/>
    <cellStyle name="40% - 强调文字颜色 1 2 10" xfId="0"/>
    <cellStyle name="40% - 强调文字颜色 1 2 11" xfId="0"/>
    <cellStyle name="40% - 强调文字颜色 1 2 12" xfId="0"/>
    <cellStyle name="40% - 强调文字颜色 1 2 13" xfId="0"/>
    <cellStyle name="40% - 强调文字颜色 1 2 14" xfId="0"/>
    <cellStyle name="40% - 强调文字颜色 1 2 15" xfId="0"/>
    <cellStyle name="40% - 强调文字颜色 1 2 16" xfId="0"/>
    <cellStyle name="40% - 强调文字颜色 1 2 17" xfId="0"/>
    <cellStyle name="40% - 强调文字颜色 1 2 18" xfId="0"/>
    <cellStyle name="40% - 强调文字颜色 1 2 19" xfId="0"/>
    <cellStyle name="40% - 强调文字颜色 1 2 2" xfId="0"/>
    <cellStyle name="40% - 强调文字颜色 1 2 20" xfId="0"/>
    <cellStyle name="40% - 强调文字颜色 1 2 21" xfId="0"/>
    <cellStyle name="40% - 强调文字颜色 1 2 22" xfId="0"/>
    <cellStyle name="40% - 强调文字颜色 1 2 23" xfId="0"/>
    <cellStyle name="40% - 强调文字颜色 1 2 24" xfId="0"/>
    <cellStyle name="40% - 强调文字颜色 1 2 25" xfId="0"/>
    <cellStyle name="40% - 强调文字颜色 1 2 3" xfId="0"/>
    <cellStyle name="40% - 强调文字颜色 1 2 4" xfId="0"/>
    <cellStyle name="40% - 强调文字颜色 1 2 5" xfId="0"/>
    <cellStyle name="40% - 强调文字颜色 1 2 6" xfId="0"/>
    <cellStyle name="40% - 强调文字颜色 1 2 7" xfId="0"/>
    <cellStyle name="40% - 强调文字颜色 1 2 8" xfId="0"/>
    <cellStyle name="40% - 强调文字颜色 1 2 9" xfId="0"/>
    <cellStyle name="40% - 强调文字颜色 1 20" xfId="0"/>
    <cellStyle name="40% - 强调文字颜色 1 21" xfId="0"/>
    <cellStyle name="40% - 强调文字颜色 1 22" xfId="0"/>
    <cellStyle name="40% - 强调文字颜色 1 23" xfId="0"/>
    <cellStyle name="40% - 强调文字颜色 1 24" xfId="0"/>
    <cellStyle name="40% - 强调文字颜色 1 25" xfId="0"/>
    <cellStyle name="40% - 强调文字颜色 1 26" xfId="0"/>
    <cellStyle name="40% - 强调文字颜色 1 27" xfId="0"/>
    <cellStyle name="40% - 强调文字颜色 1 28" xfId="0"/>
    <cellStyle name="40% - 强调文字颜色 1 29" xfId="0"/>
    <cellStyle name="40% - 强调文字颜色 1 3" xfId="0"/>
    <cellStyle name="40% - 强调文字颜色 1 30" xfId="0"/>
    <cellStyle name="40% - 强调文字颜色 1 31" xfId="0"/>
    <cellStyle name="40% - 强调文字颜色 1 32" xfId="0"/>
    <cellStyle name="40% - 强调文字颜色 1 33" xfId="0"/>
    <cellStyle name="40% - 强调文字颜色 1 34" xfId="0"/>
    <cellStyle name="40% - 强调文字颜色 1 35" xfId="0"/>
    <cellStyle name="40% - 强调文字颜色 1 36" xfId="0"/>
    <cellStyle name="40% - 强调文字颜色 1 37" xfId="0"/>
    <cellStyle name="40% - 强调文字颜色 1 38" xfId="0"/>
    <cellStyle name="40% - 强调文字颜色 1 39" xfId="0"/>
    <cellStyle name="40% - 强调文字颜色 1 4" xfId="0"/>
    <cellStyle name="40% - 强调文字颜色 1 40" xfId="0"/>
    <cellStyle name="40% - 强调文字颜色 1 41" xfId="0"/>
    <cellStyle name="40% - 强调文字颜色 1 42" xfId="0"/>
    <cellStyle name="40% - 强调文字颜色 1 43" xfId="0"/>
    <cellStyle name="40% - 强调文字颜色 1 44" xfId="0"/>
    <cellStyle name="40% - 强调文字颜色 1 45" xfId="0"/>
    <cellStyle name="40% - 强调文字颜色 1 46" xfId="0"/>
    <cellStyle name="40% - 强调文字颜色 1 47" xfId="0"/>
    <cellStyle name="40% - 强调文字颜色 1 48" xfId="0"/>
    <cellStyle name="40% - 强调文字颜色 1 49" xfId="0"/>
    <cellStyle name="40% - 强调文字颜色 1 5" xfId="0"/>
    <cellStyle name="40% - 强调文字颜色 1 50" xfId="0"/>
    <cellStyle name="40% - 强调文字颜色 1 51" xfId="0"/>
    <cellStyle name="40% - 强调文字颜色 1 52" xfId="0"/>
    <cellStyle name="40% - 强调文字颜色 1 53" xfId="0"/>
    <cellStyle name="40% - 强调文字颜色 1 54" xfId="0"/>
    <cellStyle name="40% - 强调文字颜色 1 55" xfId="0"/>
    <cellStyle name="40% - 强调文字颜色 1 56" xfId="0"/>
    <cellStyle name="40% - 强调文字颜色 1 57" xfId="0"/>
    <cellStyle name="40% - 强调文字颜色 1 58" xfId="0"/>
    <cellStyle name="40% - 强调文字颜色 1 59" xfId="0"/>
    <cellStyle name="40% - 强调文字颜色 1 6" xfId="0"/>
    <cellStyle name="40% - 强调文字颜色 1 60" xfId="0"/>
    <cellStyle name="40% - 强调文字颜色 1 61" xfId="0"/>
    <cellStyle name="40% - 强调文字颜色 1 62" xfId="0"/>
    <cellStyle name="40% - 强调文字颜色 1 63" xfId="0"/>
    <cellStyle name="40% - 强调文字颜色 1 64" xfId="0"/>
    <cellStyle name="40% - 强调文字颜色 1 65" xfId="0"/>
    <cellStyle name="40% - 强调文字颜色 1 66" xfId="0"/>
    <cellStyle name="40% - 强调文字颜色 1 67" xfId="0"/>
    <cellStyle name="40% - 强调文字颜色 1 68" xfId="0"/>
    <cellStyle name="40% - 强调文字颜色 1 69" xfId="0"/>
    <cellStyle name="40% - 强调文字颜色 1 7" xfId="0"/>
    <cellStyle name="40% - 强调文字颜色 1 70" xfId="0"/>
    <cellStyle name="40% - 强调文字颜色 1 71" xfId="0"/>
    <cellStyle name="40% - 强调文字颜色 1 72" xfId="0"/>
    <cellStyle name="40% - 强调文字颜色 1 73" xfId="0"/>
    <cellStyle name="40% - 强调文字颜色 1 74" xfId="0"/>
    <cellStyle name="40% - 强调文字颜色 1 75" xfId="0"/>
    <cellStyle name="40% - 强调文字颜色 1 76" xfId="0"/>
    <cellStyle name="40% - 强调文字颜色 1 77" xfId="0"/>
    <cellStyle name="40% - 强调文字颜色 1 78" xfId="0"/>
    <cellStyle name="40% - 强调文字颜色 1 79" xfId="0"/>
    <cellStyle name="40% - 强调文字颜色 1 8" xfId="0"/>
    <cellStyle name="40% - 强调文字颜色 1 80" xfId="0"/>
    <cellStyle name="40% - 强调文字颜色 1 81" xfId="0"/>
    <cellStyle name="40% - 强调文字颜色 1 82" xfId="0"/>
    <cellStyle name="40% - 强调文字颜色 1 83" xfId="0"/>
    <cellStyle name="40% - 强调文字颜色 1 84" xfId="0"/>
    <cellStyle name="40% - 强调文字颜色 1 9" xfId="0"/>
    <cellStyle name="40% - 强调文字颜色 1_CORP SG&amp;A" xfId="0"/>
    <cellStyle name="40% - 强调文字颜色 2" xfId="0"/>
    <cellStyle name="40% - 强调文字颜色 2 10" xfId="0"/>
    <cellStyle name="40% - 强调文字颜色 2 11" xfId="0"/>
    <cellStyle name="40% - 强调文字颜色 2 12" xfId="0"/>
    <cellStyle name="40% - 强调文字颜色 2 13" xfId="0"/>
    <cellStyle name="40% - 强调文字颜色 2 14" xfId="0"/>
    <cellStyle name="40% - 强调文字颜色 2 15" xfId="0"/>
    <cellStyle name="40% - 强调文字颜色 2 16" xfId="0"/>
    <cellStyle name="40% - 强调文字颜色 2 17" xfId="0"/>
    <cellStyle name="40% - 强调文字颜色 2 18" xfId="0"/>
    <cellStyle name="40% - 强调文字颜色 2 19" xfId="0"/>
    <cellStyle name="40% - 强调文字颜色 2 2" xfId="0"/>
    <cellStyle name="40% - 强调文字颜色 2 2 10" xfId="0"/>
    <cellStyle name="40% - 强调文字颜色 2 2 11" xfId="0"/>
    <cellStyle name="40% - 强调文字颜色 2 2 12" xfId="0"/>
    <cellStyle name="40% - 强调文字颜色 2 2 13" xfId="0"/>
    <cellStyle name="40% - 强调文字颜色 2 2 14" xfId="0"/>
    <cellStyle name="40% - 强调文字颜色 2 2 15" xfId="0"/>
    <cellStyle name="40% - 强调文字颜色 2 2 16" xfId="0"/>
    <cellStyle name="40% - 强调文字颜色 2 2 17" xfId="0"/>
    <cellStyle name="40% - 强调文字颜色 2 2 18" xfId="0"/>
    <cellStyle name="40% - 强调文字颜色 2 2 19" xfId="0"/>
    <cellStyle name="40% - 强调文字颜色 2 2 2" xfId="0"/>
    <cellStyle name="40% - 强调文字颜色 2 2 20" xfId="0"/>
    <cellStyle name="40% - 强调文字颜色 2 2 21" xfId="0"/>
    <cellStyle name="40% - 强调文字颜色 2 2 22" xfId="0"/>
    <cellStyle name="40% - 强调文字颜色 2 2 23" xfId="0"/>
    <cellStyle name="40% - 强调文字颜色 2 2 24" xfId="0"/>
    <cellStyle name="40% - 强调文字颜色 2 2 3" xfId="0"/>
    <cellStyle name="40% - 强调文字颜色 2 2 4" xfId="0"/>
    <cellStyle name="40% - 强调文字颜色 2 2 5" xfId="0"/>
    <cellStyle name="40% - 强调文字颜色 2 2 6" xfId="0"/>
    <cellStyle name="40% - 强调文字颜色 2 2 7" xfId="0"/>
    <cellStyle name="40% - 强调文字颜色 2 2 8" xfId="0"/>
    <cellStyle name="40% - 强调文字颜色 2 2 9" xfId="0"/>
    <cellStyle name="40% - 强调文字颜色 2 20" xfId="0"/>
    <cellStyle name="40% - 强调文字颜色 2 21" xfId="0"/>
    <cellStyle name="40% - 强调文字颜色 2 22" xfId="0"/>
    <cellStyle name="40% - 强调文字颜色 2 23" xfId="0"/>
    <cellStyle name="40% - 强调文字颜色 2 24" xfId="0"/>
    <cellStyle name="40% - 强调文字颜色 2 25" xfId="0"/>
    <cellStyle name="40% - 强调文字颜色 2 26" xfId="0"/>
    <cellStyle name="40% - 强调文字颜色 2 27" xfId="0"/>
    <cellStyle name="40% - 强调文字颜色 2 28" xfId="0"/>
    <cellStyle name="40% - 强调文字颜色 2 29" xfId="0"/>
    <cellStyle name="40% - 强调文字颜色 2 3" xfId="0"/>
    <cellStyle name="40% - 强调文字颜色 2 30" xfId="0"/>
    <cellStyle name="40% - 强调文字颜色 2 31" xfId="0"/>
    <cellStyle name="40% - 强调文字颜色 2 32" xfId="0"/>
    <cellStyle name="40% - 强调文字颜色 2 33" xfId="0"/>
    <cellStyle name="40% - 强调文字颜色 2 34" xfId="0"/>
    <cellStyle name="40% - 强调文字颜色 2 35" xfId="0"/>
    <cellStyle name="40% - 强调文字颜色 2 36" xfId="0"/>
    <cellStyle name="40% - 强调文字颜色 2 37" xfId="0"/>
    <cellStyle name="40% - 强调文字颜色 2 38" xfId="0"/>
    <cellStyle name="40% - 强调文字颜色 2 39" xfId="0"/>
    <cellStyle name="40% - 强调文字颜色 2 4" xfId="0"/>
    <cellStyle name="40% - 强调文字颜色 2 40" xfId="0"/>
    <cellStyle name="40% - 强调文字颜色 2 41" xfId="0"/>
    <cellStyle name="40% - 强调文字颜色 2 42" xfId="0"/>
    <cellStyle name="40% - 强调文字颜色 2 43" xfId="0"/>
    <cellStyle name="40% - 强调文字颜色 2 44" xfId="0"/>
    <cellStyle name="40% - 强调文字颜色 2 45" xfId="0"/>
    <cellStyle name="40% - 强调文字颜色 2 46" xfId="0"/>
    <cellStyle name="40% - 强调文字颜色 2 47" xfId="0"/>
    <cellStyle name="40% - 强调文字颜色 2 48" xfId="0"/>
    <cellStyle name="40% - 强调文字颜色 2 49" xfId="0"/>
    <cellStyle name="40% - 强调文字颜色 2 5" xfId="0"/>
    <cellStyle name="40% - 强调文字颜色 2 50" xfId="0"/>
    <cellStyle name="40% - 强调文字颜色 2 51" xfId="0"/>
    <cellStyle name="40% - 强调文字颜色 2 52" xfId="0"/>
    <cellStyle name="40% - 强调文字颜色 2 53" xfId="0"/>
    <cellStyle name="40% - 强调文字颜色 2 54" xfId="0"/>
    <cellStyle name="40% - 强调文字颜色 2 55" xfId="0"/>
    <cellStyle name="40% - 强调文字颜色 2 56" xfId="0"/>
    <cellStyle name="40% - 强调文字颜色 2 57" xfId="0"/>
    <cellStyle name="40% - 强调文字颜色 2 58" xfId="0"/>
    <cellStyle name="40% - 强调文字颜色 2 59" xfId="0"/>
    <cellStyle name="40% - 强调文字颜色 2 6" xfId="0"/>
    <cellStyle name="40% - 强调文字颜色 2 60" xfId="0"/>
    <cellStyle name="40% - 强调文字颜色 2 61" xfId="0"/>
    <cellStyle name="40% - 强调文字颜色 2 62" xfId="0"/>
    <cellStyle name="40% - 强调文字颜色 2 63" xfId="0"/>
    <cellStyle name="40% - 强调文字颜色 2 64" xfId="0"/>
    <cellStyle name="40% - 强调文字颜色 2 65" xfId="0"/>
    <cellStyle name="40% - 强调文字颜色 2 66" xfId="0"/>
    <cellStyle name="40% - 强调文字颜色 2 67" xfId="0"/>
    <cellStyle name="40% - 强调文字颜色 2 68" xfId="0"/>
    <cellStyle name="40% - 强调文字颜色 2 69" xfId="0"/>
    <cellStyle name="40% - 强调文字颜色 2 7" xfId="0"/>
    <cellStyle name="40% - 强调文字颜色 2 70" xfId="0"/>
    <cellStyle name="40% - 强调文字颜色 2 71" xfId="0"/>
    <cellStyle name="40% - 强调文字颜色 2 72" xfId="0"/>
    <cellStyle name="40% - 强调文字颜色 2 73" xfId="0"/>
    <cellStyle name="40% - 强调文字颜色 2 74" xfId="0"/>
    <cellStyle name="40% - 强调文字颜色 2 75" xfId="0"/>
    <cellStyle name="40% - 强调文字颜色 2 76" xfId="0"/>
    <cellStyle name="40% - 强调文字颜色 2 77" xfId="0"/>
    <cellStyle name="40% - 强调文字颜色 2 78" xfId="0"/>
    <cellStyle name="40% - 强调文字颜色 2 79" xfId="0"/>
    <cellStyle name="40% - 强调文字颜色 2 8" xfId="0"/>
    <cellStyle name="40% - 强调文字颜色 2 80" xfId="0"/>
    <cellStyle name="40% - 强调文字颜色 2 81" xfId="0"/>
    <cellStyle name="40% - 强调文字颜色 2 82" xfId="0"/>
    <cellStyle name="40% - 强调文字颜色 2 83" xfId="0"/>
    <cellStyle name="40% - 强调文字颜色 2 9" xfId="0"/>
    <cellStyle name="40% - 强调文字颜色 2_CORP SG&amp;A" xfId="0"/>
    <cellStyle name="40% - 强调文字颜色 3" xfId="0"/>
    <cellStyle name="40% - 强调文字颜色 3 10" xfId="0"/>
    <cellStyle name="40% - 强调文字颜色 3 11" xfId="0"/>
    <cellStyle name="40% - 强调文字颜色 3 12" xfId="0"/>
    <cellStyle name="40% - 强调文字颜色 3 13" xfId="0"/>
    <cellStyle name="40% - 强调文字颜色 3 14" xfId="0"/>
    <cellStyle name="40% - 强调文字颜色 3 15" xfId="0"/>
    <cellStyle name="40% - 强调文字颜色 3 16" xfId="0"/>
    <cellStyle name="40% - 强调文字颜色 3 17" xfId="0"/>
    <cellStyle name="40% - 强调文字颜色 3 18" xfId="0"/>
    <cellStyle name="40% - 强调文字颜色 3 19" xfId="0"/>
    <cellStyle name="40% - 强调文字颜色 3 2" xfId="0"/>
    <cellStyle name="40% - 强调文字颜色 3 2 10" xfId="0"/>
    <cellStyle name="40% - 强调文字颜色 3 2 11" xfId="0"/>
    <cellStyle name="40% - 强调文字颜色 3 2 12" xfId="0"/>
    <cellStyle name="40% - 强调文字颜色 3 2 13" xfId="0"/>
    <cellStyle name="40% - 强调文字颜色 3 2 14" xfId="0"/>
    <cellStyle name="40% - 强调文字颜色 3 2 15" xfId="0"/>
    <cellStyle name="40% - 强调文字颜色 3 2 16" xfId="0"/>
    <cellStyle name="40% - 强调文字颜色 3 2 17" xfId="0"/>
    <cellStyle name="40% - 强调文字颜色 3 2 18" xfId="0"/>
    <cellStyle name="40% - 强调文字颜色 3 2 19" xfId="0"/>
    <cellStyle name="40% - 强调文字颜色 3 2 2" xfId="0"/>
    <cellStyle name="40% - 强调文字颜色 3 2 20" xfId="0"/>
    <cellStyle name="40% - 强调文字颜色 3 2 21" xfId="0"/>
    <cellStyle name="40% - 强调文字颜色 3 2 22" xfId="0"/>
    <cellStyle name="40% - 强调文字颜色 3 2 23" xfId="0"/>
    <cellStyle name="40% - 强调文字颜色 3 2 24" xfId="0"/>
    <cellStyle name="40% - 强调文字颜色 3 2 25" xfId="0"/>
    <cellStyle name="40% - 强调文字颜色 3 2 3" xfId="0"/>
    <cellStyle name="40% - 强调文字颜色 3 2 4" xfId="0"/>
    <cellStyle name="40% - 强调文字颜色 3 2 5" xfId="0"/>
    <cellStyle name="40% - 强调文字颜色 3 2 6" xfId="0"/>
    <cellStyle name="40% - 强调文字颜色 3 2 7" xfId="0"/>
    <cellStyle name="40% - 强调文字颜色 3 2 8" xfId="0"/>
    <cellStyle name="40% - 强调文字颜色 3 2 9" xfId="0"/>
    <cellStyle name="40% - 强调文字颜色 3 20" xfId="0"/>
    <cellStyle name="40% - 强调文字颜色 3 21" xfId="0"/>
    <cellStyle name="40% - 强调文字颜色 3 22" xfId="0"/>
    <cellStyle name="40% - 强调文字颜色 3 23" xfId="0"/>
    <cellStyle name="40% - 强调文字颜色 3 24" xfId="0"/>
    <cellStyle name="40% - 强调文字颜色 3 25" xfId="0"/>
    <cellStyle name="40% - 强调文字颜色 3 26" xfId="0"/>
    <cellStyle name="40% - 强调文字颜色 3 27" xfId="0"/>
    <cellStyle name="40% - 强调文字颜色 3 28" xfId="0"/>
    <cellStyle name="40% - 强调文字颜色 3 29" xfId="0"/>
    <cellStyle name="40% - 强调文字颜色 3 3" xfId="0"/>
    <cellStyle name="40% - 强调文字颜色 3 30" xfId="0"/>
    <cellStyle name="40% - 强调文字颜色 3 31" xfId="0"/>
    <cellStyle name="40% - 强调文字颜色 3 32" xfId="0"/>
    <cellStyle name="40% - 强调文字颜色 3 33" xfId="0"/>
    <cellStyle name="40% - 强调文字颜色 3 34" xfId="0"/>
    <cellStyle name="40% - 强调文字颜色 3 35" xfId="0"/>
    <cellStyle name="40% - 强调文字颜色 3 36" xfId="0"/>
    <cellStyle name="40% - 强调文字颜色 3 37" xfId="0"/>
    <cellStyle name="40% - 强调文字颜色 3 38" xfId="0"/>
    <cellStyle name="40% - 强调文字颜色 3 39" xfId="0"/>
    <cellStyle name="40% - 强调文字颜色 3 4" xfId="0"/>
    <cellStyle name="40% - 强调文字颜色 3 40" xfId="0"/>
    <cellStyle name="40% - 强调文字颜色 3 41" xfId="0"/>
    <cellStyle name="40% - 强调文字颜色 3 42" xfId="0"/>
    <cellStyle name="40% - 强调文字颜色 3 43" xfId="0"/>
    <cellStyle name="40% - 强调文字颜色 3 44" xfId="0"/>
    <cellStyle name="40% - 强调文字颜色 3 45" xfId="0"/>
    <cellStyle name="40% - 强调文字颜色 3 46" xfId="0"/>
    <cellStyle name="40% - 强调文字颜色 3 47" xfId="0"/>
    <cellStyle name="40% - 强调文字颜色 3 48" xfId="0"/>
    <cellStyle name="40% - 强调文字颜色 3 49" xfId="0"/>
    <cellStyle name="40% - 强调文字颜色 3 5" xfId="0"/>
    <cellStyle name="40% - 强调文字颜色 3 50" xfId="0"/>
    <cellStyle name="40% - 强调文字颜色 3 51" xfId="0"/>
    <cellStyle name="40% - 强调文字颜色 3 52" xfId="0"/>
    <cellStyle name="40% - 强调文字颜色 3 53" xfId="0"/>
    <cellStyle name="40% - 强调文字颜色 3 54" xfId="0"/>
    <cellStyle name="40% - 强调文字颜色 3 55" xfId="0"/>
    <cellStyle name="40% - 强调文字颜色 3 56" xfId="0"/>
    <cellStyle name="40% - 强调文字颜色 3 57" xfId="0"/>
    <cellStyle name="40% - 强调文字颜色 3 58" xfId="0"/>
    <cellStyle name="40% - 强调文字颜色 3 59" xfId="0"/>
    <cellStyle name="40% - 强调文字颜色 3 6" xfId="0"/>
    <cellStyle name="40% - 强调文字颜色 3 60" xfId="0"/>
    <cellStyle name="40% - 强调文字颜色 3 61" xfId="0"/>
    <cellStyle name="40% - 强调文字颜色 3 62" xfId="0"/>
    <cellStyle name="40% - 强调文字颜色 3 63" xfId="0"/>
    <cellStyle name="40% - 强调文字颜色 3 64" xfId="0"/>
    <cellStyle name="40% - 强调文字颜色 3 65" xfId="0"/>
    <cellStyle name="40% - 强调文字颜色 3 66" xfId="0"/>
    <cellStyle name="40% - 强调文字颜色 3 67" xfId="0"/>
    <cellStyle name="40% - 强调文字颜色 3 68" xfId="0"/>
    <cellStyle name="40% - 强调文字颜色 3 69" xfId="0"/>
    <cellStyle name="40% - 强调文字颜色 3 7" xfId="0"/>
    <cellStyle name="40% - 强调文字颜色 3 70" xfId="0"/>
    <cellStyle name="40% - 强调文字颜色 3 71" xfId="0"/>
    <cellStyle name="40% - 强调文字颜色 3 72" xfId="0"/>
    <cellStyle name="40% - 强调文字颜色 3 73" xfId="0"/>
    <cellStyle name="40% - 强调文字颜色 3 74" xfId="0"/>
    <cellStyle name="40% - 强调文字颜色 3 75" xfId="0"/>
    <cellStyle name="40% - 强调文字颜色 3 76" xfId="0"/>
    <cellStyle name="40% - 强调文字颜色 3 77" xfId="0"/>
    <cellStyle name="40% - 强调文字颜色 3 78" xfId="0"/>
    <cellStyle name="40% - 强调文字颜色 3 79" xfId="0"/>
    <cellStyle name="40% - 强调文字颜色 3 8" xfId="0"/>
    <cellStyle name="40% - 强调文字颜色 3 80" xfId="0"/>
    <cellStyle name="40% - 强调文字颜色 3 81" xfId="0"/>
    <cellStyle name="40% - 强调文字颜色 3 82" xfId="0"/>
    <cellStyle name="40% - 强调文字颜色 3 83" xfId="0"/>
    <cellStyle name="40% - 强调文字颜色 3 84" xfId="0"/>
    <cellStyle name="40% - 强调文字颜色 3 9" xfId="0"/>
    <cellStyle name="40% - 强调文字颜色 3_CORP SG&amp;A" xfId="0"/>
    <cellStyle name="40% - 强调文字颜色 4" xfId="0"/>
    <cellStyle name="40% - 强调文字颜色 4 10" xfId="0"/>
    <cellStyle name="40% - 强调文字颜色 4 11" xfId="0"/>
    <cellStyle name="40% - 强调文字颜色 4 12" xfId="0"/>
    <cellStyle name="40% - 强调文字颜色 4 13" xfId="0"/>
    <cellStyle name="40% - 强调文字颜色 4 14" xfId="0"/>
    <cellStyle name="40% - 强调文字颜色 4 15" xfId="0"/>
    <cellStyle name="40% - 强调文字颜色 4 16" xfId="0"/>
    <cellStyle name="40% - 强调文字颜色 4 17" xfId="0"/>
    <cellStyle name="40% - 强调文字颜色 4 18" xfId="0"/>
    <cellStyle name="40% - 强调文字颜色 4 19" xfId="0"/>
    <cellStyle name="40% - 强调文字颜色 4 2" xfId="0"/>
    <cellStyle name="40% - 强调文字颜色 4 2 10" xfId="0"/>
    <cellStyle name="40% - 强调文字颜色 4 2 11" xfId="0"/>
    <cellStyle name="40% - 强调文字颜色 4 2 12" xfId="0"/>
    <cellStyle name="40% - 强调文字颜色 4 2 13" xfId="0"/>
    <cellStyle name="40% - 强调文字颜色 4 2 14" xfId="0"/>
    <cellStyle name="40% - 强调文字颜色 4 2 15" xfId="0"/>
    <cellStyle name="40% - 强调文字颜色 4 2 16" xfId="0"/>
    <cellStyle name="40% - 强调文字颜色 4 2 17" xfId="0"/>
    <cellStyle name="40% - 强调文字颜色 4 2 18" xfId="0"/>
    <cellStyle name="40% - 强调文字颜色 4 2 19" xfId="0"/>
    <cellStyle name="40% - 强调文字颜色 4 2 2" xfId="0"/>
    <cellStyle name="40% - 强调文字颜色 4 2 20" xfId="0"/>
    <cellStyle name="40% - 强调文字颜色 4 2 21" xfId="0"/>
    <cellStyle name="40% - 强调文字颜色 4 2 22" xfId="0"/>
    <cellStyle name="40% - 强调文字颜色 4 2 23" xfId="0"/>
    <cellStyle name="40% - 强调文字颜色 4 2 24" xfId="0"/>
    <cellStyle name="40% - 强调文字颜色 4 2 25" xfId="0"/>
    <cellStyle name="40% - 强调文字颜色 4 2 3" xfId="0"/>
    <cellStyle name="40% - 强调文字颜色 4 2 4" xfId="0"/>
    <cellStyle name="40% - 强调文字颜色 4 2 5" xfId="0"/>
    <cellStyle name="40% - 强调文字颜色 4 2 6" xfId="0"/>
    <cellStyle name="40% - 强调文字颜色 4 2 7" xfId="0"/>
    <cellStyle name="40% - 强调文字颜色 4 2 8" xfId="0"/>
    <cellStyle name="40% - 强调文字颜色 4 2 9" xfId="0"/>
    <cellStyle name="40% - 强调文字颜色 4 20" xfId="0"/>
    <cellStyle name="40% - 强调文字颜色 4 21" xfId="0"/>
    <cellStyle name="40% - 强调文字颜色 4 22" xfId="0"/>
    <cellStyle name="40% - 强调文字颜色 4 23" xfId="0"/>
    <cellStyle name="40% - 强调文字颜色 4 24" xfId="0"/>
    <cellStyle name="40% - 强调文字颜色 4 25" xfId="0"/>
    <cellStyle name="40% - 强调文字颜色 4 26" xfId="0"/>
    <cellStyle name="40% - 强调文字颜色 4 27" xfId="0"/>
    <cellStyle name="40% - 强调文字颜色 4 28" xfId="0"/>
    <cellStyle name="40% - 强调文字颜色 4 29" xfId="0"/>
    <cellStyle name="40% - 强调文字颜色 4 3" xfId="0"/>
    <cellStyle name="40% - 强调文字颜色 4 30" xfId="0"/>
    <cellStyle name="40% - 强调文字颜色 4 31" xfId="0"/>
    <cellStyle name="40% - 强调文字颜色 4 32" xfId="0"/>
    <cellStyle name="40% - 强调文字颜色 4 33" xfId="0"/>
    <cellStyle name="40% - 强调文字颜色 4 34" xfId="0"/>
    <cellStyle name="40% - 强调文字颜色 4 35" xfId="0"/>
    <cellStyle name="40% - 强调文字颜色 4 36" xfId="0"/>
    <cellStyle name="40% - 强调文字颜色 4 37" xfId="0"/>
    <cellStyle name="40% - 强调文字颜色 4 38" xfId="0"/>
    <cellStyle name="40% - 强调文字颜色 4 39" xfId="0"/>
    <cellStyle name="40% - 强调文字颜色 4 4" xfId="0"/>
    <cellStyle name="40% - 强调文字颜色 4 40" xfId="0"/>
    <cellStyle name="40% - 强调文字颜色 4 41" xfId="0"/>
    <cellStyle name="40% - 强调文字颜色 4 42" xfId="0"/>
    <cellStyle name="40% - 强调文字颜色 4 43" xfId="0"/>
    <cellStyle name="40% - 强调文字颜色 4 44" xfId="0"/>
    <cellStyle name="40% - 强调文字颜色 4 45" xfId="0"/>
    <cellStyle name="40% - 强调文字颜色 4 46" xfId="0"/>
    <cellStyle name="40% - 强调文字颜色 4 47" xfId="0"/>
    <cellStyle name="40% - 强调文字颜色 4 48" xfId="0"/>
    <cellStyle name="40% - 强调文字颜色 4 49" xfId="0"/>
    <cellStyle name="40% - 强调文字颜色 4 5" xfId="0"/>
    <cellStyle name="40% - 强调文字颜色 4 50" xfId="0"/>
    <cellStyle name="40% - 强调文字颜色 4 51" xfId="0"/>
    <cellStyle name="40% - 强调文字颜色 4 52" xfId="0"/>
    <cellStyle name="40% - 强调文字颜色 4 53" xfId="0"/>
    <cellStyle name="40% - 强调文字颜色 4 54" xfId="0"/>
    <cellStyle name="40% - 强调文字颜色 4 55" xfId="0"/>
    <cellStyle name="40% - 强调文字颜色 4 56" xfId="0"/>
    <cellStyle name="40% - 强调文字颜色 4 57" xfId="0"/>
    <cellStyle name="40% - 强调文字颜色 4 58" xfId="0"/>
    <cellStyle name="40% - 强调文字颜色 4 59" xfId="0"/>
    <cellStyle name="40% - 强调文字颜色 4 6" xfId="0"/>
    <cellStyle name="40% - 强调文字颜色 4 60" xfId="0"/>
    <cellStyle name="40% - 强调文字颜色 4 61" xfId="0"/>
    <cellStyle name="40% - 强调文字颜色 4 62" xfId="0"/>
    <cellStyle name="40% - 强调文字颜色 4 63" xfId="0"/>
    <cellStyle name="40% - 强调文字颜色 4 64" xfId="0"/>
    <cellStyle name="40% - 强调文字颜色 4 65" xfId="0"/>
    <cellStyle name="40% - 强调文字颜色 4 66" xfId="0"/>
    <cellStyle name="40% - 强调文字颜色 4 67" xfId="0"/>
    <cellStyle name="40% - 强调文字颜色 4 68" xfId="0"/>
    <cellStyle name="40% - 强调文字颜色 4 69" xfId="0"/>
    <cellStyle name="40% - 强调文字颜色 4 7" xfId="0"/>
    <cellStyle name="40% - 强调文字颜色 4 70" xfId="0"/>
    <cellStyle name="40% - 强调文字颜色 4 71" xfId="0"/>
    <cellStyle name="40% - 强调文字颜色 4 72" xfId="0"/>
    <cellStyle name="40% - 强调文字颜色 4 73" xfId="0"/>
    <cellStyle name="40% - 强调文字颜色 4 74" xfId="0"/>
    <cellStyle name="40% - 强调文字颜色 4 75" xfId="0"/>
    <cellStyle name="40% - 强调文字颜色 4 76" xfId="0"/>
    <cellStyle name="40% - 强调文字颜色 4 77" xfId="0"/>
    <cellStyle name="40% - 强调文字颜色 4 78" xfId="0"/>
    <cellStyle name="40% - 强调文字颜色 4 79" xfId="0"/>
    <cellStyle name="40% - 强调文字颜色 4 8" xfId="0"/>
    <cellStyle name="40% - 强调文字颜色 4 80" xfId="0"/>
    <cellStyle name="40% - 强调文字颜色 4 81" xfId="0"/>
    <cellStyle name="40% - 强调文字颜色 4 82" xfId="0"/>
    <cellStyle name="40% - 强调文字颜色 4 83" xfId="0"/>
    <cellStyle name="40% - 强调文字颜色 4 84" xfId="0"/>
    <cellStyle name="40% - 强调文字颜色 4 9" xfId="0"/>
    <cellStyle name="40% - 强调文字颜色 4_CORP SG&amp;A" xfId="0"/>
    <cellStyle name="40% - 强调文字颜色 5" xfId="0"/>
    <cellStyle name="40% - 强调文字颜色 5 10" xfId="0"/>
    <cellStyle name="40% - 强调文字颜色 5 11" xfId="0"/>
    <cellStyle name="40% - 强调文字颜色 5 12" xfId="0"/>
    <cellStyle name="40% - 强调文字颜色 5 13" xfId="0"/>
    <cellStyle name="40% - 强调文字颜色 5 14" xfId="0"/>
    <cellStyle name="40% - 强调文字颜色 5 15" xfId="0"/>
    <cellStyle name="40% - 强调文字颜色 5 16" xfId="0"/>
    <cellStyle name="40% - 强调文字颜色 5 17" xfId="0"/>
    <cellStyle name="40% - 强调文字颜色 5 18" xfId="0"/>
    <cellStyle name="40% - 强调文字颜色 5 19" xfId="0"/>
    <cellStyle name="40% - 强调文字颜色 5 2" xfId="0"/>
    <cellStyle name="40% - 强调文字颜色 5 2 10" xfId="0"/>
    <cellStyle name="40% - 强调文字颜色 5 2 11" xfId="0"/>
    <cellStyle name="40% - 强调文字颜色 5 2 12" xfId="0"/>
    <cellStyle name="40% - 强调文字颜色 5 2 13" xfId="0"/>
    <cellStyle name="40% - 强调文字颜色 5 2 14" xfId="0"/>
    <cellStyle name="40% - 强调文字颜色 5 2 15" xfId="0"/>
    <cellStyle name="40% - 强调文字颜色 5 2 16" xfId="0"/>
    <cellStyle name="40% - 强调文字颜色 5 2 17" xfId="0"/>
    <cellStyle name="40% - 强调文字颜色 5 2 18" xfId="0"/>
    <cellStyle name="40% - 强调文字颜色 5 2 19" xfId="0"/>
    <cellStyle name="40% - 强调文字颜色 5 2 2" xfId="0"/>
    <cellStyle name="40% - 强调文字颜色 5 2 20" xfId="0"/>
    <cellStyle name="40% - 强调文字颜色 5 2 21" xfId="0"/>
    <cellStyle name="40% - 强调文字颜色 5 2 22" xfId="0"/>
    <cellStyle name="40% - 强调文字颜色 5 2 23" xfId="0"/>
    <cellStyle name="40% - 强调文字颜色 5 2 24" xfId="0"/>
    <cellStyle name="40% - 强调文字颜色 5 2 3" xfId="0"/>
    <cellStyle name="40% - 强调文字颜色 5 2 4" xfId="0"/>
    <cellStyle name="40% - 强调文字颜色 5 2 5" xfId="0"/>
    <cellStyle name="40% - 强调文字颜色 5 2 6" xfId="0"/>
    <cellStyle name="40% - 强调文字颜色 5 2 7" xfId="0"/>
    <cellStyle name="40% - 强调文字颜色 5 2 8" xfId="0"/>
    <cellStyle name="40% - 强调文字颜色 5 2 9" xfId="0"/>
    <cellStyle name="40% - 强调文字颜色 5 20" xfId="0"/>
    <cellStyle name="40% - 强调文字颜色 5 21" xfId="0"/>
    <cellStyle name="40% - 强调文字颜色 5 22" xfId="0"/>
    <cellStyle name="40% - 强调文字颜色 5 23" xfId="0"/>
    <cellStyle name="40% - 强调文字颜色 5 24" xfId="0"/>
    <cellStyle name="40% - 强调文字颜色 5 25" xfId="0"/>
    <cellStyle name="40% - 强调文字颜色 5 26" xfId="0"/>
    <cellStyle name="40% - 强调文字颜色 5 27" xfId="0"/>
    <cellStyle name="40% - 强调文字颜色 5 28" xfId="0"/>
    <cellStyle name="40% - 强调文字颜色 5 29" xfId="0"/>
    <cellStyle name="40% - 强调文字颜色 5 3" xfId="0"/>
    <cellStyle name="40% - 强调文字颜色 5 30" xfId="0"/>
    <cellStyle name="40% - 强调文字颜色 5 31" xfId="0"/>
    <cellStyle name="40% - 强调文字颜色 5 32" xfId="0"/>
    <cellStyle name="40% - 强调文字颜色 5 33" xfId="0"/>
    <cellStyle name="40% - 强调文字颜色 5 34" xfId="0"/>
    <cellStyle name="40% - 强调文字颜色 5 35" xfId="0"/>
    <cellStyle name="40% - 强调文字颜色 5 36" xfId="0"/>
    <cellStyle name="40% - 强调文字颜色 5 37" xfId="0"/>
    <cellStyle name="40% - 强调文字颜色 5 38" xfId="0"/>
    <cellStyle name="40% - 强调文字颜色 5 39" xfId="0"/>
    <cellStyle name="40% - 强调文字颜色 5 4" xfId="0"/>
    <cellStyle name="40% - 强调文字颜色 5 40" xfId="0"/>
    <cellStyle name="40% - 强调文字颜色 5 41" xfId="0"/>
    <cellStyle name="40% - 强调文字颜色 5 42" xfId="0"/>
    <cellStyle name="40% - 强调文字颜色 5 43" xfId="0"/>
    <cellStyle name="40% - 强调文字颜色 5 44" xfId="0"/>
    <cellStyle name="40% - 强调文字颜色 5 45" xfId="0"/>
    <cellStyle name="40% - 强调文字颜色 5 46" xfId="0"/>
    <cellStyle name="40% - 强调文字颜色 5 47" xfId="0"/>
    <cellStyle name="40% - 强调文字颜色 5 48" xfId="0"/>
    <cellStyle name="40% - 强调文字颜色 5 49" xfId="0"/>
    <cellStyle name="40% - 强调文字颜色 5 5" xfId="0"/>
    <cellStyle name="40% - 强调文字颜色 5 50" xfId="0"/>
    <cellStyle name="40% - 强调文字颜色 5 51" xfId="0"/>
    <cellStyle name="40% - 强调文字颜色 5 52" xfId="0"/>
    <cellStyle name="40% - 强调文字颜色 5 53" xfId="0"/>
    <cellStyle name="40% - 强调文字颜色 5 54" xfId="0"/>
    <cellStyle name="40% - 强调文字颜色 5 55" xfId="0"/>
    <cellStyle name="40% - 强调文字颜色 5 56" xfId="0"/>
    <cellStyle name="40% - 强调文字颜色 5 57" xfId="0"/>
    <cellStyle name="40% - 强调文字颜色 5 58" xfId="0"/>
    <cellStyle name="40% - 强调文字颜色 5 59" xfId="0"/>
    <cellStyle name="40% - 强调文字颜色 5 6" xfId="0"/>
    <cellStyle name="40% - 强调文字颜色 5 60" xfId="0"/>
    <cellStyle name="40% - 强调文字颜色 5 61" xfId="0"/>
    <cellStyle name="40% - 强调文字颜色 5 62" xfId="0"/>
    <cellStyle name="40% - 强调文字颜色 5 63" xfId="0"/>
    <cellStyle name="40% - 强调文字颜色 5 64" xfId="0"/>
    <cellStyle name="40% - 强调文字颜色 5 65" xfId="0"/>
    <cellStyle name="40% - 强调文字颜色 5 66" xfId="0"/>
    <cellStyle name="40% - 强调文字颜色 5 67" xfId="0"/>
    <cellStyle name="40% - 强调文字颜色 5 68" xfId="0"/>
    <cellStyle name="40% - 强调文字颜色 5 69" xfId="0"/>
    <cellStyle name="40% - 强调文字颜色 5 7" xfId="0"/>
    <cellStyle name="40% - 强调文字颜色 5 70" xfId="0"/>
    <cellStyle name="40% - 强调文字颜色 5 71" xfId="0"/>
    <cellStyle name="40% - 强调文字颜色 5 72" xfId="0"/>
    <cellStyle name="40% - 强调文字颜色 5 73" xfId="0"/>
    <cellStyle name="40% - 强调文字颜色 5 74" xfId="0"/>
    <cellStyle name="40% - 强调文字颜色 5 75" xfId="0"/>
    <cellStyle name="40% - 强调文字颜色 5 76" xfId="0"/>
    <cellStyle name="40% - 强调文字颜色 5 77" xfId="0"/>
    <cellStyle name="40% - 强调文字颜色 5 78" xfId="0"/>
    <cellStyle name="40% - 强调文字颜色 5 79" xfId="0"/>
    <cellStyle name="40% - 强调文字颜色 5 8" xfId="0"/>
    <cellStyle name="40% - 强调文字颜色 5 80" xfId="0"/>
    <cellStyle name="40% - 强调文字颜色 5 81" xfId="0"/>
    <cellStyle name="40% - 强调文字颜色 5 82" xfId="0"/>
    <cellStyle name="40% - 强调文字颜色 5 83" xfId="0"/>
    <cellStyle name="40% - 强调文字颜色 5 9" xfId="0"/>
    <cellStyle name="40% - 强调文字颜色 5_CORP SG&amp;A" xfId="0"/>
    <cellStyle name="40% - 强调文字颜色 6" xfId="0"/>
    <cellStyle name="40% - 强调文字颜色 6 10" xfId="0"/>
    <cellStyle name="40% - 强调文字颜色 6 11" xfId="0"/>
    <cellStyle name="40% - 强调文字颜色 6 12" xfId="0"/>
    <cellStyle name="40% - 强调文字颜色 6 13" xfId="0"/>
    <cellStyle name="40% - 强调文字颜色 6 14" xfId="0"/>
    <cellStyle name="40% - 强调文字颜色 6 15" xfId="0"/>
    <cellStyle name="40% - 强调文字颜色 6 16" xfId="0"/>
    <cellStyle name="40% - 强调文字颜色 6 17" xfId="0"/>
    <cellStyle name="40% - 强调文字颜色 6 18" xfId="0"/>
    <cellStyle name="40% - 强调文字颜色 6 19" xfId="0"/>
    <cellStyle name="40% - 强调文字颜色 6 2" xfId="0"/>
    <cellStyle name="40% - 强调文字颜色 6 2 10" xfId="0"/>
    <cellStyle name="40% - 强调文字颜色 6 2 11" xfId="0"/>
    <cellStyle name="40% - 强调文字颜色 6 2 12" xfId="0"/>
    <cellStyle name="40% - 强调文字颜色 6 2 13" xfId="0"/>
    <cellStyle name="40% - 强调文字颜色 6 2 14" xfId="0"/>
    <cellStyle name="40% - 强调文字颜色 6 2 15" xfId="0"/>
    <cellStyle name="40% - 强调文字颜色 6 2 16" xfId="0"/>
    <cellStyle name="40% - 强调文字颜色 6 2 17" xfId="0"/>
    <cellStyle name="40% - 强调文字颜色 6 2 18" xfId="0"/>
    <cellStyle name="40% - 强调文字颜色 6 2 19" xfId="0"/>
    <cellStyle name="40% - 强调文字颜色 6 2 2" xfId="0"/>
    <cellStyle name="40% - 强调文字颜色 6 2 20" xfId="0"/>
    <cellStyle name="40% - 强调文字颜色 6 2 21" xfId="0"/>
    <cellStyle name="40% - 强调文字颜色 6 2 22" xfId="0"/>
    <cellStyle name="40% - 强调文字颜色 6 2 23" xfId="0"/>
    <cellStyle name="40% - 强调文字颜色 6 2 24" xfId="0"/>
    <cellStyle name="40% - 强调文字颜色 6 2 25" xfId="0"/>
    <cellStyle name="40% - 强调文字颜色 6 2 3" xfId="0"/>
    <cellStyle name="40% - 强调文字颜色 6 2 4" xfId="0"/>
    <cellStyle name="40% - 强调文字颜色 6 2 5" xfId="0"/>
    <cellStyle name="40% - 强调文字颜色 6 2 6" xfId="0"/>
    <cellStyle name="40% - 强调文字颜色 6 2 7" xfId="0"/>
    <cellStyle name="40% - 强调文字颜色 6 2 8" xfId="0"/>
    <cellStyle name="40% - 强调文字颜色 6 2 9" xfId="0"/>
    <cellStyle name="40% - 强调文字颜色 6 20" xfId="0"/>
    <cellStyle name="40% - 强调文字颜色 6 21" xfId="0"/>
    <cellStyle name="40% - 强调文字颜色 6 22" xfId="0"/>
    <cellStyle name="40% - 强调文字颜色 6 23" xfId="0"/>
    <cellStyle name="40% - 强调文字颜色 6 24" xfId="0"/>
    <cellStyle name="40% - 强调文字颜色 6 25" xfId="0"/>
    <cellStyle name="40% - 强调文字颜色 6 26" xfId="0"/>
    <cellStyle name="40% - 强调文字颜色 6 27" xfId="0"/>
    <cellStyle name="40% - 强调文字颜色 6 28" xfId="0"/>
    <cellStyle name="40% - 强调文字颜色 6 29" xfId="0"/>
    <cellStyle name="40% - 强调文字颜色 6 3" xfId="0"/>
    <cellStyle name="40% - 强调文字颜色 6 30" xfId="0"/>
    <cellStyle name="40% - 强调文字颜色 6 31" xfId="0"/>
    <cellStyle name="40% - 强调文字颜色 6 32" xfId="0"/>
    <cellStyle name="40% - 强调文字颜色 6 33" xfId="0"/>
    <cellStyle name="40% - 强调文字颜色 6 34" xfId="0"/>
    <cellStyle name="40% - 强调文字颜色 6 35" xfId="0"/>
    <cellStyle name="40% - 强调文字颜色 6 36" xfId="0"/>
    <cellStyle name="40% - 强调文字颜色 6 37" xfId="0"/>
    <cellStyle name="40% - 强调文字颜色 6 38" xfId="0"/>
    <cellStyle name="40% - 强调文字颜色 6 39" xfId="0"/>
    <cellStyle name="40% - 强调文字颜色 6 4" xfId="0"/>
    <cellStyle name="40% - 强调文字颜色 6 40" xfId="0"/>
    <cellStyle name="40% - 强调文字颜色 6 41" xfId="0"/>
    <cellStyle name="40% - 强调文字颜色 6 42" xfId="0"/>
    <cellStyle name="40% - 强调文字颜色 6 43" xfId="0"/>
    <cellStyle name="40% - 强调文字颜色 6 44" xfId="0"/>
    <cellStyle name="40% - 强调文字颜色 6 45" xfId="0"/>
    <cellStyle name="40% - 强调文字颜色 6 46" xfId="0"/>
    <cellStyle name="40% - 强调文字颜色 6 47" xfId="0"/>
    <cellStyle name="40% - 强调文字颜色 6 48" xfId="0"/>
    <cellStyle name="40% - 强调文字颜色 6 49" xfId="0"/>
    <cellStyle name="40% - 强调文字颜色 6 5" xfId="0"/>
    <cellStyle name="40% - 强调文字颜色 6 50" xfId="0"/>
    <cellStyle name="40% - 强调文字颜色 6 51" xfId="0"/>
    <cellStyle name="40% - 强调文字颜色 6 52" xfId="0"/>
    <cellStyle name="40% - 强调文字颜色 6 53" xfId="0"/>
    <cellStyle name="40% - 强调文字颜色 6 54" xfId="0"/>
    <cellStyle name="40% - 强调文字颜色 6 55" xfId="0"/>
    <cellStyle name="40% - 强调文字颜色 6 56" xfId="0"/>
    <cellStyle name="40% - 强调文字颜色 6 57" xfId="0"/>
    <cellStyle name="40% - 强调文字颜色 6 58" xfId="0"/>
    <cellStyle name="40% - 强调文字颜色 6 59" xfId="0"/>
    <cellStyle name="40% - 强调文字颜色 6 6" xfId="0"/>
    <cellStyle name="40% - 强调文字颜色 6 7" xfId="0"/>
    <cellStyle name="40% - 强调文字颜色 6_CORP SG&amp;A" xfId="0"/>
    <cellStyle name="40% - 輔色1 2" xfId="0"/>
    <cellStyle name="40% - 輔色1 2 2" xfId="0"/>
    <cellStyle name="40% - 輔色1 3" xfId="0"/>
    <cellStyle name="40% - 輔色1 3 2" xfId="0"/>
    <cellStyle name="40% - 輔色1 3 3" xfId="0"/>
    <cellStyle name="40% - 輔色1 4" xfId="0"/>
    <cellStyle name="40% - 輔色1 5" xfId="0"/>
    <cellStyle name="40% - 輔色2 2" xfId="0"/>
    <cellStyle name="40% - 輔色2 2 2" xfId="0"/>
    <cellStyle name="40% - 輔色2 3" xfId="0"/>
    <cellStyle name="40% - 輔色2 3 2" xfId="0"/>
    <cellStyle name="40% - 輔色2 3 3" xfId="0"/>
    <cellStyle name="40% - 輔色2 4" xfId="0"/>
    <cellStyle name="40% - 輔色2 5" xfId="0"/>
    <cellStyle name="40% - 輔色3 2" xfId="0"/>
    <cellStyle name="40% - 輔色3 2 2" xfId="0"/>
    <cellStyle name="40% - 輔色3 3" xfId="0"/>
    <cellStyle name="40% - 輔色3 3 2" xfId="0"/>
    <cellStyle name="40% - 輔色3 3 3" xfId="0"/>
    <cellStyle name="40% - 輔色3 4" xfId="0"/>
    <cellStyle name="40% - 輔色3 5" xfId="0"/>
    <cellStyle name="40% - 輔色4 2" xfId="0"/>
    <cellStyle name="40% - 輔色4 2 2" xfId="0"/>
    <cellStyle name="40% - 輔色4 3" xfId="0"/>
    <cellStyle name="40% - 輔色4 3 2" xfId="0"/>
    <cellStyle name="40% - 輔色4 3 3" xfId="0"/>
    <cellStyle name="40% - 輔色4 4" xfId="0"/>
    <cellStyle name="40% - 輔色4 5" xfId="0"/>
    <cellStyle name="40% - 輔色5 2" xfId="0"/>
    <cellStyle name="40% - 輔色5 2 2" xfId="0"/>
    <cellStyle name="40% - 輔色5 3" xfId="0"/>
    <cellStyle name="40% - 輔色5 3 2" xfId="0"/>
    <cellStyle name="40% - 輔色5 3 3" xfId="0"/>
    <cellStyle name="40% - 輔色5 4" xfId="0"/>
    <cellStyle name="40% - 輔色5 5" xfId="0"/>
    <cellStyle name="40% - 輔色6 2" xfId="0"/>
    <cellStyle name="40% - 輔色6 2 2" xfId="0"/>
    <cellStyle name="40% - 輔色6 3" xfId="0"/>
    <cellStyle name="40% - 輔色6 3 2" xfId="0"/>
    <cellStyle name="40% - 輔色6 3 3" xfId="0"/>
    <cellStyle name="40% - 輔色6 4" xfId="0"/>
    <cellStyle name="40% - 輔色6 5" xfId="0"/>
    <cellStyle name="40 % - Accent1" xfId="0"/>
    <cellStyle name="40 % - Accent1 2" xfId="0"/>
    <cellStyle name="40 % - Accent2" xfId="0"/>
    <cellStyle name="40 % - Accent2 2" xfId="0"/>
    <cellStyle name="40 % - Accent3" xfId="0"/>
    <cellStyle name="40 % - Accent3 2" xfId="0"/>
    <cellStyle name="40 % - Accent4" xfId="0"/>
    <cellStyle name="40 % - Accent4 2" xfId="0"/>
    <cellStyle name="40 % - Accent5" xfId="0"/>
    <cellStyle name="40 % - Accent5 2" xfId="0"/>
    <cellStyle name="40 % - Accent6" xfId="0"/>
    <cellStyle name="40 % - Accent6 2" xfId="0"/>
    <cellStyle name="60 % - Markeringsfarve1" xfId="0"/>
    <cellStyle name="60 % - Markeringsfarve1 2" xfId="0"/>
    <cellStyle name="60 % - Markeringsfarve2" xfId="0"/>
    <cellStyle name="60 % - Markeringsfarve2 2" xfId="0"/>
    <cellStyle name="60 % - Markeringsfarve3" xfId="0"/>
    <cellStyle name="60 % - Markeringsfarve3 2" xfId="0"/>
    <cellStyle name="60 % - Markeringsfarve4" xfId="0"/>
    <cellStyle name="60 % - Markeringsfarve4 2" xfId="0"/>
    <cellStyle name="60 % - Markeringsfarve5" xfId="0"/>
    <cellStyle name="60 % - Markeringsfarve5 2" xfId="0"/>
    <cellStyle name="60 % - Markeringsfarve6" xfId="0"/>
    <cellStyle name="60 % - Markeringsfarve6 2" xfId="0"/>
    <cellStyle name="60% - Accent1" xfId="0"/>
    <cellStyle name="60% - Accent1 10" xfId="0"/>
    <cellStyle name="60% - Accent1 10 2" xfId="0"/>
    <cellStyle name="60% - Accent1 10 2 2" xfId="0"/>
    <cellStyle name="60% - Accent1 10 3" xfId="0"/>
    <cellStyle name="60% - Accent1 10 3 2" xfId="0"/>
    <cellStyle name="60% - Accent1 10 4" xfId="0"/>
    <cellStyle name="60% - Accent1 11" xfId="0"/>
    <cellStyle name="60% - Accent1 11 2" xfId="0"/>
    <cellStyle name="60% - Accent1 11 2 2" xfId="0"/>
    <cellStyle name="60% - Accent1 11 3" xfId="0"/>
    <cellStyle name="60% - Accent1 11 3 2" xfId="0"/>
    <cellStyle name="60% - Accent1 11 4" xfId="0"/>
    <cellStyle name="60% - Accent1 12" xfId="0"/>
    <cellStyle name="60% - Accent1 12 2" xfId="0"/>
    <cellStyle name="60% - Accent1 13" xfId="0"/>
    <cellStyle name="60% - Accent1 13 2" xfId="0"/>
    <cellStyle name="60% - Accent1 14" xfId="0"/>
    <cellStyle name="60% - Accent1 14 2" xfId="0"/>
    <cellStyle name="60% - Accent1 15" xfId="0"/>
    <cellStyle name="60% - Accent1 15 2" xfId="0"/>
    <cellStyle name="60% - Accent1 16" xfId="0"/>
    <cellStyle name="60% - Accent1 16 2" xfId="0"/>
    <cellStyle name="60% - Accent1 17" xfId="0"/>
    <cellStyle name="60% - Accent1 17 2" xfId="0"/>
    <cellStyle name="60% - Accent1 18" xfId="0"/>
    <cellStyle name="60% - Accent1 18 2" xfId="0"/>
    <cellStyle name="60% - Accent1 19" xfId="0"/>
    <cellStyle name="60% - Accent1 19 2" xfId="0"/>
    <cellStyle name="60% - Accent1 2" xfId="0"/>
    <cellStyle name="60% - Accent1 2 2" xfId="0"/>
    <cellStyle name="60% - Accent1 2 2 2" xfId="0"/>
    <cellStyle name="60% - Accent1 2 2 2 2" xfId="0"/>
    <cellStyle name="60% - Accent1 2 2 3" xfId="0"/>
    <cellStyle name="60% - Accent1 2 2 3 2" xfId="0"/>
    <cellStyle name="60% - Accent1 2 2 4" xfId="0"/>
    <cellStyle name="60% - Accent1 2 2 4 2" xfId="0"/>
    <cellStyle name="60% - Accent1 2 2 5" xfId="0"/>
    <cellStyle name="60% - Accent1 2 2 6" xfId="0"/>
    <cellStyle name="60% - Accent1 2 3" xfId="0"/>
    <cellStyle name="60% - Accent1 2 3 2" xfId="0"/>
    <cellStyle name="60% - Accent1 2 3 3" xfId="0"/>
    <cellStyle name="60% - Accent1 2 4" xfId="0"/>
    <cellStyle name="60% - Accent1 2 4 2" xfId="0"/>
    <cellStyle name="60% - Accent1 2 4 3" xfId="0"/>
    <cellStyle name="60% - Accent1 2 5" xfId="0"/>
    <cellStyle name="60% - Accent1 2 5 2" xfId="0"/>
    <cellStyle name="60% - Accent1 2 5 3" xfId="0"/>
    <cellStyle name="60% - Accent1 2 6" xfId="0"/>
    <cellStyle name="60% - Accent1 2 7" xfId="0"/>
    <cellStyle name="60% - Accent1 2 8" xfId="0"/>
    <cellStyle name="60% - Accent1 20" xfId="0"/>
    <cellStyle name="60% - Accent1 20 2" xfId="0"/>
    <cellStyle name="60% - Accent1 21" xfId="0"/>
    <cellStyle name="60% - Accent1 21 2" xfId="0"/>
    <cellStyle name="60% - Accent1 22" xfId="0"/>
    <cellStyle name="60% - Accent1 22 2" xfId="0"/>
    <cellStyle name="60% - Accent1 23" xfId="0"/>
    <cellStyle name="60% - Accent1 23 2" xfId="0"/>
    <cellStyle name="60% - Accent1 23 3" xfId="0"/>
    <cellStyle name="60% - Accent1 24" xfId="0"/>
    <cellStyle name="60% - Accent1 24 2" xfId="0"/>
    <cellStyle name="60% - Accent1 24 3" xfId="0"/>
    <cellStyle name="60% - Accent1 25" xfId="0"/>
    <cellStyle name="60% - Accent1 25 2" xfId="0"/>
    <cellStyle name="60% - Accent1 25 3" xfId="0"/>
    <cellStyle name="60% - Accent1 26" xfId="0"/>
    <cellStyle name="60% - Accent1 26 2" xfId="0"/>
    <cellStyle name="60% - Accent1 27" xfId="0"/>
    <cellStyle name="60% - Accent1 27 2" xfId="0"/>
    <cellStyle name="60% - Accent1 28" xfId="0"/>
    <cellStyle name="60% - Accent1 28 2" xfId="0"/>
    <cellStyle name="60% - Accent1 29" xfId="0"/>
    <cellStyle name="60% - Accent1 29 2" xfId="0"/>
    <cellStyle name="60% - Accent1 2_2.VSCN - GSC charge" xfId="0"/>
    <cellStyle name="60% - Accent1 3" xfId="0"/>
    <cellStyle name="60% - Accent1 3 2" xfId="0"/>
    <cellStyle name="60% - Accent1 3 2 2" xfId="0"/>
    <cellStyle name="60% - Accent1 3 2 3" xfId="0"/>
    <cellStyle name="60% - Accent1 3 3" xfId="0"/>
    <cellStyle name="60% - Accent1 3 3 2" xfId="0"/>
    <cellStyle name="60% - Accent1 3 3 3" xfId="0"/>
    <cellStyle name="60% - Accent1 3 4" xfId="0"/>
    <cellStyle name="60% - Accent1 3 4 2" xfId="0"/>
    <cellStyle name="60% - Accent1 3 5" xfId="0"/>
    <cellStyle name="60% - Accent1 3 5 2" xfId="0"/>
    <cellStyle name="60% - Accent1 3 6" xfId="0"/>
    <cellStyle name="60% - Accent1 3 7" xfId="0"/>
    <cellStyle name="60% - Accent1 30" xfId="0"/>
    <cellStyle name="60% - Accent1 30 2" xfId="0"/>
    <cellStyle name="60% - Accent1 31" xfId="0"/>
    <cellStyle name="60% - Accent1 31 2" xfId="0"/>
    <cellStyle name="60% - Accent1 32" xfId="0"/>
    <cellStyle name="60% - Accent1 32 2" xfId="0"/>
    <cellStyle name="60% - Accent1 33" xfId="0"/>
    <cellStyle name="60% - Accent1 33 2" xfId="0"/>
    <cellStyle name="60% - Accent1 34" xfId="0"/>
    <cellStyle name="60% - Accent1 34 2" xfId="0"/>
    <cellStyle name="60% - Accent1 35" xfId="0"/>
    <cellStyle name="60% - Accent1 35 2" xfId="0"/>
    <cellStyle name="60% - Accent1 36" xfId="0"/>
    <cellStyle name="60% - Accent1 36 2" xfId="0"/>
    <cellStyle name="60% - Accent1 37" xfId="0"/>
    <cellStyle name="60% - Accent1 37 2" xfId="0"/>
    <cellStyle name="60% - Accent1 38" xfId="0"/>
    <cellStyle name="60% - Accent1 38 2" xfId="0"/>
    <cellStyle name="60% - Accent1 39" xfId="0"/>
    <cellStyle name="60% - Accent1 39 2" xfId="0"/>
    <cellStyle name="60% - Accent1 3_Profitability Detail NT$ Sep-12" xfId="0"/>
    <cellStyle name="60% - Accent1 4" xfId="0"/>
    <cellStyle name="60% - Accent1 4 2" xfId="0"/>
    <cellStyle name="60% - Accent1 4 2 2" xfId="0"/>
    <cellStyle name="60% - Accent1 4 2 3" xfId="0"/>
    <cellStyle name="60% - Accent1 4 3" xfId="0"/>
    <cellStyle name="60% - Accent1 4 3 2" xfId="0"/>
    <cellStyle name="60% - Accent1 4 3 3" xfId="0"/>
    <cellStyle name="60% - Accent1 4 4" xfId="0"/>
    <cellStyle name="60% - Accent1 4 4 2" xfId="0"/>
    <cellStyle name="60% - Accent1 4 5" xfId="0"/>
    <cellStyle name="60% - Accent1 4 5 2" xfId="0"/>
    <cellStyle name="60% - Accent1 4 6" xfId="0"/>
    <cellStyle name="60% - Accent1 4 7" xfId="0"/>
    <cellStyle name="60% - Accent1 40" xfId="0"/>
    <cellStyle name="60% - Accent1 40 2" xfId="0"/>
    <cellStyle name="60% - Accent1 41" xfId="0"/>
    <cellStyle name="60% - Accent1 41 2" xfId="0"/>
    <cellStyle name="60% - Accent1 42" xfId="0"/>
    <cellStyle name="60% - Accent1 43" xfId="0"/>
    <cellStyle name="60% - Accent1 4_Profitability Detail NT$ Sep-12" xfId="0"/>
    <cellStyle name="60% - Accent1 5" xfId="0"/>
    <cellStyle name="60% - Accent1 5 2" xfId="0"/>
    <cellStyle name="60% - Accent1 5 2 2" xfId="0"/>
    <cellStyle name="60% - Accent1 5 2 3" xfId="0"/>
    <cellStyle name="60% - Accent1 5 3" xfId="0"/>
    <cellStyle name="60% - Accent1 5 3 2" xfId="0"/>
    <cellStyle name="60% - Accent1 5 4" xfId="0"/>
    <cellStyle name="60% - Accent1 5 4 2" xfId="0"/>
    <cellStyle name="60% - Accent1 5 5" xfId="0"/>
    <cellStyle name="60% - Accent1 6" xfId="0"/>
    <cellStyle name="60% - Accent1 6 2" xfId="0"/>
    <cellStyle name="60% - Accent1 6 2 2" xfId="0"/>
    <cellStyle name="60% - Accent1 6 3" xfId="0"/>
    <cellStyle name="60% - Accent1 6 3 2" xfId="0"/>
    <cellStyle name="60% - Accent1 6 4" xfId="0"/>
    <cellStyle name="60% - Accent1 7" xfId="0"/>
    <cellStyle name="60% - Accent1 7 2" xfId="0"/>
    <cellStyle name="60% - Accent1 7 2 2" xfId="0"/>
    <cellStyle name="60% - Accent1 7 3" xfId="0"/>
    <cellStyle name="60% - Accent1 7 3 2" xfId="0"/>
    <cellStyle name="60% - Accent1 7 4" xfId="0"/>
    <cellStyle name="60% - Accent1 8" xfId="0"/>
    <cellStyle name="60% - Accent1 8 2" xfId="0"/>
    <cellStyle name="60% - Accent1 8 2 2" xfId="0"/>
    <cellStyle name="60% - Accent1 8 3" xfId="0"/>
    <cellStyle name="60% - Accent1 8 3 2" xfId="0"/>
    <cellStyle name="60% - Accent1 8 4" xfId="0"/>
    <cellStyle name="60% - Accent1 9" xfId="0"/>
    <cellStyle name="60% - Accent1 9 2" xfId="0"/>
    <cellStyle name="60% - Accent1 9 2 2" xfId="0"/>
    <cellStyle name="60% - Accent1 9 3" xfId="0"/>
    <cellStyle name="60% - Accent1 9 3 2" xfId="0"/>
    <cellStyle name="60% - Accent1 9 4" xfId="0"/>
    <cellStyle name="60% - Accent1_ALL inventory onhand data 0912" xfId="0"/>
    <cellStyle name="60% - Accent2" xfId="0"/>
    <cellStyle name="60% - Accent2 10" xfId="0"/>
    <cellStyle name="60% - Accent2 10 2" xfId="0"/>
    <cellStyle name="60% - Accent2 10 2 2" xfId="0"/>
    <cellStyle name="60% - Accent2 10 3" xfId="0"/>
    <cellStyle name="60% - Accent2 10 3 2" xfId="0"/>
    <cellStyle name="60% - Accent2 10 4" xfId="0"/>
    <cellStyle name="60% - Accent2 11" xfId="0"/>
    <cellStyle name="60% - Accent2 11 2" xfId="0"/>
    <cellStyle name="60% - Accent2 11 2 2" xfId="0"/>
    <cellStyle name="60% - Accent2 11 3" xfId="0"/>
    <cellStyle name="60% - Accent2 11 3 2" xfId="0"/>
    <cellStyle name="60% - Accent2 11 4" xfId="0"/>
    <cellStyle name="60% - Accent2 12" xfId="0"/>
    <cellStyle name="60% - Accent2 12 2" xfId="0"/>
    <cellStyle name="60% - Accent2 13" xfId="0"/>
    <cellStyle name="60% - Accent2 13 2" xfId="0"/>
    <cellStyle name="60% - Accent2 14" xfId="0"/>
    <cellStyle name="60% - Accent2 14 2" xfId="0"/>
    <cellStyle name="60% - Accent2 15" xfId="0"/>
    <cellStyle name="60% - Accent2 15 2" xfId="0"/>
    <cellStyle name="60% - Accent2 16" xfId="0"/>
    <cellStyle name="60% - Accent2 16 2" xfId="0"/>
    <cellStyle name="60% - Accent2 17" xfId="0"/>
    <cellStyle name="60% - Accent2 17 2" xfId="0"/>
    <cellStyle name="60% - Accent2 18" xfId="0"/>
    <cellStyle name="60% - Accent2 18 2" xfId="0"/>
    <cellStyle name="60% - Accent2 19" xfId="0"/>
    <cellStyle name="60% - Accent2 19 2" xfId="0"/>
    <cellStyle name="60% - Accent2 2" xfId="0"/>
    <cellStyle name="60% - Accent2 2 2" xfId="0"/>
    <cellStyle name="60% - Accent2 2 2 2" xfId="0"/>
    <cellStyle name="60% - Accent2 2 2 2 2" xfId="0"/>
    <cellStyle name="60% - Accent2 2 2 3" xfId="0"/>
    <cellStyle name="60% - Accent2 2 2 3 2" xfId="0"/>
    <cellStyle name="60% - Accent2 2 2 4" xfId="0"/>
    <cellStyle name="60% - Accent2 2 2 4 2" xfId="0"/>
    <cellStyle name="60% - Accent2 2 2 5" xfId="0"/>
    <cellStyle name="60% - Accent2 2 2 6" xfId="0"/>
    <cellStyle name="60% - Accent2 2 3" xfId="0"/>
    <cellStyle name="60% - Accent2 2 3 2" xfId="0"/>
    <cellStyle name="60% - Accent2 2 3 3" xfId="0"/>
    <cellStyle name="60% - Accent2 2 4" xfId="0"/>
    <cellStyle name="60% - Accent2 2 4 2" xfId="0"/>
    <cellStyle name="60% - Accent2 2 4 3" xfId="0"/>
    <cellStyle name="60% - Accent2 2 5" xfId="0"/>
    <cellStyle name="60% - Accent2 2 5 2" xfId="0"/>
    <cellStyle name="60% - Accent2 2 5 3" xfId="0"/>
    <cellStyle name="60% - Accent2 2 6" xfId="0"/>
    <cellStyle name="60% - Accent2 2 7" xfId="0"/>
    <cellStyle name="60% - Accent2 2 8" xfId="0"/>
    <cellStyle name="60% - Accent2 20" xfId="0"/>
    <cellStyle name="60% - Accent2 20 2" xfId="0"/>
    <cellStyle name="60% - Accent2 21" xfId="0"/>
    <cellStyle name="60% - Accent2 21 2" xfId="0"/>
    <cellStyle name="60% - Accent2 22" xfId="0"/>
    <cellStyle name="60% - Accent2 22 2" xfId="0"/>
    <cellStyle name="60% - Accent2 23" xfId="0"/>
    <cellStyle name="60% - Accent2 23 2" xfId="0"/>
    <cellStyle name="60% - Accent2 23 3" xfId="0"/>
    <cellStyle name="60% - Accent2 24" xfId="0"/>
    <cellStyle name="60% - Accent2 24 2" xfId="0"/>
    <cellStyle name="60% - Accent2 24 3" xfId="0"/>
    <cellStyle name="60% - Accent2 25" xfId="0"/>
    <cellStyle name="60% - Accent2 25 2" xfId="0"/>
    <cellStyle name="60% - Accent2 25 3" xfId="0"/>
    <cellStyle name="60% - Accent2 26" xfId="0"/>
    <cellStyle name="60% - Accent2 26 2" xfId="0"/>
    <cellStyle name="60% - Accent2 27" xfId="0"/>
    <cellStyle name="60% - Accent2 27 2" xfId="0"/>
    <cellStyle name="60% - Accent2 28" xfId="0"/>
    <cellStyle name="60% - Accent2 28 2" xfId="0"/>
    <cellStyle name="60% - Accent2 29" xfId="0"/>
    <cellStyle name="60% - Accent2 29 2" xfId="0"/>
    <cellStyle name="60% - Accent2 2_2.VSCN - GSC charge" xfId="0"/>
    <cellStyle name="60% - Accent2 3" xfId="0"/>
    <cellStyle name="60% - Accent2 3 2" xfId="0"/>
    <cellStyle name="60% - Accent2 3 2 2" xfId="0"/>
    <cellStyle name="60% - Accent2 3 2 3" xfId="0"/>
    <cellStyle name="60% - Accent2 3 3" xfId="0"/>
    <cellStyle name="60% - Accent2 3 3 2" xfId="0"/>
    <cellStyle name="60% - Accent2 3 3 3" xfId="0"/>
    <cellStyle name="60% - Accent2 3 4" xfId="0"/>
    <cellStyle name="60% - Accent2 3 4 2" xfId="0"/>
    <cellStyle name="60% - Accent2 3 5" xfId="0"/>
    <cellStyle name="60% - Accent2 3 5 2" xfId="0"/>
    <cellStyle name="60% - Accent2 3 6" xfId="0"/>
    <cellStyle name="60% - Accent2 3 7" xfId="0"/>
    <cellStyle name="60% - Accent2 30" xfId="0"/>
    <cellStyle name="60% - Accent2 30 2" xfId="0"/>
    <cellStyle name="60% - Accent2 31" xfId="0"/>
    <cellStyle name="60% - Accent2 31 2" xfId="0"/>
    <cellStyle name="60% - Accent2 32" xfId="0"/>
    <cellStyle name="60% - Accent2 32 2" xfId="0"/>
    <cellStyle name="60% - Accent2 33" xfId="0"/>
    <cellStyle name="60% - Accent2 33 2" xfId="0"/>
    <cellStyle name="60% - Accent2 34" xfId="0"/>
    <cellStyle name="60% - Accent2 34 2" xfId="0"/>
    <cellStyle name="60% - Accent2 35" xfId="0"/>
    <cellStyle name="60% - Accent2 35 2" xfId="0"/>
    <cellStyle name="60% - Accent2 36" xfId="0"/>
    <cellStyle name="60% - Accent2 37" xfId="0"/>
    <cellStyle name="60% - Accent2 38" xfId="0"/>
    <cellStyle name="60% - Accent2 3_Profitability Detail NT$ Sep-12" xfId="0"/>
    <cellStyle name="60% - Accent2 4" xfId="0"/>
    <cellStyle name="60% - Accent2 4 2" xfId="0"/>
    <cellStyle name="60% - Accent2 4 2 2" xfId="0"/>
    <cellStyle name="60% - Accent2 4 2 3" xfId="0"/>
    <cellStyle name="60% - Accent2 4 3" xfId="0"/>
    <cellStyle name="60% - Accent2 4 3 2" xfId="0"/>
    <cellStyle name="60% - Accent2 4 3 3" xfId="0"/>
    <cellStyle name="60% - Accent2 4 4" xfId="0"/>
    <cellStyle name="60% - Accent2 4 4 2" xfId="0"/>
    <cellStyle name="60% - Accent2 4 5" xfId="0"/>
    <cellStyle name="60% - Accent2 4 5 2" xfId="0"/>
    <cellStyle name="60% - Accent2 4 6" xfId="0"/>
    <cellStyle name="60% - Accent2 4 7" xfId="0"/>
    <cellStyle name="60% - Accent2 4_Profitability Detail NT$ Sep-12" xfId="0"/>
    <cellStyle name="60% - Accent2 5" xfId="0"/>
    <cellStyle name="60% - Accent2 5 2" xfId="0"/>
    <cellStyle name="60% - Accent2 5 2 2" xfId="0"/>
    <cellStyle name="60% - Accent2 5 2 3" xfId="0"/>
    <cellStyle name="60% - Accent2 5 3" xfId="0"/>
    <cellStyle name="60% - Accent2 5 3 2" xfId="0"/>
    <cellStyle name="60% - Accent2 5 4" xfId="0"/>
    <cellStyle name="60% - Accent2 5 4 2" xfId="0"/>
    <cellStyle name="60% - Accent2 5 5" xfId="0"/>
    <cellStyle name="60% - Accent2 6" xfId="0"/>
    <cellStyle name="60% - Accent2 6 2" xfId="0"/>
    <cellStyle name="60% - Accent2 6 2 2" xfId="0"/>
    <cellStyle name="60% - Accent2 6 3" xfId="0"/>
    <cellStyle name="60% - Accent2 6 3 2" xfId="0"/>
    <cellStyle name="60% - Accent2 6 4" xfId="0"/>
    <cellStyle name="60% - Accent2 7" xfId="0"/>
    <cellStyle name="60% - Accent2 7 2" xfId="0"/>
    <cellStyle name="60% - Accent2 7 2 2" xfId="0"/>
    <cellStyle name="60% - Accent2 7 3" xfId="0"/>
    <cellStyle name="60% - Accent2 7 3 2" xfId="0"/>
    <cellStyle name="60% - Accent2 7 4" xfId="0"/>
    <cellStyle name="60% - Accent2 8" xfId="0"/>
    <cellStyle name="60% - Accent2 8 2" xfId="0"/>
    <cellStyle name="60% - Accent2 8 2 2" xfId="0"/>
    <cellStyle name="60% - Accent2 8 3" xfId="0"/>
    <cellStyle name="60% - Accent2 8 3 2" xfId="0"/>
    <cellStyle name="60% - Accent2 8 4" xfId="0"/>
    <cellStyle name="60% - Accent2 9" xfId="0"/>
    <cellStyle name="60% - Accent2 9 2" xfId="0"/>
    <cellStyle name="60% - Accent2 9 2 2" xfId="0"/>
    <cellStyle name="60% - Accent2 9 3" xfId="0"/>
    <cellStyle name="60% - Accent2 9 3 2" xfId="0"/>
    <cellStyle name="60% - Accent2 9 4" xfId="0"/>
    <cellStyle name="60% - Accent2_ALL inventory onhand data 0912" xfId="0"/>
    <cellStyle name="60% - Accent3" xfId="0"/>
    <cellStyle name="60% - Accent3 10" xfId="0"/>
    <cellStyle name="60% - Accent3 10 2" xfId="0"/>
    <cellStyle name="60% - Accent3 10 2 2" xfId="0"/>
    <cellStyle name="60% - Accent3 10 3" xfId="0"/>
    <cellStyle name="60% - Accent3 10 3 2" xfId="0"/>
    <cellStyle name="60% - Accent3 10 4" xfId="0"/>
    <cellStyle name="60% - Accent3 11" xfId="0"/>
    <cellStyle name="60% - Accent3 11 2" xfId="0"/>
    <cellStyle name="60% - Accent3 11 2 2" xfId="0"/>
    <cellStyle name="60% - Accent3 11 3" xfId="0"/>
    <cellStyle name="60% - Accent3 11 3 2" xfId="0"/>
    <cellStyle name="60% - Accent3 11 4" xfId="0"/>
    <cellStyle name="60% - Accent3 12" xfId="0"/>
    <cellStyle name="60% - Accent3 12 2" xfId="0"/>
    <cellStyle name="60% - Accent3 13" xfId="0"/>
    <cellStyle name="60% - Accent3 13 2" xfId="0"/>
    <cellStyle name="60% - Accent3 14" xfId="0"/>
    <cellStyle name="60% - Accent3 14 2" xfId="0"/>
    <cellStyle name="60% - Accent3 15" xfId="0"/>
    <cellStyle name="60% - Accent3 15 2" xfId="0"/>
    <cellStyle name="60% - Accent3 16" xfId="0"/>
    <cellStyle name="60% - Accent3 16 2" xfId="0"/>
    <cellStyle name="60% - Accent3 17" xfId="0"/>
    <cellStyle name="60% - Accent3 17 2" xfId="0"/>
    <cellStyle name="60% - Accent3 18" xfId="0"/>
    <cellStyle name="60% - Accent3 18 2" xfId="0"/>
    <cellStyle name="60% - Accent3 19" xfId="0"/>
    <cellStyle name="60% - Accent3 19 2" xfId="0"/>
    <cellStyle name="60% - Accent3 2" xfId="0"/>
    <cellStyle name="60% - Accent3 2 2" xfId="0"/>
    <cellStyle name="60% - Accent3 2 2 2" xfId="0"/>
    <cellStyle name="60% - Accent3 2 2 2 2" xfId="0"/>
    <cellStyle name="60% - Accent3 2 2 3" xfId="0"/>
    <cellStyle name="60% - Accent3 2 2 3 2" xfId="0"/>
    <cellStyle name="60% - Accent3 2 2 4" xfId="0"/>
    <cellStyle name="60% - Accent3 2 2 4 2" xfId="0"/>
    <cellStyle name="60% - Accent3 2 2 5" xfId="0"/>
    <cellStyle name="60% - Accent3 2 2 6" xfId="0"/>
    <cellStyle name="60% - Accent3 2 3" xfId="0"/>
    <cellStyle name="60% - Accent3 2 3 2" xfId="0"/>
    <cellStyle name="60% - Accent3 2 3 3" xfId="0"/>
    <cellStyle name="60% - Accent3 2 4" xfId="0"/>
    <cellStyle name="60% - Accent3 2 4 2" xfId="0"/>
    <cellStyle name="60% - Accent3 2 4 3" xfId="0"/>
    <cellStyle name="60% - Accent3 2 5" xfId="0"/>
    <cellStyle name="60% - Accent3 2 5 2" xfId="0"/>
    <cellStyle name="60% - Accent3 2 5 3" xfId="0"/>
    <cellStyle name="60% - Accent3 2 6" xfId="0"/>
    <cellStyle name="60% - Accent3 2 7" xfId="0"/>
    <cellStyle name="60% - Accent3 2 8" xfId="0"/>
    <cellStyle name="60% - Accent3 20" xfId="0"/>
    <cellStyle name="60% - Accent3 20 2" xfId="0"/>
    <cellStyle name="60% - Accent3 21" xfId="0"/>
    <cellStyle name="60% - Accent3 21 2" xfId="0"/>
    <cellStyle name="60% - Accent3 22" xfId="0"/>
    <cellStyle name="60% - Accent3 22 2" xfId="0"/>
    <cellStyle name="60% - Accent3 23" xfId="0"/>
    <cellStyle name="60% - Accent3 23 2" xfId="0"/>
    <cellStyle name="60% - Accent3 23 3" xfId="0"/>
    <cellStyle name="60% - Accent3 24" xfId="0"/>
    <cellStyle name="60% - Accent3 24 2" xfId="0"/>
    <cellStyle name="60% - Accent3 24 3" xfId="0"/>
    <cellStyle name="60% - Accent3 25" xfId="0"/>
    <cellStyle name="60% - Accent3 25 2" xfId="0"/>
    <cellStyle name="60% - Accent3 26" xfId="0"/>
    <cellStyle name="60% - Accent3 26 2" xfId="0"/>
    <cellStyle name="60% - Accent3 27" xfId="0"/>
    <cellStyle name="60% - Accent3 27 2" xfId="0"/>
    <cellStyle name="60% - Accent3 28" xfId="0"/>
    <cellStyle name="60% - Accent3 28 2" xfId="0"/>
    <cellStyle name="60% - Accent3 29" xfId="0"/>
    <cellStyle name="60% - Accent3 29 2" xfId="0"/>
    <cellStyle name="60% - Accent3 2_2.VSCN - GSC charge" xfId="0"/>
    <cellStyle name="60% - Accent3 3" xfId="0"/>
    <cellStyle name="60% - Accent3 3 2" xfId="0"/>
    <cellStyle name="60% - Accent3 3 2 2" xfId="0"/>
    <cellStyle name="60% - Accent3 3 2 3" xfId="0"/>
    <cellStyle name="60% - Accent3 3 3" xfId="0"/>
    <cellStyle name="60% - Accent3 3 3 2" xfId="0"/>
    <cellStyle name="60% - Accent3 3 3 3" xfId="0"/>
    <cellStyle name="60% - Accent3 3 4" xfId="0"/>
    <cellStyle name="60% - Accent3 3 4 2" xfId="0"/>
    <cellStyle name="60% - Accent3 3 5" xfId="0"/>
    <cellStyle name="60% - Accent3 3 5 2" xfId="0"/>
    <cellStyle name="60% - Accent3 3 6" xfId="0"/>
    <cellStyle name="60% - Accent3 3 7" xfId="0"/>
    <cellStyle name="60% - Accent3 30" xfId="0"/>
    <cellStyle name="60% - Accent3 30 2" xfId="0"/>
    <cellStyle name="60% - Accent3 31" xfId="0"/>
    <cellStyle name="60% - Accent3 31 2" xfId="0"/>
    <cellStyle name="60% - Accent3 32" xfId="0"/>
    <cellStyle name="60% - Accent3 32 2" xfId="0"/>
    <cellStyle name="60% - Accent3 33" xfId="0"/>
    <cellStyle name="60% - Accent3 33 2" xfId="0"/>
    <cellStyle name="60% - Accent3 34" xfId="0"/>
    <cellStyle name="60% - Accent3 34 2" xfId="0"/>
    <cellStyle name="60% - Accent3 35" xfId="0"/>
    <cellStyle name="60% - Accent3 35 2" xfId="0"/>
    <cellStyle name="60% - Accent3 36" xfId="0"/>
    <cellStyle name="60% - Accent3 36 2" xfId="0"/>
    <cellStyle name="60% - Accent3 37" xfId="0"/>
    <cellStyle name="60% - Accent3 37 2" xfId="0"/>
    <cellStyle name="60% - Accent3 38" xfId="0"/>
    <cellStyle name="60% - Accent3 38 2" xfId="0"/>
    <cellStyle name="60% - Accent3 39" xfId="0"/>
    <cellStyle name="60% - Accent3 39 2" xfId="0"/>
    <cellStyle name="60% - Accent3 3_Profitability Detail NT$ Sep-12" xfId="0"/>
    <cellStyle name="60% - Accent3 4" xfId="0"/>
    <cellStyle name="60% - Accent3 4 2" xfId="0"/>
    <cellStyle name="60% - Accent3 4 2 2" xfId="0"/>
    <cellStyle name="60% - Accent3 4 2 3" xfId="0"/>
    <cellStyle name="60% - Accent3 4 3" xfId="0"/>
    <cellStyle name="60% - Accent3 4 3 2" xfId="0"/>
    <cellStyle name="60% - Accent3 4 3 3" xfId="0"/>
    <cellStyle name="60% - Accent3 4 4" xfId="0"/>
    <cellStyle name="60% - Accent3 4 4 2" xfId="0"/>
    <cellStyle name="60% - Accent3 4 5" xfId="0"/>
    <cellStyle name="60% - Accent3 4 5 2" xfId="0"/>
    <cellStyle name="60% - Accent3 4 6" xfId="0"/>
    <cellStyle name="60% - Accent3 4 7" xfId="0"/>
    <cellStyle name="60% - Accent3 40" xfId="0"/>
    <cellStyle name="60% - Accent3 41" xfId="0"/>
    <cellStyle name="60% - Accent3 4_Profitability Detail NT$ Sep-12" xfId="0"/>
    <cellStyle name="60% - Accent3 5" xfId="0"/>
    <cellStyle name="60% - Accent3 5 2" xfId="0"/>
    <cellStyle name="60% - Accent3 5 3" xfId="0"/>
    <cellStyle name="60% - Accent3 5 3 2" xfId="0"/>
    <cellStyle name="60% - Accent3 6" xfId="0"/>
    <cellStyle name="60% - Accent3 6 2" xfId="0"/>
    <cellStyle name="60% - Accent3 6 3" xfId="0"/>
    <cellStyle name="60% - Accent3 7" xfId="0"/>
    <cellStyle name="60% - Accent3 7 2" xfId="0"/>
    <cellStyle name="60% - Accent3 7 3" xfId="0"/>
    <cellStyle name="60% - Accent3 8" xfId="0"/>
    <cellStyle name="60% - Accent3 8 2" xfId="0"/>
    <cellStyle name="60% - Accent3 8 3" xfId="0"/>
    <cellStyle name="60% - Accent3 9" xfId="0"/>
    <cellStyle name="60% - Accent3 9 2" xfId="0"/>
    <cellStyle name="60% - Accent3 9 3" xfId="0"/>
    <cellStyle name="60% - Accent3_ALL inventory onhand data 0912" xfId="0"/>
    <cellStyle name="60% - Accent4" xfId="0"/>
    <cellStyle name="60% - Accent4 10" xfId="0"/>
    <cellStyle name="60% - Accent4 10 2" xfId="0"/>
    <cellStyle name="60% - Accent4 11" xfId="0"/>
    <cellStyle name="60% - Accent4 11 2" xfId="0"/>
    <cellStyle name="60% - Accent4 12" xfId="0"/>
    <cellStyle name="60% - Accent4 12 2" xfId="0"/>
    <cellStyle name="60% - Accent4 13" xfId="0"/>
    <cellStyle name="60% - Accent4 13 2" xfId="0"/>
    <cellStyle name="60% - Accent4 14" xfId="0"/>
    <cellStyle name="60% - Accent4 14 2" xfId="0"/>
    <cellStyle name="60% - Accent4 15" xfId="0"/>
    <cellStyle name="60% - Accent4 15 2" xfId="0"/>
    <cellStyle name="60% - Accent4 16" xfId="0"/>
    <cellStyle name="60% - Accent4 16 2" xfId="0"/>
    <cellStyle name="60% - Accent4 17" xfId="0"/>
    <cellStyle name="60% - Accent4 17 2" xfId="0"/>
    <cellStyle name="60% - Accent4 18" xfId="0"/>
    <cellStyle name="60% - Accent4 18 2" xfId="0"/>
    <cellStyle name="60% - Accent4 19" xfId="0"/>
    <cellStyle name="60% - Accent4 19 2" xfId="0"/>
    <cellStyle name="60% - Accent4 2" xfId="0"/>
    <cellStyle name="60% - Accent4 2 2" xfId="0"/>
    <cellStyle name="60% - Accent4 2 2 2" xfId="0"/>
    <cellStyle name="60% - Accent4 2 2 3" xfId="0"/>
    <cellStyle name="60% - Accent4 2 3" xfId="0"/>
    <cellStyle name="60% - Accent4 2 3 2" xfId="0"/>
    <cellStyle name="60% - Accent4 2 3 3" xfId="0"/>
    <cellStyle name="60% - Accent4 2 4" xfId="0"/>
    <cellStyle name="60% - Accent4 2 4 2" xfId="0"/>
    <cellStyle name="60% - Accent4 2 5" xfId="0"/>
    <cellStyle name="60% - Accent4 2 5 2" xfId="0"/>
    <cellStyle name="60% - Accent4 2 6" xfId="0"/>
    <cellStyle name="60% - Accent4 2 7" xfId="0"/>
    <cellStyle name="60% - Accent4 2 8" xfId="0"/>
    <cellStyle name="60% - Accent4 20" xfId="0"/>
    <cellStyle name="60% - Accent4 20 2" xfId="0"/>
    <cellStyle name="60% - Accent4 21" xfId="0"/>
    <cellStyle name="60% - Accent4 21 2" xfId="0"/>
    <cellStyle name="60% - Accent4 22" xfId="0"/>
    <cellStyle name="60% - Accent4 22 2" xfId="0"/>
    <cellStyle name="60% - Accent4 23" xfId="0"/>
    <cellStyle name="60% - Accent4 24" xfId="0"/>
    <cellStyle name="60% - Accent4 25" xfId="0"/>
    <cellStyle name="60% - Accent4 26" xfId="0"/>
    <cellStyle name="60% - Accent4 27" xfId="0"/>
    <cellStyle name="60% - Accent4 28" xfId="0"/>
    <cellStyle name="60% - Accent4 29" xfId="0"/>
    <cellStyle name="60% - Accent4 2_Profitability Detail NT$ Sep-12" xfId="0"/>
    <cellStyle name="60% - Accent4 3" xfId="0"/>
    <cellStyle name="60% - Accent4 3 2" xfId="0"/>
    <cellStyle name="60% - Accent4 3 2 2" xfId="0"/>
    <cellStyle name="60% - Accent4 3 3" xfId="0"/>
    <cellStyle name="60% - Accent4 3 3 2" xfId="0"/>
    <cellStyle name="60% - Accent4 3 4" xfId="0"/>
    <cellStyle name="60% - Accent4 3 4 2" xfId="0"/>
    <cellStyle name="60% - Accent4 3 5" xfId="0"/>
    <cellStyle name="60% - Accent4 3 5 2" xfId="0"/>
    <cellStyle name="60% - Accent4 3 6" xfId="0"/>
    <cellStyle name="60% - Accent4 3 7" xfId="0"/>
    <cellStyle name="60% - Accent4 30" xfId="0"/>
    <cellStyle name="60% - Accent4 31" xfId="0"/>
    <cellStyle name="60% - Accent4 32" xfId="0"/>
    <cellStyle name="60% - Accent4 33" xfId="0"/>
    <cellStyle name="60% - Accent4 34" xfId="0"/>
    <cellStyle name="60% - Accent4 35" xfId="0"/>
    <cellStyle name="60% - Accent4 36" xfId="0"/>
    <cellStyle name="60% - Accent4 37" xfId="0"/>
    <cellStyle name="60% - Accent4 38" xfId="0"/>
    <cellStyle name="60% - Accent4 39" xfId="0"/>
    <cellStyle name="60% - Accent4 3_Profitability Detail NT$ Sep-12" xfId="0"/>
    <cellStyle name="60% - Accent4 4" xfId="0"/>
    <cellStyle name="60% - Accent4 4 2" xfId="0"/>
    <cellStyle name="60% - Accent4 4 2 2" xfId="0"/>
    <cellStyle name="60% - Accent4 4 3" xfId="0"/>
    <cellStyle name="60% - Accent4 4 3 2" xfId="0"/>
    <cellStyle name="60% - Accent4 4 4" xfId="0"/>
    <cellStyle name="60% - Accent4 4 4 2" xfId="0"/>
    <cellStyle name="60% - Accent4 4 5" xfId="0"/>
    <cellStyle name="60% - Accent4 4 5 2" xfId="0"/>
    <cellStyle name="60% - Accent4 4 6" xfId="0"/>
    <cellStyle name="60% - Accent4 4 7" xfId="0"/>
    <cellStyle name="60% - Accent4 40" xfId="0"/>
    <cellStyle name="60% - Accent4 41" xfId="0"/>
    <cellStyle name="60% - Accent4 4_Profitability Detail NT$ Sep-12" xfId="0"/>
    <cellStyle name="60% - Accent4 5" xfId="0"/>
    <cellStyle name="60% - Accent4 5 2" xfId="0"/>
    <cellStyle name="60% - Accent4 5 3" xfId="0"/>
    <cellStyle name="60% - Accent4 5 4" xfId="0"/>
    <cellStyle name="60% - Accent4 6" xfId="0"/>
    <cellStyle name="60% - Accent4 6 2" xfId="0"/>
    <cellStyle name="60% - Accent4 6 3" xfId="0"/>
    <cellStyle name="60% - Accent4 7" xfId="0"/>
    <cellStyle name="60% - Accent4 7 2" xfId="0"/>
    <cellStyle name="60% - Accent4 8" xfId="0"/>
    <cellStyle name="60% - Accent4 8 2" xfId="0"/>
    <cellStyle name="60% - Accent4 9" xfId="0"/>
    <cellStyle name="60% - Accent4 9 2" xfId="0"/>
    <cellStyle name="60% - Accent4_ALL inventory onhand data 0912" xfId="0"/>
    <cellStyle name="60% - Accent5" xfId="0"/>
    <cellStyle name="60% - Accent5 10" xfId="0"/>
    <cellStyle name="60% - Accent5 10 2" xfId="0"/>
    <cellStyle name="60% - Accent5 11" xfId="0"/>
    <cellStyle name="60% - Accent5 11 2" xfId="0"/>
    <cellStyle name="60% - Accent5 12" xfId="0"/>
    <cellStyle name="60% - Accent5 12 2" xfId="0"/>
    <cellStyle name="60% - Accent5 13" xfId="0"/>
    <cellStyle name="60% - Accent5 13 2" xfId="0"/>
    <cellStyle name="60% - Accent5 14" xfId="0"/>
    <cellStyle name="60% - Accent5 14 2" xfId="0"/>
    <cellStyle name="60% - Accent5 15" xfId="0"/>
    <cellStyle name="60% - Accent5 15 2" xfId="0"/>
    <cellStyle name="60% - Accent5 16" xfId="0"/>
    <cellStyle name="60% - Accent5 16 2" xfId="0"/>
    <cellStyle name="60% - Accent5 17" xfId="0"/>
    <cellStyle name="60% - Accent5 17 2" xfId="0"/>
    <cellStyle name="60% - Accent5 18" xfId="0"/>
    <cellStyle name="60% - Accent5 18 2" xfId="0"/>
    <cellStyle name="60% - Accent5 19" xfId="0"/>
    <cellStyle name="60% - Accent5 19 2" xfId="0"/>
    <cellStyle name="60% - Accent5 2" xfId="0"/>
    <cellStyle name="60% - Accent5 2 2" xfId="0"/>
    <cellStyle name="60% - Accent5 2 2 2" xfId="0"/>
    <cellStyle name="60% - Accent5 2 2 3" xfId="0"/>
    <cellStyle name="60% - Accent5 2 3" xfId="0"/>
    <cellStyle name="60% - Accent5 2 3 2" xfId="0"/>
    <cellStyle name="60% - Accent5 2 3 3" xfId="0"/>
    <cellStyle name="60% - Accent5 2 4" xfId="0"/>
    <cellStyle name="60% - Accent5 2 4 2" xfId="0"/>
    <cellStyle name="60% - Accent5 2 5" xfId="0"/>
    <cellStyle name="60% - Accent5 2 5 2" xfId="0"/>
    <cellStyle name="60% - Accent5 2 6" xfId="0"/>
    <cellStyle name="60% - Accent5 2 7" xfId="0"/>
    <cellStyle name="60% - Accent5 2 8" xfId="0"/>
    <cellStyle name="60% - Accent5 20" xfId="0"/>
    <cellStyle name="60% - Accent5 20 2" xfId="0"/>
    <cellStyle name="60% - Accent5 21" xfId="0"/>
    <cellStyle name="60% - Accent5 21 2" xfId="0"/>
    <cellStyle name="60% - Accent5 22" xfId="0"/>
    <cellStyle name="60% - Accent5 22 2" xfId="0"/>
    <cellStyle name="60% - Accent5 23" xfId="0"/>
    <cellStyle name="60% - Accent5 24" xfId="0"/>
    <cellStyle name="60% - Accent5 25" xfId="0"/>
    <cellStyle name="60% - Accent5 26" xfId="0"/>
    <cellStyle name="60% - Accent5 27" xfId="0"/>
    <cellStyle name="60% - Accent5 28" xfId="0"/>
    <cellStyle name="60% - Accent5 29" xfId="0"/>
    <cellStyle name="60% - Accent5 2_Profitability Detail NT$ Sep-12" xfId="0"/>
    <cellStyle name="60% - Accent5 3" xfId="0"/>
    <cellStyle name="60% - Accent5 3 2" xfId="0"/>
    <cellStyle name="60% - Accent5 3 2 2" xfId="0"/>
    <cellStyle name="60% - Accent5 3 3" xfId="0"/>
    <cellStyle name="60% - Accent5 3 3 2" xfId="0"/>
    <cellStyle name="60% - Accent5 3 4" xfId="0"/>
    <cellStyle name="60% - Accent5 3 4 2" xfId="0"/>
    <cellStyle name="60% - Accent5 3 5" xfId="0"/>
    <cellStyle name="60% - Accent5 3 5 2" xfId="0"/>
    <cellStyle name="60% - Accent5 3 6" xfId="0"/>
    <cellStyle name="60% - Accent5 3 7" xfId="0"/>
    <cellStyle name="60% - Accent5 30" xfId="0"/>
    <cellStyle name="60% - Accent5 31" xfId="0"/>
    <cellStyle name="60% - Accent5 32" xfId="0"/>
    <cellStyle name="60% - Accent5 33" xfId="0"/>
    <cellStyle name="60% - Accent5 34" xfId="0"/>
    <cellStyle name="60% - Accent5 35" xfId="0"/>
    <cellStyle name="60% - Accent5 3_Profitability Detail NT$ Sep-12" xfId="0"/>
    <cellStyle name="60% - Accent5 4" xfId="0"/>
    <cellStyle name="60% - Accent5 4 2" xfId="0"/>
    <cellStyle name="60% - Accent5 4 2 2" xfId="0"/>
    <cellStyle name="60% - Accent5 4 3" xfId="0"/>
    <cellStyle name="60% - Accent5 4 3 2" xfId="0"/>
    <cellStyle name="60% - Accent5 4 4" xfId="0"/>
    <cellStyle name="60% - Accent5 4 4 2" xfId="0"/>
    <cellStyle name="60% - Accent5 4 5" xfId="0"/>
    <cellStyle name="60% - Accent5 4 5 2" xfId="0"/>
    <cellStyle name="60% - Accent5 4 6" xfId="0"/>
    <cellStyle name="60% - Accent5 4 7" xfId="0"/>
    <cellStyle name="60% - Accent5 4_Profitability Detail NT$ Sep-12" xfId="0"/>
    <cellStyle name="60% - Accent5 5" xfId="0"/>
    <cellStyle name="60% - Accent5 5 2" xfId="0"/>
    <cellStyle name="60% - Accent5 5 3" xfId="0"/>
    <cellStyle name="60% - Accent5 5 4" xfId="0"/>
    <cellStyle name="60% - Accent5 6" xfId="0"/>
    <cellStyle name="60% - Accent5 6 2" xfId="0"/>
    <cellStyle name="60% - Accent5 7" xfId="0"/>
    <cellStyle name="60% - Accent5 7 2" xfId="0"/>
    <cellStyle name="60% - Accent5 8" xfId="0"/>
    <cellStyle name="60% - Accent5 8 2" xfId="0"/>
    <cellStyle name="60% - Accent5 9" xfId="0"/>
    <cellStyle name="60% - Accent5 9 2" xfId="0"/>
    <cellStyle name="60% - Accent5_ALL inventory onhand data 0912" xfId="0"/>
    <cellStyle name="60% - Accent6" xfId="0"/>
    <cellStyle name="60% - Accent6 10" xfId="0"/>
    <cellStyle name="60% - Accent6 10 2" xfId="0"/>
    <cellStyle name="60% - Accent6 11" xfId="0"/>
    <cellStyle name="60% - Accent6 11 2" xfId="0"/>
    <cellStyle name="60% - Accent6 12" xfId="0"/>
    <cellStyle name="60% - Accent6 12 2" xfId="0"/>
    <cellStyle name="60% - Accent6 13" xfId="0"/>
    <cellStyle name="60% - Accent6 13 2" xfId="0"/>
    <cellStyle name="60% - Accent6 14" xfId="0"/>
    <cellStyle name="60% - Accent6 14 2" xfId="0"/>
    <cellStyle name="60% - Accent6 15" xfId="0"/>
    <cellStyle name="60% - Accent6 15 2" xfId="0"/>
    <cellStyle name="60% - Accent6 16" xfId="0"/>
    <cellStyle name="60% - Accent6 16 2" xfId="0"/>
    <cellStyle name="60% - Accent6 17" xfId="0"/>
    <cellStyle name="60% - Accent6 17 2" xfId="0"/>
    <cellStyle name="60% - Accent6 18" xfId="0"/>
    <cellStyle name="60% - Accent6 18 2" xfId="0"/>
    <cellStyle name="60% - Accent6 19" xfId="0"/>
    <cellStyle name="60% - Accent6 19 2" xfId="0"/>
    <cellStyle name="60% - Accent6 2" xfId="0"/>
    <cellStyle name="60% - Accent6 2 2" xfId="0"/>
    <cellStyle name="60% - Accent6 2 2 2" xfId="0"/>
    <cellStyle name="60% - Accent6 2 2 3" xfId="0"/>
    <cellStyle name="60% - Accent6 2 3" xfId="0"/>
    <cellStyle name="60% - Accent6 2 3 2" xfId="0"/>
    <cellStyle name="60% - Accent6 2 3 3" xfId="0"/>
    <cellStyle name="60% - Accent6 2 4" xfId="0"/>
    <cellStyle name="60% - Accent6 2 4 2" xfId="0"/>
    <cellStyle name="60% - Accent6 2 5" xfId="0"/>
    <cellStyle name="60% - Accent6 2 5 2" xfId="0"/>
    <cellStyle name="60% - Accent6 2 6" xfId="0"/>
    <cellStyle name="60% - Accent6 2 7" xfId="0"/>
    <cellStyle name="60% - Accent6 2 8" xfId="0"/>
    <cellStyle name="60% - Accent6 20" xfId="0"/>
    <cellStyle name="60% - Accent6 20 2" xfId="0"/>
    <cellStyle name="60% - Accent6 21" xfId="0"/>
    <cellStyle name="60% - Accent6 21 2" xfId="0"/>
    <cellStyle name="60% - Accent6 22" xfId="0"/>
    <cellStyle name="60% - Accent6 22 2" xfId="0"/>
    <cellStyle name="60% - Accent6 23" xfId="0"/>
    <cellStyle name="60% - Accent6 24" xfId="0"/>
    <cellStyle name="60% - Accent6 25" xfId="0"/>
    <cellStyle name="60% - Accent6 26" xfId="0"/>
    <cellStyle name="60% - Accent6 27" xfId="0"/>
    <cellStyle name="60% - Accent6 28" xfId="0"/>
    <cellStyle name="60% - Accent6 29" xfId="0"/>
    <cellStyle name="60% - Accent6 2_Profitability Detail NT$ Sep-12" xfId="0"/>
    <cellStyle name="60% - Accent6 3" xfId="0"/>
    <cellStyle name="60% - Accent6 3 2" xfId="0"/>
    <cellStyle name="60% - Accent6 3 2 2" xfId="0"/>
    <cellStyle name="60% - Accent6 3 3" xfId="0"/>
    <cellStyle name="60% - Accent6 3 3 2" xfId="0"/>
    <cellStyle name="60% - Accent6 3 4" xfId="0"/>
    <cellStyle name="60% - Accent6 3 4 2" xfId="0"/>
    <cellStyle name="60% - Accent6 3 5" xfId="0"/>
    <cellStyle name="60% - Accent6 3 5 2" xfId="0"/>
    <cellStyle name="60% - Accent6 3 6" xfId="0"/>
    <cellStyle name="60% - Accent6 3 7" xfId="0"/>
    <cellStyle name="60% - Accent6 30" xfId="0"/>
    <cellStyle name="60% - Accent6 31" xfId="0"/>
    <cellStyle name="60% - Accent6 32" xfId="0"/>
    <cellStyle name="60% - Accent6 33" xfId="0"/>
    <cellStyle name="60% - Accent6 34" xfId="0"/>
    <cellStyle name="60% - Accent6 35" xfId="0"/>
    <cellStyle name="60% - Accent6 36" xfId="0"/>
    <cellStyle name="60% - Accent6 37" xfId="0"/>
    <cellStyle name="60% - Accent6 38" xfId="0"/>
    <cellStyle name="60% - Accent6 39" xfId="0"/>
    <cellStyle name="60% - Accent6 3_Profitability Detail NT$ Sep-12" xfId="0"/>
    <cellStyle name="60% - Accent6 4" xfId="0"/>
    <cellStyle name="60% - Accent6 4 2" xfId="0"/>
    <cellStyle name="60% - Accent6 4 2 2" xfId="0"/>
    <cellStyle name="60% - Accent6 4 3" xfId="0"/>
    <cellStyle name="60% - Accent6 4 3 2" xfId="0"/>
    <cellStyle name="60% - Accent6 4 4" xfId="0"/>
    <cellStyle name="60% - Accent6 4 4 2" xfId="0"/>
    <cellStyle name="60% - Accent6 4 5" xfId="0"/>
    <cellStyle name="60% - Accent6 4 5 2" xfId="0"/>
    <cellStyle name="60% - Accent6 4 6" xfId="0"/>
    <cellStyle name="60% - Accent6 4 7" xfId="0"/>
    <cellStyle name="60% - Accent6 40" xfId="0"/>
    <cellStyle name="60% - Accent6 41" xfId="0"/>
    <cellStyle name="60% - Accent6 4_Profitability Detail NT$ Sep-12" xfId="0"/>
    <cellStyle name="60% - Accent6 5" xfId="0"/>
    <cellStyle name="60% - Accent6 5 2" xfId="0"/>
    <cellStyle name="60% - Accent6 5 3" xfId="0"/>
    <cellStyle name="60% - Accent6 5 4" xfId="0"/>
    <cellStyle name="60% - Accent6 6" xfId="0"/>
    <cellStyle name="60% - Accent6 6 2" xfId="0"/>
    <cellStyle name="60% - Accent6 7" xfId="0"/>
    <cellStyle name="60% - Accent6 7 2" xfId="0"/>
    <cellStyle name="60% - Accent6 8" xfId="0"/>
    <cellStyle name="60% - Accent6 8 2" xfId="0"/>
    <cellStyle name="60% - Accent6 9" xfId="0"/>
    <cellStyle name="60% - Accent6 9 2" xfId="0"/>
    <cellStyle name="60% - Accent6_ALL inventory onhand data 0912" xfId="0"/>
    <cellStyle name="60% - Akzent1" xfId="0"/>
    <cellStyle name="60% - Akzent1 2" xfId="0"/>
    <cellStyle name="60% - Akzent2" xfId="0"/>
    <cellStyle name="60% - Akzent2 2" xfId="0"/>
    <cellStyle name="60% - Akzent3" xfId="0"/>
    <cellStyle name="60% - Akzent3 2" xfId="0"/>
    <cellStyle name="60% - Akzent4" xfId="0"/>
    <cellStyle name="60% - Akzent4 2" xfId="0"/>
    <cellStyle name="60% - Akzent5" xfId="0"/>
    <cellStyle name="60% - Akzent5 2" xfId="0"/>
    <cellStyle name="60% - Akzent6" xfId="0"/>
    <cellStyle name="60% - Akzent6 2" xfId="0"/>
    <cellStyle name="60% - 强调文字颜色 1" xfId="0"/>
    <cellStyle name="60% - 强调文字颜色 1 2" xfId="0"/>
    <cellStyle name="60% - 强调文字颜色 2" xfId="0"/>
    <cellStyle name="60% - 强调文字颜色 2 2" xfId="0"/>
    <cellStyle name="60% - 强调文字颜色 3" xfId="0"/>
    <cellStyle name="60% - 强调文字颜色 3 2" xfId="0"/>
    <cellStyle name="60% - 强调文字颜色 4" xfId="0"/>
    <cellStyle name="60% - 强调文字颜色 4 2" xfId="0"/>
    <cellStyle name="60% - 强调文字颜色 5" xfId="0"/>
    <cellStyle name="60% - 强调文字颜色 5 2" xfId="0"/>
    <cellStyle name="60% - 强调文字颜色 6" xfId="0"/>
    <cellStyle name="60% - 强调文字颜色 6 2" xfId="0"/>
    <cellStyle name="60% - 輔色1 2" xfId="0"/>
    <cellStyle name="60% - 輔色1 2 2" xfId="0"/>
    <cellStyle name="60% - 輔色1 2 3" xfId="0"/>
    <cellStyle name="60% - 輔色1 3" xfId="0"/>
    <cellStyle name="60% - 輔色2 2" xfId="0"/>
    <cellStyle name="60% - 輔色2 2 2" xfId="0"/>
    <cellStyle name="60% - 輔色2 2 3" xfId="0"/>
    <cellStyle name="60% - 輔色2 3" xfId="0"/>
    <cellStyle name="60% - 輔色3 2" xfId="0"/>
    <cellStyle name="60% - 輔色3 2 2" xfId="0"/>
    <cellStyle name="60% - 輔色3 2 3" xfId="0"/>
    <cellStyle name="60% - 輔色3 3" xfId="0"/>
    <cellStyle name="60% - 輔色4 2" xfId="0"/>
    <cellStyle name="60% - 輔色4 2 2" xfId="0"/>
    <cellStyle name="60% - 輔色4 2 3" xfId="0"/>
    <cellStyle name="60% - 輔色4 3" xfId="0"/>
    <cellStyle name="60% - 輔色5 2" xfId="0"/>
    <cellStyle name="60% - 輔色5 2 2" xfId="0"/>
    <cellStyle name="60% - 輔色5 2 3" xfId="0"/>
    <cellStyle name="60% - 輔色5 3" xfId="0"/>
    <cellStyle name="60% - 輔色6 2" xfId="0"/>
    <cellStyle name="60% - 輔色6 2 2" xfId="0"/>
    <cellStyle name="60% - 輔色6 2 3" xfId="0"/>
    <cellStyle name="60% - 輔色6 3" xfId="0"/>
    <cellStyle name="60 % - Accent1" xfId="0"/>
    <cellStyle name="60 % - Accent1 2" xfId="0"/>
    <cellStyle name="60 % - Accent2" xfId="0"/>
    <cellStyle name="60 % - Accent2 2" xfId="0"/>
    <cellStyle name="60 % - Accent3" xfId="0"/>
    <cellStyle name="60 % - Accent3 2" xfId="0"/>
    <cellStyle name="60 % - Accent4" xfId="0"/>
    <cellStyle name="60 % - Accent4 2" xfId="0"/>
    <cellStyle name="60 % - Accent5" xfId="0"/>
    <cellStyle name="60 % - Accent5 2" xfId="0"/>
    <cellStyle name="60 % - Accent6" xfId="0"/>
    <cellStyle name="60 % - Accent6 2" xfId="0"/>
    <cellStyle name="?" xfId="0"/>
    <cellStyle name="? 2" xfId="0"/>
    <cellStyle name="?_Lenovo CLI Ramp up Plan-0813 的 工作表" xfId="0"/>
    <cellStyle name="?_Lenovo CLI Ramp up Plan-0813 的 工作表 2" xfId="0"/>
    <cellStyle name="?_Lenovo CLI Ramp up Plan-0813 的 工作表_13-wk VSI_Revised" xfId="0"/>
    <cellStyle name="?_Lenovo CLI Ramp up Plan-0813 的 工作表_13-wk VSI_Revised 2" xfId="0"/>
    <cellStyle name="?_Lenovo CLI Ramp up Plan-0813 的 工作表_WMR VSI" xfId="0"/>
    <cellStyle name="?_Lenovo CLI Ramp up Plan-0813 的 工作表_WMR VSI 2" xfId="0"/>
    <cellStyle name="_03-Dec-2010" xfId="0"/>
    <cellStyle name="_03-Dec-2010 2" xfId="0"/>
    <cellStyle name="_041129 WMR_VSI" xfId="0"/>
    <cellStyle name="_041129 WMR_VSI 2" xfId="0"/>
    <cellStyle name="_041129 WMR_VSI 2 2" xfId="0"/>
    <cellStyle name="_041129 WMR_VSI 3" xfId="0"/>
    <cellStyle name="_041129 WMR_VSI_050121 WMR_VSC" xfId="0"/>
    <cellStyle name="_041129 WMR_VSI_050121 WMR_VSC 2" xfId="0"/>
    <cellStyle name="_041129 WMR_VSI_050121 WMR_VSC_080822 WMR-VSC" xfId="0"/>
    <cellStyle name="_041129 WMR_VSI_050121 WMR_VSC_080822 WMR-VSC 2" xfId="0"/>
    <cellStyle name="_041129 WMR_VSI_050121 WMR_VSC_080829 WMR" xfId="0"/>
    <cellStyle name="_041129 WMR_VSI_050121 WMR_VSC_080829 WMR 2" xfId="0"/>
    <cellStyle name="_041129 WMR_VSI_050121 WMR_VSC_080905 WMR-VSC" xfId="0"/>
    <cellStyle name="_041129 WMR_VSI_050121 WMR_VSC_080905 WMR-VSC 2" xfId="0"/>
    <cellStyle name="_041129 WMR_VSI_050121 WMR_VSC_080912 WMR-VSC" xfId="0"/>
    <cellStyle name="_041129 WMR_VSI_050121 WMR_VSC_080912 WMR-VSC 2" xfId="0"/>
    <cellStyle name="_041129 WMR_VSI_050121 WMR_VSC_080919 WMR-VSC" xfId="0"/>
    <cellStyle name="_041129 WMR_VSI_050121 WMR_VSC_080919 WMR-VSC 2" xfId="0"/>
    <cellStyle name="_041129 WMR_VSI_050121 WMR_VSC_080926 WMR-VSC" xfId="0"/>
    <cellStyle name="_041129 WMR_VSI_050121 WMR_VSC_080926 WMR-VSC 2" xfId="0"/>
    <cellStyle name="_041129 WMR_VSI_050121 WMR_VSC_081003 WMR-VSC_1" xfId="0"/>
    <cellStyle name="_041129 WMR_VSI_050121 WMR_VSC_081003 WMR-VSC_1 2" xfId="0"/>
    <cellStyle name="_041129 WMR_VSI_050121 WMR_VSC_081010 WMR-VSC" xfId="0"/>
    <cellStyle name="_041129 WMR_VSI_050121 WMR_VSC_081010 WMR-VSC 2" xfId="0"/>
    <cellStyle name="_041129 WMR_VSI_050121 WMR_VSC_081017 WMR-VSC_1" xfId="0"/>
    <cellStyle name="_041129 WMR_VSI_050121 WMR_VSC_081017 WMR-VSC_1 2" xfId="0"/>
    <cellStyle name="_041129 WMR_VSI_050121 WMR_VSC_081024 WMR-VSC" xfId="0"/>
    <cellStyle name="_041129 WMR_VSI_050121 WMR_VSC_081024 WMR-VSC 2" xfId="0"/>
    <cellStyle name="_041129 WMR_VSI_050121 WMR_VSC_081031 WMR-VSC" xfId="0"/>
    <cellStyle name="_041129 WMR_VSI_050121 WMR_VSC_081031 WMR-VSC 2" xfId="0"/>
    <cellStyle name="_041129 WMR_VSI_050121 WMR_VSC_081107 WMR-VSC (2)" xfId="0"/>
    <cellStyle name="_041129 WMR_VSI_050121 WMR_VSC_081107 WMR-VSC (2) 2" xfId="0"/>
    <cellStyle name="_041129 WMR_VSI_050121 WMR_VSC_081107 WMR-VSC_1" xfId="0"/>
    <cellStyle name="_041129 WMR_VSI_050121 WMR_VSC_081107 WMR-VSC_1 2" xfId="0"/>
    <cellStyle name="_041129 WMR_VSI_050121 WMR_VSC_081114 WMR-VSC" xfId="0"/>
    <cellStyle name="_041129 WMR_VSI_050121 WMR_VSC_081114 WMR-VSC 2" xfId="0"/>
    <cellStyle name="_041129 WMR_VSI_050121 WMR_VSC_081121 WMR-VSC" xfId="0"/>
    <cellStyle name="_041129 WMR_VSI_050121 WMR_VSC_081121 WMR-VSC 2" xfId="0"/>
    <cellStyle name="_041129 WMR_VSI_050121 WMR_VSC_081128 WMR-VSC" xfId="0"/>
    <cellStyle name="_041129 WMR_VSI_050121 WMR_VSC_081128 WMR-VSC 2" xfId="0"/>
    <cellStyle name="_041129 WMR_VSI_050121 WMR_VSC_081128 WMR-VSC_1" xfId="0"/>
    <cellStyle name="_041129 WMR_VSI_050121 WMR_VSC_081128 WMR-VSC_1 2" xfId="0"/>
    <cellStyle name="_041129 WMR_VSI_050121 WMR_VSC_081205 WMR-VSC" xfId="0"/>
    <cellStyle name="_041129 WMR_VSI_050121 WMR_VSC_081205 WMR-VSC 2" xfId="0"/>
    <cellStyle name="_041129 WMR_VSI_050121 WMR_VSC_081212 WMR-VSC" xfId="0"/>
    <cellStyle name="_041129 WMR_VSI_050121 WMR_VSC_081212 WMR-VSC 2" xfId="0"/>
    <cellStyle name="_041129 WMR_VSI_050121 WMR_VSC_081219 WMR-VSC" xfId="0"/>
    <cellStyle name="_041129 WMR_VSI_050121 WMR_VSC_081219 WMR-VSC 2" xfId="0"/>
    <cellStyle name="_041129 WMR_VSI_050121 WMR_VSC_090102 WMR-VSC" xfId="0"/>
    <cellStyle name="_041129 WMR_VSI_050121 WMR_VSC_090102 WMR-VSC 2" xfId="0"/>
    <cellStyle name="_041129 WMR_VSI_050121 WMR_VSC_090424 WMR_VSE (2)" xfId="0"/>
    <cellStyle name="_041129 WMR_VSI_050121 WMR_VSC_090424 WMR_VSE (2) 2" xfId="0"/>
    <cellStyle name="_041129 WMR_VSI_050121 WMR_VSC_090703 WMR-VSC" xfId="0"/>
    <cellStyle name="_041129 WMR_VSI_050121 WMR_VSC_090703 WMR-VSC 2" xfId="0"/>
    <cellStyle name="_041129 WMR_VSI_050121 WMR_VSC_AP Turn Days old" xfId="0"/>
    <cellStyle name="_041129 WMR_VSI_050121 WMR_VSC_AP Turn Days old 2" xfId="0"/>
    <cellStyle name="_041129 WMR_VSI_050121 WMR_VSC_Cash" xfId="0"/>
    <cellStyle name="_041129 WMR_VSI_050121 WMR_VSC_Cash 2" xfId="0"/>
    <cellStyle name="_041129 WMR_VSI_050121 WMR_VSC_Charts" xfId="0"/>
    <cellStyle name="_041129 WMR_VSI_050121 WMR_VSC_Charts 2" xfId="0"/>
    <cellStyle name="_041129 WMR_VSI_050121 WMR_VSC_Inv Data" xfId="0"/>
    <cellStyle name="_041129 WMR_VSI_050121 WMR_VSC_Inv Data 2" xfId="0"/>
    <cellStyle name="_041129 WMR_VSI_050121 WMR_VSC_Inventory Pivot" xfId="0"/>
    <cellStyle name="_041129 WMR_VSI_050121 WMR_VSC_Inventory Pivot 2" xfId="0"/>
    <cellStyle name="_041129 WMR_VSI_050121 WMR_VSC_NEW WMR" xfId="0"/>
    <cellStyle name="_041129 WMR_VSI_050121 WMR_VSC_NEW WMR 2" xfId="0"/>
    <cellStyle name="_041129 WMR_VSI_050121 WMR_VSC_OpenOrder Data" xfId="0"/>
    <cellStyle name="_041129 WMR_VSI_050121 WMR_VSC_OpenOrder Data 2" xfId="0"/>
    <cellStyle name="_041129 WMR_VSI_050121 WMR_VSC_Revenue % Forecast" xfId="0"/>
    <cellStyle name="_041129 WMR_VSI_050121 WMR_VSC_Revenue % Forecast 2" xfId="0"/>
    <cellStyle name="_041129 WMR_VSI_050121 WMR_VSC_Turn Days" xfId="0"/>
    <cellStyle name="_041129 WMR_VSI_050121 WMR_VSC_Turn Days 2" xfId="0"/>
    <cellStyle name="_041129 WMR_VSI_050121 WMR_VSC_VDL" xfId="0"/>
    <cellStyle name="_041129 WMR_VSI_050121 WMR_VSC_VDL 2" xfId="0"/>
    <cellStyle name="_041129 WMR_VSI_050121 WMR_VSC_VSA" xfId="0"/>
    <cellStyle name="_041129 WMR_VSI_050121 WMR_VSC_VSA 2" xfId="0"/>
    <cellStyle name="_041129 WMR_VSI_050121 WMR_VSC_VSA Cash Flow Model (6-4-07)" xfId="0"/>
    <cellStyle name="_041129 WMR_VSI_050121 WMR_VSC_VSA Cash Flow Model (6-4-07) 2" xfId="0"/>
    <cellStyle name="_041129 WMR_VSI_050121 WMR_VSC_VSACE" xfId="0"/>
    <cellStyle name="_041129 WMR_VSI_050121 WMR_VSC_VSACE 2" xfId="0"/>
    <cellStyle name="_041129 WMR_VSI_050121 WMR_VSC_VSC" xfId="0"/>
    <cellStyle name="_041129 WMR_VSI_050121 WMR_VSC_VSC 2" xfId="0"/>
    <cellStyle name="_041129 WMR_VSI_050121 WMR_VSC_VSCN" xfId="0"/>
    <cellStyle name="_041129 WMR_VSI_050121 WMR_VSC_VSCN 2" xfId="0"/>
    <cellStyle name="_041129 WMR_VSI_050121 WMR_VSC_VSE" xfId="0"/>
    <cellStyle name="_041129 WMR_VSI_050121 WMR_VSC_VSE 2" xfId="0"/>
    <cellStyle name="_041129 WMR_VSI_050121 WMR_VSC_VSE WMR Workbook 08-07-09" xfId="0"/>
    <cellStyle name="_041129 WMR_VSI_050121 WMR_VSC_VSE WMR Workbook 08-07-09 2" xfId="0"/>
    <cellStyle name="_041129 WMR_VSI_050121 WMR_VSC_VSE WMR Workbook 11-19-10" xfId="0"/>
    <cellStyle name="_041129 WMR_VSI_050121 WMR_VSC_VSE WMR Workbook 11-19-10 2" xfId="0"/>
    <cellStyle name="_041129 WMR_VSI_050121 WMR_VSC_VSE WMR Workbook 12-31-10" xfId="0"/>
    <cellStyle name="_041129 WMR_VSI_050121 WMR_VSC_VSE WMR Workbook 12-31-10 2" xfId="0"/>
    <cellStyle name="_041129 WMR_VSI_050121 WMR_VSC_VSI" xfId="0"/>
    <cellStyle name="_041129 WMR_VSI_050121 WMR_VSC_VSI 2" xfId="0"/>
    <cellStyle name="_041129 WMR_VSI_050121 WMR_VSC_WMR" xfId="0"/>
    <cellStyle name="_041129 WMR_VSI_050121 WMR_VSC_WMR (by QTY)" xfId="0"/>
    <cellStyle name="_041129 WMR_VSI_050121 WMR_VSC_WMR (by QTY) 2" xfId="0"/>
    <cellStyle name="_041129 WMR_VSI_050121 WMR_VSC_WMR 2" xfId="0"/>
    <cellStyle name="_041129 WMR_VSI_050121 WMR_VSC_WMR 3" xfId="0"/>
    <cellStyle name="_041129 WMR_VSI_050121 WMR_VSC_WMR 4" xfId="0"/>
    <cellStyle name="_041129 WMR_VSI_050422 WMR_VSC" xfId="0"/>
    <cellStyle name="_041129 WMR_VSI_050422 WMR_VSC 2" xfId="0"/>
    <cellStyle name="_041129 WMR_VSI_050422 WMR_VSC_080822 WMR-VSC" xfId="0"/>
    <cellStyle name="_041129 WMR_VSI_050422 WMR_VSC_080822 WMR-VSC 2" xfId="0"/>
    <cellStyle name="_041129 WMR_VSI_050422 WMR_VSC_080829 WMR" xfId="0"/>
    <cellStyle name="_041129 WMR_VSI_050422 WMR_VSC_080829 WMR 2" xfId="0"/>
    <cellStyle name="_041129 WMR_VSI_050422 WMR_VSC_080905 WMR-VSC" xfId="0"/>
    <cellStyle name="_041129 WMR_VSI_050422 WMR_VSC_080905 WMR-VSC 2" xfId="0"/>
    <cellStyle name="_041129 WMR_VSI_050422 WMR_VSC_080912 WMR-VSC" xfId="0"/>
    <cellStyle name="_041129 WMR_VSI_050422 WMR_VSC_080912 WMR-VSC 2" xfId="0"/>
    <cellStyle name="_041129 WMR_VSI_050422 WMR_VSC_080919 WMR-VSC" xfId="0"/>
    <cellStyle name="_041129 WMR_VSI_050422 WMR_VSC_080919 WMR-VSC 2" xfId="0"/>
    <cellStyle name="_041129 WMR_VSI_050422 WMR_VSC_080926 WMR-VSC" xfId="0"/>
    <cellStyle name="_041129 WMR_VSI_050422 WMR_VSC_080926 WMR-VSC 2" xfId="0"/>
    <cellStyle name="_041129 WMR_VSI_050422 WMR_VSC_081003 WMR-VSC_1" xfId="0"/>
    <cellStyle name="_041129 WMR_VSI_050422 WMR_VSC_081003 WMR-VSC_1 2" xfId="0"/>
    <cellStyle name="_041129 WMR_VSI_050422 WMR_VSC_081010 WMR-VSC" xfId="0"/>
    <cellStyle name="_041129 WMR_VSI_050422 WMR_VSC_081010 WMR-VSC 2" xfId="0"/>
    <cellStyle name="_041129 WMR_VSI_050422 WMR_VSC_081017 WMR-VSC_1" xfId="0"/>
    <cellStyle name="_041129 WMR_VSI_050422 WMR_VSC_081017 WMR-VSC_1 2" xfId="0"/>
    <cellStyle name="_041129 WMR_VSI_050422 WMR_VSC_081024 WMR-VSC" xfId="0"/>
    <cellStyle name="_041129 WMR_VSI_050422 WMR_VSC_081024 WMR-VSC 2" xfId="0"/>
    <cellStyle name="_041129 WMR_VSI_050422 WMR_VSC_081031 WMR-VSC" xfId="0"/>
    <cellStyle name="_041129 WMR_VSI_050422 WMR_VSC_081031 WMR-VSC 2" xfId="0"/>
    <cellStyle name="_041129 WMR_VSI_050422 WMR_VSC_081107 WMR-VSC (2)" xfId="0"/>
    <cellStyle name="_041129 WMR_VSI_050422 WMR_VSC_081107 WMR-VSC (2) 2" xfId="0"/>
    <cellStyle name="_041129 WMR_VSI_050422 WMR_VSC_081107 WMR-VSC_1" xfId="0"/>
    <cellStyle name="_041129 WMR_VSI_050422 WMR_VSC_081107 WMR-VSC_1 2" xfId="0"/>
    <cellStyle name="_041129 WMR_VSI_050422 WMR_VSC_081114 WMR-VSC" xfId="0"/>
    <cellStyle name="_041129 WMR_VSI_050422 WMR_VSC_081114 WMR-VSC 2" xfId="0"/>
    <cellStyle name="_041129 WMR_VSI_050422 WMR_VSC_081121 WMR-VSC" xfId="0"/>
    <cellStyle name="_041129 WMR_VSI_050422 WMR_VSC_081121 WMR-VSC 2" xfId="0"/>
    <cellStyle name="_041129 WMR_VSI_050422 WMR_VSC_081128 WMR-VSC" xfId="0"/>
    <cellStyle name="_041129 WMR_VSI_050422 WMR_VSC_081128 WMR-VSC 2" xfId="0"/>
    <cellStyle name="_041129 WMR_VSI_050422 WMR_VSC_081128 WMR-VSC_1" xfId="0"/>
    <cellStyle name="_041129 WMR_VSI_050422 WMR_VSC_081128 WMR-VSC_1 2" xfId="0"/>
    <cellStyle name="_041129 WMR_VSI_050422 WMR_VSC_081205 WMR-VSC" xfId="0"/>
    <cellStyle name="_041129 WMR_VSI_050422 WMR_VSC_081205 WMR-VSC 2" xfId="0"/>
    <cellStyle name="_041129 WMR_VSI_050422 WMR_VSC_081212 WMR-VSC" xfId="0"/>
    <cellStyle name="_041129 WMR_VSI_050422 WMR_VSC_081212 WMR-VSC 2" xfId="0"/>
    <cellStyle name="_041129 WMR_VSI_050422 WMR_VSC_081219 WMR-VSC" xfId="0"/>
    <cellStyle name="_041129 WMR_VSI_050422 WMR_VSC_081219 WMR-VSC 2" xfId="0"/>
    <cellStyle name="_041129 WMR_VSI_050422 WMR_VSC_090102 WMR-VSC" xfId="0"/>
    <cellStyle name="_041129 WMR_VSI_050422 WMR_VSC_090102 WMR-VSC 2" xfId="0"/>
    <cellStyle name="_041129 WMR_VSI_050422 WMR_VSC_090424 WMR_VSE (2)" xfId="0"/>
    <cellStyle name="_041129 WMR_VSI_050422 WMR_VSC_090424 WMR_VSE (2) 2" xfId="0"/>
    <cellStyle name="_041129 WMR_VSI_050422 WMR_VSC_090703 WMR-VSC" xfId="0"/>
    <cellStyle name="_041129 WMR_VSI_050422 WMR_VSC_090703 WMR-VSC 2" xfId="0"/>
    <cellStyle name="_041129 WMR_VSI_050422 WMR_VSC_AP Turn Days old" xfId="0"/>
    <cellStyle name="_041129 WMR_VSI_050422 WMR_VSC_AP Turn Days old 2" xfId="0"/>
    <cellStyle name="_041129 WMR_VSI_050422 WMR_VSC_Cash" xfId="0"/>
    <cellStyle name="_041129 WMR_VSI_050422 WMR_VSC_Cash 2" xfId="0"/>
    <cellStyle name="_041129 WMR_VSI_050422 WMR_VSC_Charts" xfId="0"/>
    <cellStyle name="_041129 WMR_VSI_050422 WMR_VSC_Charts 2" xfId="0"/>
    <cellStyle name="_041129 WMR_VSI_050422 WMR_VSC_Inv Data" xfId="0"/>
    <cellStyle name="_041129 WMR_VSI_050422 WMR_VSC_Inv Data 2" xfId="0"/>
    <cellStyle name="_041129 WMR_VSI_050422 WMR_VSC_Inventory Pivot" xfId="0"/>
    <cellStyle name="_041129 WMR_VSI_050422 WMR_VSC_Inventory Pivot 2" xfId="0"/>
    <cellStyle name="_041129 WMR_VSI_050422 WMR_VSC_NEW WMR" xfId="0"/>
    <cellStyle name="_041129 WMR_VSI_050422 WMR_VSC_NEW WMR 2" xfId="0"/>
    <cellStyle name="_041129 WMR_VSI_050422 WMR_VSC_OpenOrder Data" xfId="0"/>
    <cellStyle name="_041129 WMR_VSI_050422 WMR_VSC_OpenOrder Data 2" xfId="0"/>
    <cellStyle name="_041129 WMR_VSI_050422 WMR_VSC_Revenue % Forecast" xfId="0"/>
    <cellStyle name="_041129 WMR_VSI_050422 WMR_VSC_Revenue % Forecast 2" xfId="0"/>
    <cellStyle name="_041129 WMR_VSI_050422 WMR_VSC_Turn Days" xfId="0"/>
    <cellStyle name="_041129 WMR_VSI_050422 WMR_VSC_Turn Days 2" xfId="0"/>
    <cellStyle name="_041129 WMR_VSI_050422 WMR_VSC_VDL" xfId="0"/>
    <cellStyle name="_041129 WMR_VSI_050422 WMR_VSC_VDL 2" xfId="0"/>
    <cellStyle name="_041129 WMR_VSI_050422 WMR_VSC_VSA" xfId="0"/>
    <cellStyle name="_041129 WMR_VSI_050422 WMR_VSC_VSA 2" xfId="0"/>
    <cellStyle name="_041129 WMR_VSI_050422 WMR_VSC_VSA Cash Flow Model (6-4-07)" xfId="0"/>
    <cellStyle name="_041129 WMR_VSI_050422 WMR_VSC_VSA Cash Flow Model (6-4-07) 2" xfId="0"/>
    <cellStyle name="_041129 WMR_VSI_050422 WMR_VSC_VSACE" xfId="0"/>
    <cellStyle name="_041129 WMR_VSI_050422 WMR_VSC_VSACE 2" xfId="0"/>
    <cellStyle name="_041129 WMR_VSI_050422 WMR_VSC_VSC" xfId="0"/>
    <cellStyle name="_041129 WMR_VSI_050422 WMR_VSC_VSC 2" xfId="0"/>
    <cellStyle name="_041129 WMR_VSI_050422 WMR_VSC_VSCN" xfId="0"/>
    <cellStyle name="_041129 WMR_VSI_050422 WMR_VSC_VSCN 2" xfId="0"/>
    <cellStyle name="_041129 WMR_VSI_050422 WMR_VSC_VSE" xfId="0"/>
    <cellStyle name="_041129 WMR_VSI_050422 WMR_VSC_VSE 2" xfId="0"/>
    <cellStyle name="_041129 WMR_VSI_050422 WMR_VSC_VSE WMR Workbook 08-07-09" xfId="0"/>
    <cellStyle name="_041129 WMR_VSI_050422 WMR_VSC_VSE WMR Workbook 08-07-09 2" xfId="0"/>
    <cellStyle name="_041129 WMR_VSI_050422 WMR_VSC_VSE WMR Workbook 11-19-10" xfId="0"/>
    <cellStyle name="_041129 WMR_VSI_050422 WMR_VSC_VSE WMR Workbook 11-19-10 2" xfId="0"/>
    <cellStyle name="_041129 WMR_VSI_050422 WMR_VSC_VSE WMR Workbook 12-31-10" xfId="0"/>
    <cellStyle name="_041129 WMR_VSI_050422 WMR_VSC_VSE WMR Workbook 12-31-10 2" xfId="0"/>
    <cellStyle name="_041129 WMR_VSI_050422 WMR_VSC_VSI" xfId="0"/>
    <cellStyle name="_041129 WMR_VSI_050422 WMR_VSC_VSI 2" xfId="0"/>
    <cellStyle name="_041129 WMR_VSI_050422 WMR_VSC_WMR" xfId="0"/>
    <cellStyle name="_041129 WMR_VSI_050422 WMR_VSC_WMR (by QTY)" xfId="0"/>
    <cellStyle name="_041129 WMR_VSI_050422 WMR_VSC_WMR (by QTY) 2" xfId="0"/>
    <cellStyle name="_041129 WMR_VSI_050422 WMR_VSC_WMR 2" xfId="0"/>
    <cellStyle name="_041129 WMR_VSI_050422 WMR_VSC_WMR 3" xfId="0"/>
    <cellStyle name="_041129 WMR_VSI_050422 WMR_VSC_WMR 4" xfId="0"/>
    <cellStyle name="_041129 WMR_VSI_080606 WMR-VSC" xfId="0"/>
    <cellStyle name="_041129 WMR_VSI_080606 WMR-VSC 2" xfId="0"/>
    <cellStyle name="_041129 WMR_VSI_080606 WMR_VSA" xfId="0"/>
    <cellStyle name="_041129 WMR_VSI_080606 WMR_VSA 2" xfId="0"/>
    <cellStyle name="_041129 WMR_VSI_080606 WMR_VSA Template_POS 5weeks" xfId="0"/>
    <cellStyle name="_041129 WMR_VSI_080606 WMR_VSA Template_POS 5weeks 2" xfId="0"/>
    <cellStyle name="_041129 WMR_VSI_080613 new WMR_VSCN" xfId="0"/>
    <cellStyle name="_041129 WMR_VSI_080613 new WMR_VSCN 2" xfId="0"/>
    <cellStyle name="_041129 WMR_VSI_080620 VSE-WMR" xfId="0"/>
    <cellStyle name="_041129 WMR_VSI_080620 VSE-WMR 2" xfId="0"/>
    <cellStyle name="_041129 WMR_VSI_080822 WMR-VSC" xfId="0"/>
    <cellStyle name="_041129 WMR_VSI_080822 WMR-VSC 2" xfId="0"/>
    <cellStyle name="_041129 WMR_VSI_080829 VSI Cash Flow Forecast" xfId="0"/>
    <cellStyle name="_041129 WMR_VSI_080829 VSI Cash Flow Forecast 2" xfId="0"/>
    <cellStyle name="_041129 WMR_VSI_080829 VSI Cash Flow Forecast_VSA Cash Forecast 04-4-10" xfId="0"/>
    <cellStyle name="_041129 WMR_VSI_080829 VSI Cash Flow Forecast_VSA Cash Forecast 04-4-10 2" xfId="0"/>
    <cellStyle name="_041129 WMR_VSI_080829 WMR" xfId="0"/>
    <cellStyle name="_041129 WMR_VSI_080829 WMR 2" xfId="0"/>
    <cellStyle name="_041129 WMR_VSI_080905 WMR-VSC" xfId="0"/>
    <cellStyle name="_041129 WMR_VSI_080905 WMR-VSC 2" xfId="0"/>
    <cellStyle name="_041129 WMR_VSI_080912 WMR-VSC" xfId="0"/>
    <cellStyle name="_041129 WMR_VSI_080912 WMR-VSC 2" xfId="0"/>
    <cellStyle name="_041129 WMR_VSI_080919 WMR-VSC" xfId="0"/>
    <cellStyle name="_041129 WMR_VSI_080919 WMR-VSC 2" xfId="0"/>
    <cellStyle name="_041129 WMR_VSI_080926 WMR-VSC" xfId="0"/>
    <cellStyle name="_041129 WMR_VSI_080926 WMR-VSC 2" xfId="0"/>
    <cellStyle name="_041129 WMR_VSI_081003 WMR-VSC_1" xfId="0"/>
    <cellStyle name="_041129 WMR_VSI_081003 WMR-VSC_1 2" xfId="0"/>
    <cellStyle name="_041129 WMR_VSI_081003 WMR_VSA" xfId="0"/>
    <cellStyle name="_041129 WMR_VSI_081003 WMR_VSA 2" xfId="0"/>
    <cellStyle name="_041129 WMR_VSI_081010 WMR-VSC" xfId="0"/>
    <cellStyle name="_041129 WMR_VSI_081010 WMR-VSC 2" xfId="0"/>
    <cellStyle name="_041129 WMR_VSI_081017 WMR-VSC_1" xfId="0"/>
    <cellStyle name="_041129 WMR_VSI_081017 WMR-VSC_1 2" xfId="0"/>
    <cellStyle name="_041129 WMR_VSI_081024 WMR-VSC" xfId="0"/>
    <cellStyle name="_041129 WMR_VSI_081024 WMR-VSC 2" xfId="0"/>
    <cellStyle name="_041129 WMR_VSI_081031 WMR-VSC" xfId="0"/>
    <cellStyle name="_041129 WMR_VSI_081031 WMR-VSC 2" xfId="0"/>
    <cellStyle name="_041129 WMR_VSI_081107 WMR-VSC (2)" xfId="0"/>
    <cellStyle name="_041129 WMR_VSI_081107 WMR-VSC (2) 2" xfId="0"/>
    <cellStyle name="_041129 WMR_VSI_081107 WMR-VSC_1" xfId="0"/>
    <cellStyle name="_041129 WMR_VSI_081107 WMR-VSC_1 2" xfId="0"/>
    <cellStyle name="_041129 WMR_VSI_081114 WMR-VSC" xfId="0"/>
    <cellStyle name="_041129 WMR_VSI_081114 WMR-VSC 2" xfId="0"/>
    <cellStyle name="_041129 WMR_VSI_081121 WMR-VSC" xfId="0"/>
    <cellStyle name="_041129 WMR_VSI_081121 WMR-VSC 2" xfId="0"/>
    <cellStyle name="_041129 WMR_VSI_081128 WMR-VSC" xfId="0"/>
    <cellStyle name="_041129 WMR_VSI_081128 WMR-VSC 2" xfId="0"/>
    <cellStyle name="_041129 WMR_VSI_081128 WMR-VSC_1" xfId="0"/>
    <cellStyle name="_041129 WMR_VSI_081128 WMR-VSC_1 2" xfId="0"/>
    <cellStyle name="_041129 WMR_VSI_081205 WMR-VSC" xfId="0"/>
    <cellStyle name="_041129 WMR_VSI_081205 WMR-VSC 2" xfId="0"/>
    <cellStyle name="_041129 WMR_VSI_081212 WMR-VSC" xfId="0"/>
    <cellStyle name="_041129 WMR_VSI_081212 WMR-VSC 2" xfId="0"/>
    <cellStyle name="_041129 WMR_VSI_081219 WMR-VSC" xfId="0"/>
    <cellStyle name="_041129 WMR_VSI_081219 WMR-VSC 2" xfId="0"/>
    <cellStyle name="_041129 WMR_VSI_081226 VSE Cash Flow Forecast-1" xfId="0"/>
    <cellStyle name="_041129 WMR_VSI_081226 VSE Cash Flow Forecast-1 2" xfId="0"/>
    <cellStyle name="_041129 WMR_VSI_090102 WMR-VSC" xfId="0"/>
    <cellStyle name="_041129 WMR_VSI_090102 WMR-VSC 2" xfId="0"/>
    <cellStyle name="_041129 WMR_VSI_090102 WMR_VSA" xfId="0"/>
    <cellStyle name="_041129 WMR_VSI_090102 WMR_VSA 2" xfId="0"/>
    <cellStyle name="_041129 WMR_VSI_090424 WMR_VSA-Template" xfId="0"/>
    <cellStyle name="_041129 WMR_VSI_090424 WMR_VSA-Template (2)" xfId="0"/>
    <cellStyle name="_041129 WMR_VSI_090424 WMR_VSA-Template (2) 2" xfId="0"/>
    <cellStyle name="_041129 WMR_VSI_090424 WMR_VSA-Template 2" xfId="0"/>
    <cellStyle name="_041129 WMR_VSI_090424 WMR_VSA-Template 3" xfId="0"/>
    <cellStyle name="_041129 WMR_VSI_090424 WMR_VSA-Template 4" xfId="0"/>
    <cellStyle name="_041129 WMR_VSI_090424 WMR_VSE (2)" xfId="0"/>
    <cellStyle name="_041129 WMR_VSI_090424 WMR_VSE (2) 2" xfId="0"/>
    <cellStyle name="_041129 WMR_VSI_090703 WMR-VSC" xfId="0"/>
    <cellStyle name="_041129 WMR_VSI_090703 WMR-VSC 2" xfId="0"/>
    <cellStyle name="_041129 WMR_VSI_1" xfId="0"/>
    <cellStyle name="_041129 WMR_VSI_1 2" xfId="0"/>
    <cellStyle name="_041129 WMR_VSI_100305 VSE Cash Flow Forecast_Draft" xfId="0"/>
    <cellStyle name="_041129 WMR_VSI_100305 VSE Cash Flow Forecast_Draft 2" xfId="0"/>
    <cellStyle name="_041129 WMR_VSI_13-wk VSA_Revised" xfId="0"/>
    <cellStyle name="_041129 WMR_VSI_13-wk VSA_Revised 2" xfId="0"/>
    <cellStyle name="_041129 WMR_VSI_13-wk VSCN Revised" xfId="0"/>
    <cellStyle name="_041129 WMR_VSI_13-wk VSCN Revised 2" xfId="0"/>
    <cellStyle name="_041129 WMR_VSI_13-wk VSCN_Revised" xfId="0"/>
    <cellStyle name="_041129 WMR_VSI_13-wk VSCN_Revised 2" xfId="0"/>
    <cellStyle name="_041129 WMR_VSI_13-wk VSE - Old" xfId="0"/>
    <cellStyle name="_041129 WMR_VSI_13-wk VSE - Old 2" xfId="0"/>
    <cellStyle name="_041129 WMR_VSI_13-wk VSE Revised" xfId="0"/>
    <cellStyle name="_041129 WMR_VSI_13-wk VSE Revised 2" xfId="0"/>
    <cellStyle name="_041129 WMR_VSI_13-wk VSE_Revised" xfId="0"/>
    <cellStyle name="_041129 WMR_VSI_13-wk VSE_Revised 2" xfId="0"/>
    <cellStyle name="_041129 WMR_VSI_13-wk VSI Revised" xfId="0"/>
    <cellStyle name="_041129 WMR_VSI_13-wk VSI Revised 2" xfId="0"/>
    <cellStyle name="_041129 WMR_VSI_13-wk VSI_Revised" xfId="0"/>
    <cellStyle name="_041129 WMR_VSI_13-wk VSI_Revised 2" xfId="0"/>
    <cellStyle name="_041129 WMR_VSI_20081107 VSI Cash Flow Forecast" xfId="0"/>
    <cellStyle name="_041129 WMR_VSI_20081107 VSI Cash Flow Forecast 2" xfId="0"/>
    <cellStyle name="_041129 WMR_VSI_All Regions WMR Definitions - Updated 7-27-07" xfId="0"/>
    <cellStyle name="_041129 WMR_VSI_All Regions WMR Definitions - Updated 7-27-07 (3)" xfId="0"/>
    <cellStyle name="_041129 WMR_VSI_All Regions WMR Definitions - Updated 7-27-07 (3) 2" xfId="0"/>
    <cellStyle name="_041129 WMR_VSI_All Regions WMR Definitions - Updated 7-27-07 2" xfId="0"/>
    <cellStyle name="_041129 WMR_VSI_All Regions WMR Definitions - Updated 7-27-07 3" xfId="0"/>
    <cellStyle name="_041129 WMR_VSI_All Regions WMR Definitions - Updated 7-27-07 4" xfId="0"/>
    <cellStyle name="_041129 WMR_VSI_AP Turn Days old" xfId="0"/>
    <cellStyle name="_041129 WMR_VSI_AP Turn Days old 2" xfId="0"/>
    <cellStyle name="_041129 WMR_VSI_AP Vendors" xfId="0"/>
    <cellStyle name="_041129 WMR_VSI_AP Vendors 2" xfId="0"/>
    <cellStyle name="_041129 WMR_VSI_Buy Plan adj" xfId="0"/>
    <cellStyle name="_041129 WMR_VSI_Buy Plan adj 2" xfId="0"/>
    <cellStyle name="_041129 WMR_VSI_Buy plan From DSB" xfId="0"/>
    <cellStyle name="_041129 WMR_VSI_Buy plan From DSB 2" xfId="0"/>
    <cellStyle name="_041129 WMR_VSI_Buy Plan raw " xfId="0"/>
    <cellStyle name="_041129 WMR_VSI_Buy Plan raw  2" xfId="0"/>
    <cellStyle name="_041129 WMR_VSI_Cash" xfId="0"/>
    <cellStyle name="_041129 WMR_VSI_Cash 2" xfId="0"/>
    <cellStyle name="_041129 WMR_VSI_Charts" xfId="0"/>
    <cellStyle name="_041129 WMR_VSI_Charts 2" xfId="0"/>
    <cellStyle name="_041129 WMR_VSI_DCR" xfId="0"/>
    <cellStyle name="_041129 WMR_VSI_DCR 2" xfId="0"/>
    <cellStyle name="_041129 WMR_VSI_DCR Trend Chart" xfId="0"/>
    <cellStyle name="_041129 WMR_VSI_DCR Trend Chart 2" xfId="0"/>
    <cellStyle name="_041129 WMR_VSI_DSB &amp; Actuals" xfId="0"/>
    <cellStyle name="_041129 WMR_VSI_DSB &amp; Actuals 2" xfId="0"/>
    <cellStyle name="_041129 WMR_VSI_DSB vs On water chart" xfId="0"/>
    <cellStyle name="_041129 WMR_VSI_DSB vs On water chart 2" xfId="0"/>
    <cellStyle name="_041129 WMR_VSI_DSBvsWFP" xfId="0"/>
    <cellStyle name="_041129 WMR_VSI_DSBvsWFP 2" xfId="0"/>
    <cellStyle name="_041129 WMR_VSI_Innolux Display Corporation" xfId="0"/>
    <cellStyle name="_041129 WMR_VSI_Innolux Display Corporation 2" xfId="0"/>
    <cellStyle name="_041129 WMR_VSI_Inv Data" xfId="0"/>
    <cellStyle name="_041129 WMR_VSI_Inv Data 2" xfId="0"/>
    <cellStyle name="_041129 WMR_VSI_Inventory Cashflow" xfId="0"/>
    <cellStyle name="_041129 WMR_VSI_Inventory Cashflow 2" xfId="0"/>
    <cellStyle name="_041129 WMR_VSI_Inventory Pivot" xfId="0"/>
    <cellStyle name="_041129 WMR_VSI_Inventory Pivot 2" xfId="0"/>
    <cellStyle name="_041129 WMR_VSI_Invoice" xfId="0"/>
    <cellStyle name="_041129 WMR_VSI_Invoice 2" xfId="0"/>
    <cellStyle name="_041129 WMR_VSI_J &amp; W Technology Ltd" xfId="0"/>
    <cellStyle name="_041129 WMR_VSI_J &amp; W Technology Ltd 2" xfId="0"/>
    <cellStyle name="_041129 WMR_VSI_New Calculation of Inventory turn day" xfId="0"/>
    <cellStyle name="_041129 WMR_VSI_New Calculation of Inventory turn day 2" xfId="0"/>
    <cellStyle name="_041129 WMR_VSI_new WMR" xfId="0"/>
    <cellStyle name="_041129 WMR_VSI_new WMR 2" xfId="0"/>
    <cellStyle name="_041129 WMR_VSI_new WMR_080822 WMR-VSC" xfId="0"/>
    <cellStyle name="_041129 WMR_VSI_new WMR_080822 WMR-VSC 2" xfId="0"/>
    <cellStyle name="_041129 WMR_VSI_new WMR_080829 WMR" xfId="0"/>
    <cellStyle name="_041129 WMR_VSI_new WMR_080829 WMR 2" xfId="0"/>
    <cellStyle name="_041129 WMR_VSI_new WMR_080905 WMR-VSC" xfId="0"/>
    <cellStyle name="_041129 WMR_VSI_new WMR_080905 WMR-VSC 2" xfId="0"/>
    <cellStyle name="_041129 WMR_VSI_new WMR_080912 WMR-VSC" xfId="0"/>
    <cellStyle name="_041129 WMR_VSI_new WMR_080912 WMR-VSC 2" xfId="0"/>
    <cellStyle name="_041129 WMR_VSI_new WMR_080919 WMR-VSC" xfId="0"/>
    <cellStyle name="_041129 WMR_VSI_new WMR_080919 WMR-VSC 2" xfId="0"/>
    <cellStyle name="_041129 WMR_VSI_new WMR_080926 WMR-VSC" xfId="0"/>
    <cellStyle name="_041129 WMR_VSI_new WMR_080926 WMR-VSC 2" xfId="0"/>
    <cellStyle name="_041129 WMR_VSI_new WMR_081003 WMR-VSC_1" xfId="0"/>
    <cellStyle name="_041129 WMR_VSI_new WMR_081003 WMR-VSC_1 2" xfId="0"/>
    <cellStyle name="_041129 WMR_VSI_new WMR_081010 WMR-VSC" xfId="0"/>
    <cellStyle name="_041129 WMR_VSI_new WMR_081010 WMR-VSC 2" xfId="0"/>
    <cellStyle name="_041129 WMR_VSI_new WMR_081017 WMR-VSC_1" xfId="0"/>
    <cellStyle name="_041129 WMR_VSI_new WMR_081017 WMR-VSC_1 2" xfId="0"/>
    <cellStyle name="_041129 WMR_VSI_new WMR_081024 WMR-VSC" xfId="0"/>
    <cellStyle name="_041129 WMR_VSI_new WMR_081024 WMR-VSC 2" xfId="0"/>
    <cellStyle name="_041129 WMR_VSI_new WMR_081031 WMR-VSC" xfId="0"/>
    <cellStyle name="_041129 WMR_VSI_new WMR_081031 WMR-VSC 2" xfId="0"/>
    <cellStyle name="_041129 WMR_VSI_new WMR_081107 WMR-VSC (2)" xfId="0"/>
    <cellStyle name="_041129 WMR_VSI_new WMR_081107 WMR-VSC (2) 2" xfId="0"/>
    <cellStyle name="_041129 WMR_VSI_new WMR_081107 WMR-VSC_1" xfId="0"/>
    <cellStyle name="_041129 WMR_VSI_new WMR_081107 WMR-VSC_1 2" xfId="0"/>
    <cellStyle name="_041129 WMR_VSI_new WMR_081114 WMR-VSC" xfId="0"/>
    <cellStyle name="_041129 WMR_VSI_new WMR_081114 WMR-VSC 2" xfId="0"/>
    <cellStyle name="_041129 WMR_VSI_new WMR_081121 WMR-VSC" xfId="0"/>
    <cellStyle name="_041129 WMR_VSI_new WMR_081121 WMR-VSC 2" xfId="0"/>
    <cellStyle name="_041129 WMR_VSI_new WMR_081128 WMR-VSC" xfId="0"/>
    <cellStyle name="_041129 WMR_VSI_new WMR_081128 WMR-VSC 2" xfId="0"/>
    <cellStyle name="_041129 WMR_VSI_new WMR_081128 WMR-VSC_1" xfId="0"/>
    <cellStyle name="_041129 WMR_VSI_new WMR_081128 WMR-VSC_1 2" xfId="0"/>
    <cellStyle name="_041129 WMR_VSI_new WMR_081205 WMR-VSC" xfId="0"/>
    <cellStyle name="_041129 WMR_VSI_new WMR_081205 WMR-VSC 2" xfId="0"/>
    <cellStyle name="_041129 WMR_VSI_new WMR_081212 WMR-VSC" xfId="0"/>
    <cellStyle name="_041129 WMR_VSI_new WMR_081212 WMR-VSC 2" xfId="0"/>
    <cellStyle name="_041129 WMR_VSI_new WMR_081219 WMR-VSC" xfId="0"/>
    <cellStyle name="_041129 WMR_VSI_new WMR_081219 WMR-VSC 2" xfId="0"/>
    <cellStyle name="_041129 WMR_VSI_new WMR_090102 WMR-VSC" xfId="0"/>
    <cellStyle name="_041129 WMR_VSI_new WMR_090102 WMR-VSC 2" xfId="0"/>
    <cellStyle name="_041129 WMR_VSI_new WMR_090424 WMR_VSE (2)" xfId="0"/>
    <cellStyle name="_041129 WMR_VSI_new WMR_090424 WMR_VSE (2) 2" xfId="0"/>
    <cellStyle name="_041129 WMR_VSI_new WMR_090703 WMR-VSC" xfId="0"/>
    <cellStyle name="_041129 WMR_VSI_new WMR_090703 WMR-VSC 2" xfId="0"/>
    <cellStyle name="_041129 WMR_VSI_NEW WMR_1" xfId="0"/>
    <cellStyle name="_041129 WMR_VSI_NEW WMR_1 2" xfId="0"/>
    <cellStyle name="_041129 WMR_VSI_new WMR_AP Turn Days old" xfId="0"/>
    <cellStyle name="_041129 WMR_VSI_new WMR_AP Turn Days old 2" xfId="0"/>
    <cellStyle name="_041129 WMR_VSI_new WMR_Cash" xfId="0"/>
    <cellStyle name="_041129 WMR_VSI_new WMR_Cash 2" xfId="0"/>
    <cellStyle name="_041129 WMR_VSI_new WMR_Charts" xfId="0"/>
    <cellStyle name="_041129 WMR_VSI_new WMR_Charts 2" xfId="0"/>
    <cellStyle name="_041129 WMR_VSI_new WMR_Inv Data" xfId="0"/>
    <cellStyle name="_041129 WMR_VSI_new WMR_Inv Data 2" xfId="0"/>
    <cellStyle name="_041129 WMR_VSI_new WMR_Inventory Pivot" xfId="0"/>
    <cellStyle name="_041129 WMR_VSI_new WMR_Inventory Pivot 2" xfId="0"/>
    <cellStyle name="_041129 WMR_VSI_new WMR_NEW WMR" xfId="0"/>
    <cellStyle name="_041129 WMR_VSI_new WMR_NEW WMR 2" xfId="0"/>
    <cellStyle name="_041129 WMR_VSI_new WMR_OpenOrder Data" xfId="0"/>
    <cellStyle name="_041129 WMR_VSI_new WMR_OpenOrder Data 2" xfId="0"/>
    <cellStyle name="_041129 WMR_VSI_new WMR_Revenue % Forecast" xfId="0"/>
    <cellStyle name="_041129 WMR_VSI_new WMR_Revenue % Forecast 2" xfId="0"/>
    <cellStyle name="_041129 WMR_VSI_new WMR_Turn Days" xfId="0"/>
    <cellStyle name="_041129 WMR_VSI_new WMR_Turn Days 2" xfId="0"/>
    <cellStyle name="_041129 WMR_VSI_new WMR_VDL" xfId="0"/>
    <cellStyle name="_041129 WMR_VSI_new WMR_VDL 2" xfId="0"/>
    <cellStyle name="_041129 WMR_VSI_new WMR_VSA" xfId="0"/>
    <cellStyle name="_041129 WMR_VSI_new WMR_VSA 2" xfId="0"/>
    <cellStyle name="_041129 WMR_VSI_new WMR_VSA Cash Flow Model (6-4-07)" xfId="0"/>
    <cellStyle name="_041129 WMR_VSI_new WMR_VSA Cash Flow Model (6-4-07) 2" xfId="0"/>
    <cellStyle name="_041129 WMR_VSI_new WMR_VSACE" xfId="0"/>
    <cellStyle name="_041129 WMR_VSI_new WMR_VSACE 2" xfId="0"/>
    <cellStyle name="_041129 WMR_VSI_new WMR_VSC" xfId="0"/>
    <cellStyle name="_041129 WMR_VSI_new WMR_VSC 2" xfId="0"/>
    <cellStyle name="_041129 WMR_VSI_new WMR_VSCN" xfId="0"/>
    <cellStyle name="_041129 WMR_VSI_new WMR_VSCN 2" xfId="0"/>
    <cellStyle name="_041129 WMR_VSI_new WMR_VSE" xfId="0"/>
    <cellStyle name="_041129 WMR_VSI_new WMR_VSE 2" xfId="0"/>
    <cellStyle name="_041129 WMR_VSI_new WMR_VSE WMR Workbook 08-07-09" xfId="0"/>
    <cellStyle name="_041129 WMR_VSI_new WMR_VSE WMR Workbook 08-07-09 2" xfId="0"/>
    <cellStyle name="_041129 WMR_VSI_new WMR_VSE WMR Workbook 11-19-10" xfId="0"/>
    <cellStyle name="_041129 WMR_VSI_new WMR_VSE WMR Workbook 11-19-10 2" xfId="0"/>
    <cellStyle name="_041129 WMR_VSI_new WMR_VSE WMR Workbook 12-31-10" xfId="0"/>
    <cellStyle name="_041129 WMR_VSI_new WMR_VSE WMR Workbook 12-31-10 2" xfId="0"/>
    <cellStyle name="_041129 WMR_VSI_new WMR_VSI" xfId="0"/>
    <cellStyle name="_041129 WMR_VSI_new WMR_VSI 2" xfId="0"/>
    <cellStyle name="_041129 WMR_VSI_new WMR_WMR" xfId="0"/>
    <cellStyle name="_041129 WMR_VSI_new WMR_WMR (by QTY)" xfId="0"/>
    <cellStyle name="_041129 WMR_VSI_new WMR_WMR (by QTY) 2" xfId="0"/>
    <cellStyle name="_041129 WMR_VSI_new WMR_WMR 2" xfId="0"/>
    <cellStyle name="_041129 WMR_VSI_new WMR_WMR 3" xfId="0"/>
    <cellStyle name="_041129 WMR_VSI_new WMR_WMR 4" xfId="0"/>
    <cellStyle name="_041129 WMR_VSI_OpenOrder Data" xfId="0"/>
    <cellStyle name="_041129 WMR_VSI_OpenOrder Data 2" xfId="0"/>
    <cellStyle name="_041129 WMR_VSI_POS-2009" xfId="0"/>
    <cellStyle name="_041129 WMR_VSI_POS-2009 2" xfId="0"/>
    <cellStyle name="_041129 WMR_VSI_POS_COGS_$" xfId="0"/>
    <cellStyle name="_041129 WMR_VSI_POS_COGS_$ 2" xfId="0"/>
    <cellStyle name="_041129 WMR_VSI_POS_QTY" xfId="0"/>
    <cellStyle name="_041129 WMR_VSI_POS_QTY 2" xfId="0"/>
    <cellStyle name="_041129 WMR_VSI_Reconciliation" xfId="0"/>
    <cellStyle name="_041129 WMR_VSI_Reconciliation 2" xfId="0"/>
    <cellStyle name="_041129 WMR_VSI_Revenue % Forecast" xfId="0"/>
    <cellStyle name="_041129 WMR_VSI_Revenue % Forecast 2" xfId="0"/>
    <cellStyle name="_041129 WMR_VSI_Summary 091023" xfId="0"/>
    <cellStyle name="_041129 WMR_VSI_Summary 091023 2" xfId="0"/>
    <cellStyle name="_041129 WMR_VSI_Summary 091113" xfId="0"/>
    <cellStyle name="_041129 WMR_VSI_Summary 091113 2" xfId="0"/>
    <cellStyle name="_041129 WMR_VSI_Summary 091204" xfId="0"/>
    <cellStyle name="_041129 WMR_VSI_Summary 091204 2" xfId="0"/>
    <cellStyle name="_041129 WMR_VSI_Summary 100115" xfId="0"/>
    <cellStyle name="_041129 WMR_VSI_Summary 100115 2" xfId="0"/>
    <cellStyle name="_041129 WMR_VSI_Summary 100312" xfId="0"/>
    <cellStyle name="_041129 WMR_VSI_Summary 100312 2" xfId="0"/>
    <cellStyle name="_041129 WMR_VSI_Summary 100709" xfId="0"/>
    <cellStyle name="_041129 WMR_VSI_Summary 100709 2" xfId="0"/>
    <cellStyle name="_041129 WMR_VSI_Summary 100723" xfId="0"/>
    <cellStyle name="_041129 WMR_VSI_Summary 100723 2" xfId="0"/>
    <cellStyle name="_041129 WMR_VSI_Summary 100730" xfId="0"/>
    <cellStyle name="_041129 WMR_VSI_Summary 100730 2" xfId="0"/>
    <cellStyle name="_041129 WMR_VSI_Summary 100917" xfId="0"/>
    <cellStyle name="_041129 WMR_VSI_Summary 100917 2" xfId="0"/>
    <cellStyle name="_041129 WMR_VSI_Summary 101001" xfId="0"/>
    <cellStyle name="_041129 WMR_VSI_Summary 101001 2" xfId="0"/>
    <cellStyle name="_041129 WMR_VSI_Summary 101008" xfId="0"/>
    <cellStyle name="_041129 WMR_VSI_Summary 101008 2" xfId="0"/>
    <cellStyle name="_041129 WMR_VSI_Summary 101015" xfId="0"/>
    <cellStyle name="_041129 WMR_VSI_Summary 101015 2" xfId="0"/>
    <cellStyle name="_041129 WMR_VSI_Summary 101029" xfId="0"/>
    <cellStyle name="_041129 WMR_VSI_Summary 101029 2" xfId="0"/>
    <cellStyle name="_041129 WMR_VSI_Topstar" xfId="0"/>
    <cellStyle name="_041129 WMR_VSI_Topstar 2" xfId="0"/>
    <cellStyle name="_041129 WMR_VSI_TT" xfId="0"/>
    <cellStyle name="_041129 WMR_VSI_TT 2" xfId="0"/>
    <cellStyle name="_041129 WMR_VSI_Turn Days" xfId="0"/>
    <cellStyle name="_041129 WMR_VSI_Turn Days 2" xfId="0"/>
    <cellStyle name="_041129 WMR_VSI_VDL" xfId="0"/>
    <cellStyle name="_041129 WMR_VSI_VDL 2" xfId="0"/>
    <cellStyle name="_041129 WMR_VSI_VSA" xfId="0"/>
    <cellStyle name="_041129 WMR_VSI_VSA 2" xfId="0"/>
    <cellStyle name="_041129 WMR_VSI_VSA Cash Flow Model (6-4-07)" xfId="0"/>
    <cellStyle name="_041129 WMR_VSI_VSA Cash Flow Model (6-4-07) 2" xfId="0"/>
    <cellStyle name="_041129 WMR_VSI_VSA Cash Forecast 03-07-10 (2)" xfId="0"/>
    <cellStyle name="_041129 WMR_VSI_VSA Cash Forecast 03-07-10 (2) 2" xfId="0"/>
    <cellStyle name="_041129 WMR_VSI_VSA Cash Forecast 04-4-10" xfId="0"/>
    <cellStyle name="_041129 WMR_VSI_VSA Cash Forecast 04-4-10 2" xfId="0"/>
    <cellStyle name="_041129 WMR_VSI_VSA CE WMR" xfId="0"/>
    <cellStyle name="_041129 WMR_VSI_VSA CE WMR 101008" xfId="0"/>
    <cellStyle name="_041129 WMR_VSI_VSA CE WMR 101008 2" xfId="0"/>
    <cellStyle name="_041129 WMR_VSI_VSA CE WMR 2" xfId="0"/>
    <cellStyle name="_041129 WMR_VSI_VSACE" xfId="0"/>
    <cellStyle name="_041129 WMR_VSI_VSACE 2" xfId="0"/>
    <cellStyle name="_041129 WMR_VSI_VSC" xfId="0"/>
    <cellStyle name="_041129 WMR_VSI_VSC 2" xfId="0"/>
    <cellStyle name="_041129 WMR_VSI_VSCN" xfId="0"/>
    <cellStyle name="_041129 WMR_VSI_VSCN 2" xfId="0"/>
    <cellStyle name="_041129 WMR_VSI_VSE" xfId="0"/>
    <cellStyle name="_041129 WMR_VSI_VSE 2" xfId="0"/>
    <cellStyle name="_041129 WMR_VSI_VSE Cash Forecast 100820_Final" xfId="0"/>
    <cellStyle name="_041129 WMR_VSI_VSE Cash Forecast 100820_Final 2" xfId="0"/>
    <cellStyle name="_041129 WMR_VSI_VSE WMR Workbook 06-13-08" xfId="0"/>
    <cellStyle name="_041129 WMR_VSI_VSE WMR Workbook 06-13-08 2" xfId="0"/>
    <cellStyle name="_041129 WMR_VSI_VSE WMR Workbook 08-07-09" xfId="0"/>
    <cellStyle name="_041129 WMR_VSI_VSE WMR Workbook 08-07-09 2" xfId="0"/>
    <cellStyle name="_041129 WMR_VSI_VSE WMR Workbook 11-19-10" xfId="0"/>
    <cellStyle name="_041129 WMR_VSI_VSE WMR Workbook 11-19-10 2" xfId="0"/>
    <cellStyle name="_041129 WMR_VSI_VSE WMR Workbook 12-31-10" xfId="0"/>
    <cellStyle name="_041129 WMR_VSI_VSE WMR Workbook 12-31-10 2" xfId="0"/>
    <cellStyle name="_041129 WMR_VSI_VSE-WMR 2007" xfId="0"/>
    <cellStyle name="_041129 WMR_VSI_VSE-WMR 2007 2" xfId="0"/>
    <cellStyle name="_041129 WMR_VSI_VSE-WMR 2008_New Value" xfId="0"/>
    <cellStyle name="_041129 WMR_VSI_VSE-WMR 2008_New Value 2" xfId="0"/>
    <cellStyle name="_041129 WMR_VSI_VSI" xfId="0"/>
    <cellStyle name="_041129 WMR_VSI_VSI 2" xfId="0"/>
    <cellStyle name="_041129 WMR_VSI_VSI-WMR" xfId="0"/>
    <cellStyle name="_041129 WMR_VSI_VSI-WMR (2)" xfId="0"/>
    <cellStyle name="_041129 WMR_VSI_VSI-WMR (2) 2" xfId="0"/>
    <cellStyle name="_041129 WMR_VSI_VSI-WMR (4)" xfId="0"/>
    <cellStyle name="_041129 WMR_VSI_VSI-WMR (4) 2" xfId="0"/>
    <cellStyle name="_041129 WMR_VSI_VSI-WMR (5)" xfId="0"/>
    <cellStyle name="_041129 WMR_VSI_VSI-WMR (5) 2" xfId="0"/>
    <cellStyle name="_041129 WMR_VSI_VSI-WMR (6)" xfId="0"/>
    <cellStyle name="_041129 WMR_VSI_VSI-WMR (6) 2" xfId="0"/>
    <cellStyle name="_041129 WMR_VSI_VSI-WMR 10" xfId="0"/>
    <cellStyle name="_041129 WMR_VSI_VSI-WMR 2" xfId="0"/>
    <cellStyle name="_041129 WMR_VSI_VSI-WMR 2007-07-06" xfId="0"/>
    <cellStyle name="_041129 WMR_VSI_VSI-WMR 2007-07-06 2" xfId="0"/>
    <cellStyle name="_041129 WMR_VSI_VSI-WMR 2008-06-13" xfId="0"/>
    <cellStyle name="_041129 WMR_VSI_VSI-WMR 2008-06-13 2" xfId="0"/>
    <cellStyle name="_041129 WMR_VSI_VSI-WMR 2008-06-20" xfId="0"/>
    <cellStyle name="_041129 WMR_VSI_VSI-WMR 2008-06-20 2" xfId="0"/>
    <cellStyle name="_041129 WMR_VSI_VSI-WMR 2008-09-26" xfId="0"/>
    <cellStyle name="_041129 WMR_VSI_VSI-WMR 2008-09-26 2" xfId="0"/>
    <cellStyle name="_041129 WMR_VSI_VSI-WMR 3" xfId="0"/>
    <cellStyle name="_041129 WMR_VSI_VSI-WMR 4" xfId="0"/>
    <cellStyle name="_041129 WMR_VSI_VSI-WMR 5" xfId="0"/>
    <cellStyle name="_041129 WMR_VSI_VSI-WMR 6" xfId="0"/>
    <cellStyle name="_041129 WMR_VSI_VSI-WMR 7" xfId="0"/>
    <cellStyle name="_041129 WMR_VSI_VSI-WMR 8" xfId="0"/>
    <cellStyle name="_041129 WMR_VSI_VSI-WMR 9" xfId="0"/>
    <cellStyle name="_041129 WMR_VSI_VSI-WMR_080822 WMR-VSC" xfId="0"/>
    <cellStyle name="_041129 WMR_VSI_VSI-WMR_080822 WMR-VSC 2" xfId="0"/>
    <cellStyle name="_041129 WMR_VSI_VSI-WMR_080829 WMR" xfId="0"/>
    <cellStyle name="_041129 WMR_VSI_VSI-WMR_080829 WMR 2" xfId="0"/>
    <cellStyle name="_041129 WMR_VSI_VSI-WMR_080905 WMR-VSC" xfId="0"/>
    <cellStyle name="_041129 WMR_VSI_VSI-WMR_080905 WMR-VSC 2" xfId="0"/>
    <cellStyle name="_041129 WMR_VSI_VSI-WMR_080912 WMR-VSC" xfId="0"/>
    <cellStyle name="_041129 WMR_VSI_VSI-WMR_080912 WMR-VSC 2" xfId="0"/>
    <cellStyle name="_041129 WMR_VSI_VSI-WMR_080919 WMR-VSC" xfId="0"/>
    <cellStyle name="_041129 WMR_VSI_VSI-WMR_080919 WMR-VSC 2" xfId="0"/>
    <cellStyle name="_041129 WMR_VSI_VSI-WMR_080926 WMR-VSC" xfId="0"/>
    <cellStyle name="_041129 WMR_VSI_VSI-WMR_080926 WMR-VSC 2" xfId="0"/>
    <cellStyle name="_041129 WMR_VSI_VSI-WMR_081003 WMR-VSC_1" xfId="0"/>
    <cellStyle name="_041129 WMR_VSI_VSI-WMR_081003 WMR-VSC_1 2" xfId="0"/>
    <cellStyle name="_041129 WMR_VSI_VSI-WMR_081010 WMR-VSC" xfId="0"/>
    <cellStyle name="_041129 WMR_VSI_VSI-WMR_081010 WMR-VSC 2" xfId="0"/>
    <cellStyle name="_041129 WMR_VSI_VSI-WMR_081017 WMR-VSC_1" xfId="0"/>
    <cellStyle name="_041129 WMR_VSI_VSI-WMR_081017 WMR-VSC_1 2" xfId="0"/>
    <cellStyle name="_041129 WMR_VSI_VSI-WMR_081024 WMR-VSC" xfId="0"/>
    <cellStyle name="_041129 WMR_VSI_VSI-WMR_081024 WMR-VSC 2" xfId="0"/>
    <cellStyle name="_041129 WMR_VSI_VSI-WMR_081031 WMR-VSC" xfId="0"/>
    <cellStyle name="_041129 WMR_VSI_VSI-WMR_081031 WMR-VSC 2" xfId="0"/>
    <cellStyle name="_041129 WMR_VSI_VSI-WMR_081107 WMR-VSC (2)" xfId="0"/>
    <cellStyle name="_041129 WMR_VSI_VSI-WMR_081107 WMR-VSC (2) 2" xfId="0"/>
    <cellStyle name="_041129 WMR_VSI_VSI-WMR_081107 WMR-VSC_1" xfId="0"/>
    <cellStyle name="_041129 WMR_VSI_VSI-WMR_081107 WMR-VSC_1 2" xfId="0"/>
    <cellStyle name="_041129 WMR_VSI_VSI-WMR_081114 WMR-VSC" xfId="0"/>
    <cellStyle name="_041129 WMR_VSI_VSI-WMR_081114 WMR-VSC 2" xfId="0"/>
    <cellStyle name="_041129 WMR_VSI_VSI-WMR_081121 WMR-VSC" xfId="0"/>
    <cellStyle name="_041129 WMR_VSI_VSI-WMR_081121 WMR-VSC 2" xfId="0"/>
    <cellStyle name="_041129 WMR_VSI_VSI-WMR_081128 WMR-VSC" xfId="0"/>
    <cellStyle name="_041129 WMR_VSI_VSI-WMR_081128 WMR-VSC 2" xfId="0"/>
    <cellStyle name="_041129 WMR_VSI_VSI-WMR_081128 WMR-VSC_1" xfId="0"/>
    <cellStyle name="_041129 WMR_VSI_VSI-WMR_081128 WMR-VSC_1 2" xfId="0"/>
    <cellStyle name="_041129 WMR_VSI_VSI-WMR_081205 WMR-VSC" xfId="0"/>
    <cellStyle name="_041129 WMR_VSI_VSI-WMR_081205 WMR-VSC 2" xfId="0"/>
    <cellStyle name="_041129 WMR_VSI_VSI-WMR_081212 WMR-VSC" xfId="0"/>
    <cellStyle name="_041129 WMR_VSI_VSI-WMR_081212 WMR-VSC 2" xfId="0"/>
    <cellStyle name="_041129 WMR_VSI_VSI-WMR_081219 WMR-VSC" xfId="0"/>
    <cellStyle name="_041129 WMR_VSI_VSI-WMR_081219 WMR-VSC 2" xfId="0"/>
    <cellStyle name="_041129 WMR_VSI_VSI-WMR_090102 WMR-VSC" xfId="0"/>
    <cellStyle name="_041129 WMR_VSI_VSI-WMR_090102 WMR-VSC 2" xfId="0"/>
    <cellStyle name="_041129 WMR_VSI_VSI-WMR_090424 WMR_VSE (2)" xfId="0"/>
    <cellStyle name="_041129 WMR_VSI_VSI-WMR_090424 WMR_VSE (2) 2" xfId="0"/>
    <cellStyle name="_041129 WMR_VSI_VSI-WMR_090703 WMR-VSC" xfId="0"/>
    <cellStyle name="_041129 WMR_VSI_VSI-WMR_090703 WMR-VSC 2" xfId="0"/>
    <cellStyle name="_041129 WMR_VSI_VSI-WMR_AP Turn Days old" xfId="0"/>
    <cellStyle name="_041129 WMR_VSI_VSI-WMR_AP Turn Days old 2" xfId="0"/>
    <cellStyle name="_041129 WMR_VSI_VSI-WMR_Cash" xfId="0"/>
    <cellStyle name="_041129 WMR_VSI_VSI-WMR_Cash 2" xfId="0"/>
    <cellStyle name="_041129 WMR_VSI_VSI-WMR_Charts" xfId="0"/>
    <cellStyle name="_041129 WMR_VSI_VSI-WMR_Charts 2" xfId="0"/>
    <cellStyle name="_041129 WMR_VSI_VSI-WMR_Inv Data" xfId="0"/>
    <cellStyle name="_041129 WMR_VSI_VSI-WMR_Inv Data 2" xfId="0"/>
    <cellStyle name="_041129 WMR_VSI_VSI-WMR_Inventory Pivot" xfId="0"/>
    <cellStyle name="_041129 WMR_VSI_VSI-WMR_Inventory Pivot 2" xfId="0"/>
    <cellStyle name="_041129 WMR_VSI_VSI-WMR_NEW WMR" xfId="0"/>
    <cellStyle name="_041129 WMR_VSI_VSI-WMR_NEW WMR 2" xfId="0"/>
    <cellStyle name="_041129 WMR_VSI_VSI-WMR_OpenOrder Data" xfId="0"/>
    <cellStyle name="_041129 WMR_VSI_VSI-WMR_OpenOrder Data 2" xfId="0"/>
    <cellStyle name="_041129 WMR_VSI_VSI-WMR_Revenue % Forecast" xfId="0"/>
    <cellStyle name="_041129 WMR_VSI_VSI-WMR_Revenue % Forecast 2" xfId="0"/>
    <cellStyle name="_041129 WMR_VSI_VSI-WMR_Turn Days" xfId="0"/>
    <cellStyle name="_041129 WMR_VSI_VSI-WMR_Turn Days 2" xfId="0"/>
    <cellStyle name="_041129 WMR_VSI_VSI-WMR_VDL" xfId="0"/>
    <cellStyle name="_041129 WMR_VSI_VSI-WMR_VDL 2" xfId="0"/>
    <cellStyle name="_041129 WMR_VSI_VSI-WMR_VSA" xfId="0"/>
    <cellStyle name="_041129 WMR_VSI_VSI-WMR_VSA 2" xfId="0"/>
    <cellStyle name="_041129 WMR_VSI_VSI-WMR_VSA Cash Flow Model (6-4-07)" xfId="0"/>
    <cellStyle name="_041129 WMR_VSI_VSI-WMR_VSA Cash Flow Model (6-4-07) 2" xfId="0"/>
    <cellStyle name="_041129 WMR_VSI_VSI-WMR_VSACE" xfId="0"/>
    <cellStyle name="_041129 WMR_VSI_VSI-WMR_VSACE 2" xfId="0"/>
    <cellStyle name="_041129 WMR_VSI_VSI-WMR_VSC" xfId="0"/>
    <cellStyle name="_041129 WMR_VSI_VSI-WMR_VSC 2" xfId="0"/>
    <cellStyle name="_041129 WMR_VSI_VSI-WMR_VSCN" xfId="0"/>
    <cellStyle name="_041129 WMR_VSI_VSI-WMR_VSCN 2" xfId="0"/>
    <cellStyle name="_041129 WMR_VSI_VSI-WMR_VSE" xfId="0"/>
    <cellStyle name="_041129 WMR_VSI_VSI-WMR_VSE 2" xfId="0"/>
    <cellStyle name="_041129 WMR_VSI_VSI-WMR_VSE WMR Workbook 08-07-09" xfId="0"/>
    <cellStyle name="_041129 WMR_VSI_VSI-WMR_VSE WMR Workbook 08-07-09 2" xfId="0"/>
    <cellStyle name="_041129 WMR_VSI_VSI-WMR_VSE WMR Workbook 11-19-10" xfId="0"/>
    <cellStyle name="_041129 WMR_VSI_VSI-WMR_VSE WMR Workbook 11-19-10 2" xfId="0"/>
    <cellStyle name="_041129 WMR_VSI_VSI-WMR_VSE WMR Workbook 12-31-10" xfId="0"/>
    <cellStyle name="_041129 WMR_VSI_VSI-WMR_VSE WMR Workbook 12-31-10 2" xfId="0"/>
    <cellStyle name="_041129 WMR_VSI_VSI-WMR_VSI" xfId="0"/>
    <cellStyle name="_041129 WMR_VSI_VSI-WMR_VSI 2" xfId="0"/>
    <cellStyle name="_041129 WMR_VSI_VSI-WMR_WMR" xfId="0"/>
    <cellStyle name="_041129 WMR_VSI_VSI-WMR_WMR (by QTY)" xfId="0"/>
    <cellStyle name="_041129 WMR_VSI_VSI-WMR_WMR (by QTY) 2" xfId="0"/>
    <cellStyle name="_041129 WMR_VSI_VSI-WMR_WMR 2" xfId="0"/>
    <cellStyle name="_041129 WMR_VSI_VSI-WMR_WMR 3" xfId="0"/>
    <cellStyle name="_041129 WMR_VSI_VSI-WMR_WMR 4" xfId="0"/>
    <cellStyle name="_041129 WMR_VSI_WMR" xfId="0"/>
    <cellStyle name="_041129 WMR_VSI_WMR (by QTY)" xfId="0"/>
    <cellStyle name="_041129 WMR_VSI_WMR (by QTY) 2" xfId="0"/>
    <cellStyle name="_041129 WMR_VSI_WMR 2" xfId="0"/>
    <cellStyle name="_041129 WMR_VSI_WMR 3" xfId="0"/>
    <cellStyle name="_041129 WMR_VSI_WMR 4" xfId="0"/>
    <cellStyle name="_041129 WMR_VSI_WMR Definitions" xfId="0"/>
    <cellStyle name="_041129 WMR_VSI_WMR Definitions 2" xfId="0"/>
    <cellStyle name="_041129 WMR_VSI_WMR VSA" xfId="0"/>
    <cellStyle name="_041129 WMR_VSI_WMR VSA (by Value)" xfId="0"/>
    <cellStyle name="_041129 WMR_VSI_WMR VSA (by Value) 2" xfId="0"/>
    <cellStyle name="_041129 WMR_VSI_WMR VSA 2" xfId="0"/>
    <cellStyle name="_041129 WMR_VSI_WMR VSA 3" xfId="0"/>
    <cellStyle name="_041129 WMR_VSI_WMR VSA 4" xfId="0"/>
    <cellStyle name="_041129 WMR_VSI_WMR VSCN" xfId="0"/>
    <cellStyle name="_041129 WMR_VSI_WMR VSCN (by Value)" xfId="0"/>
    <cellStyle name="_041129 WMR_VSI_WMR VSCN (by Value) 2" xfId="0"/>
    <cellStyle name="_041129 WMR_VSI_WMR VSCN 2" xfId="0"/>
    <cellStyle name="_041129 WMR_VSI_WMR VSCN 3" xfId="0"/>
    <cellStyle name="_041129 WMR_VSI_WMR VSCN 4" xfId="0"/>
    <cellStyle name="_041129 WMR_VSI_WMR VSCN(by Value)" xfId="0"/>
    <cellStyle name="_041129 WMR_VSI_WMR VSCN(by Value) 2" xfId="0"/>
    <cellStyle name="_041129 WMR_VSI_WMR VSE" xfId="0"/>
    <cellStyle name="_041129 WMR_VSI_WMR VSE (by QTY)" xfId="0"/>
    <cellStyle name="_041129 WMR_VSI_WMR VSE (by QTY) 2" xfId="0"/>
    <cellStyle name="_041129 WMR_VSI_WMR VSE (by Value)" xfId="0"/>
    <cellStyle name="_041129 WMR_VSI_WMR VSE (by Value) 2" xfId="0"/>
    <cellStyle name="_041129 WMR_VSI_WMR VSE 2" xfId="0"/>
    <cellStyle name="_041129 WMR_VSI_WMR VSE 3" xfId="0"/>
    <cellStyle name="_041129 WMR_VSI_WMR VSE 4" xfId="0"/>
    <cellStyle name="_041129 WMR_VSI_WMR VSI" xfId="0"/>
    <cellStyle name="_041129 WMR_VSI_WMR VSI (by Value)" xfId="0"/>
    <cellStyle name="_041129 WMR_VSI_WMR VSI (by Value) 2" xfId="0"/>
    <cellStyle name="_041129 WMR_VSI_WMR VSI 2" xfId="0"/>
    <cellStyle name="_041129 WMR_VSI_WMR VSI 3" xfId="0"/>
    <cellStyle name="_041129 WMR_VSI_WMR VSI 4" xfId="0"/>
    <cellStyle name="_041129 WMR_VSI_WMR_VSCN (13 wks history restated)" xfId="0"/>
    <cellStyle name="_041129 WMR_VSI_WMR_VSCN (13 wks history restated) 2" xfId="0"/>
    <cellStyle name="_041129 WMR_VSI_WMR_VSCN (13 wks history restated)_080822 WMR-VSC" xfId="0"/>
    <cellStyle name="_041129 WMR_VSI_WMR_VSCN (13 wks history restated)_080822 WMR-VSC 2" xfId="0"/>
    <cellStyle name="_041129 WMR_VSI_WMR_VSCN (13 wks history restated)_080829 WMR" xfId="0"/>
    <cellStyle name="_041129 WMR_VSI_WMR_VSCN (13 wks history restated)_080829 WMR 2" xfId="0"/>
    <cellStyle name="_041129 WMR_VSI_WMR_VSCN (13 wks history restated)_080905 WMR-VSC" xfId="0"/>
    <cellStyle name="_041129 WMR_VSI_WMR_VSCN (13 wks history restated)_080905 WMR-VSC 2" xfId="0"/>
    <cellStyle name="_041129 WMR_VSI_WMR_VSCN (13 wks history restated)_080912 WMR-VSC" xfId="0"/>
    <cellStyle name="_041129 WMR_VSI_WMR_VSCN (13 wks history restated)_080912 WMR-VSC 2" xfId="0"/>
    <cellStyle name="_041129 WMR_VSI_WMR_VSCN (13 wks history restated)_080919 WMR-VSC" xfId="0"/>
    <cellStyle name="_041129 WMR_VSI_WMR_VSCN (13 wks history restated)_080919 WMR-VSC 2" xfId="0"/>
    <cellStyle name="_041129 WMR_VSI_WMR_VSCN (13 wks history restated)_080926 WMR-VSC" xfId="0"/>
    <cellStyle name="_041129 WMR_VSI_WMR_VSCN (13 wks history restated)_080926 WMR-VSC 2" xfId="0"/>
    <cellStyle name="_041129 WMR_VSI_WMR_VSCN (13 wks history restated)_081003 WMR-VSC_1" xfId="0"/>
    <cellStyle name="_041129 WMR_VSI_WMR_VSCN (13 wks history restated)_081003 WMR-VSC_1 2" xfId="0"/>
    <cellStyle name="_041129 WMR_VSI_WMR_VSCN (13 wks history restated)_081010 WMR-VSC" xfId="0"/>
    <cellStyle name="_041129 WMR_VSI_WMR_VSCN (13 wks history restated)_081010 WMR-VSC 2" xfId="0"/>
    <cellStyle name="_041129 WMR_VSI_WMR_VSCN (13 wks history restated)_081017 WMR-VSC_1" xfId="0"/>
    <cellStyle name="_041129 WMR_VSI_WMR_VSCN (13 wks history restated)_081017 WMR-VSC_1 2" xfId="0"/>
    <cellStyle name="_041129 WMR_VSI_WMR_VSCN (13 wks history restated)_081024 WMR-VSC" xfId="0"/>
    <cellStyle name="_041129 WMR_VSI_WMR_VSCN (13 wks history restated)_081024 WMR-VSC 2" xfId="0"/>
    <cellStyle name="_041129 WMR_VSI_WMR_VSCN (13 wks history restated)_081031 WMR-VSC" xfId="0"/>
    <cellStyle name="_041129 WMR_VSI_WMR_VSCN (13 wks history restated)_081031 WMR-VSC 2" xfId="0"/>
    <cellStyle name="_041129 WMR_VSI_WMR_VSCN (13 wks history restated)_081107 WMR-VSC (2)" xfId="0"/>
    <cellStyle name="_041129 WMR_VSI_WMR_VSCN (13 wks history restated)_081107 WMR-VSC (2) 2" xfId="0"/>
    <cellStyle name="_041129 WMR_VSI_WMR_VSCN (13 wks history restated)_081107 WMR-VSC_1" xfId="0"/>
    <cellStyle name="_041129 WMR_VSI_WMR_VSCN (13 wks history restated)_081107 WMR-VSC_1 2" xfId="0"/>
    <cellStyle name="_041129 WMR_VSI_WMR_VSCN (13 wks history restated)_081114 WMR-VSC" xfId="0"/>
    <cellStyle name="_041129 WMR_VSI_WMR_VSCN (13 wks history restated)_081114 WMR-VSC 2" xfId="0"/>
    <cellStyle name="_041129 WMR_VSI_WMR_VSCN (13 wks history restated)_081121 WMR-VSC" xfId="0"/>
    <cellStyle name="_041129 WMR_VSI_WMR_VSCN (13 wks history restated)_081121 WMR-VSC 2" xfId="0"/>
    <cellStyle name="_041129 WMR_VSI_WMR_VSCN (13 wks history restated)_081128 WMR-VSC" xfId="0"/>
    <cellStyle name="_041129 WMR_VSI_WMR_VSCN (13 wks history restated)_081128 WMR-VSC 2" xfId="0"/>
    <cellStyle name="_041129 WMR_VSI_WMR_VSCN (13 wks history restated)_081128 WMR-VSC_1" xfId="0"/>
    <cellStyle name="_041129 WMR_VSI_WMR_VSCN (13 wks history restated)_081128 WMR-VSC_1 2" xfId="0"/>
    <cellStyle name="_041129 WMR_VSI_WMR_VSCN (13 wks history restated)_081205 WMR-VSC" xfId="0"/>
    <cellStyle name="_041129 WMR_VSI_WMR_VSCN (13 wks history restated)_081205 WMR-VSC 2" xfId="0"/>
    <cellStyle name="_041129 WMR_VSI_WMR_VSCN (13 wks history restated)_081212 WMR-VSC" xfId="0"/>
    <cellStyle name="_041129 WMR_VSI_WMR_VSCN (13 wks history restated)_081212 WMR-VSC 2" xfId="0"/>
    <cellStyle name="_041129 WMR_VSI_WMR_VSCN (13 wks history restated)_081219 WMR-VSC" xfId="0"/>
    <cellStyle name="_041129 WMR_VSI_WMR_VSCN (13 wks history restated)_081219 WMR-VSC 2" xfId="0"/>
    <cellStyle name="_041129 WMR_VSI_WMR_VSCN (13 wks history restated)_090102 WMR-VSC" xfId="0"/>
    <cellStyle name="_041129 WMR_VSI_WMR_VSCN (13 wks history restated)_090102 WMR-VSC 2" xfId="0"/>
    <cellStyle name="_041129 WMR_VSI_WMR_VSCN (13 wks history restated)_090424 WMR_VSE (2)" xfId="0"/>
    <cellStyle name="_041129 WMR_VSI_WMR_VSCN (13 wks history restated)_090424 WMR_VSE (2) 2" xfId="0"/>
    <cellStyle name="_041129 WMR_VSI_WMR_VSCN (13 wks history restated)_090703 WMR-VSC" xfId="0"/>
    <cellStyle name="_041129 WMR_VSI_WMR_VSCN (13 wks history restated)_090703 WMR-VSC 2" xfId="0"/>
    <cellStyle name="_041129 WMR_VSI_WMR_VSCN (13 wks history restated)_AP Turn Days old" xfId="0"/>
    <cellStyle name="_041129 WMR_VSI_WMR_VSCN (13 wks history restated)_AP Turn Days old 2" xfId="0"/>
    <cellStyle name="_041129 WMR_VSI_WMR_VSCN (13 wks history restated)_Cash" xfId="0"/>
    <cellStyle name="_041129 WMR_VSI_WMR_VSCN (13 wks history restated)_Cash 2" xfId="0"/>
    <cellStyle name="_041129 WMR_VSI_WMR_VSCN (13 wks history restated)_Charts" xfId="0"/>
    <cellStyle name="_041129 WMR_VSI_WMR_VSCN (13 wks history restated)_Charts 2" xfId="0"/>
    <cellStyle name="_041129 WMR_VSI_WMR_VSCN (13 wks history restated)_Inv Data" xfId="0"/>
    <cellStyle name="_041129 WMR_VSI_WMR_VSCN (13 wks history restated)_Inv Data 2" xfId="0"/>
    <cellStyle name="_041129 WMR_VSI_WMR_VSCN (13 wks history restated)_Inventory Pivot" xfId="0"/>
    <cellStyle name="_041129 WMR_VSI_WMR_VSCN (13 wks history restated)_Inventory Pivot 2" xfId="0"/>
    <cellStyle name="_041129 WMR_VSI_WMR_VSCN (13 wks history restated)_NEW WMR" xfId="0"/>
    <cellStyle name="_041129 WMR_VSI_WMR_VSCN (13 wks history restated)_NEW WMR 2" xfId="0"/>
    <cellStyle name="_041129 WMR_VSI_WMR_VSCN (13 wks history restated)_OpenOrder Data" xfId="0"/>
    <cellStyle name="_041129 WMR_VSI_WMR_VSCN (13 wks history restated)_OpenOrder Data 2" xfId="0"/>
    <cellStyle name="_041129 WMR_VSI_WMR_VSCN (13 wks history restated)_Revenue % Forecast" xfId="0"/>
    <cellStyle name="_041129 WMR_VSI_WMR_VSCN (13 wks history restated)_Revenue % Forecast 2" xfId="0"/>
    <cellStyle name="_041129 WMR_VSI_WMR_VSCN (13 wks history restated)_Turn Days" xfId="0"/>
    <cellStyle name="_041129 WMR_VSI_WMR_VSCN (13 wks history restated)_Turn Days 2" xfId="0"/>
    <cellStyle name="_041129 WMR_VSI_WMR_VSCN (13 wks history restated)_VDL" xfId="0"/>
    <cellStyle name="_041129 WMR_VSI_WMR_VSCN (13 wks history restated)_VDL 2" xfId="0"/>
    <cellStyle name="_041129 WMR_VSI_WMR_VSCN (13 wks history restated)_VSA" xfId="0"/>
    <cellStyle name="_041129 WMR_VSI_WMR_VSCN (13 wks history restated)_VSA 2" xfId="0"/>
    <cellStyle name="_041129 WMR_VSI_WMR_VSCN (13 wks history restated)_VSA Cash Flow Model (6-4-07)" xfId="0"/>
    <cellStyle name="_041129 WMR_VSI_WMR_VSCN (13 wks history restated)_VSA Cash Flow Model (6-4-07) 2" xfId="0"/>
    <cellStyle name="_041129 WMR_VSI_WMR_VSCN (13 wks history restated)_VSACE" xfId="0"/>
    <cellStyle name="_041129 WMR_VSI_WMR_VSCN (13 wks history restated)_VSACE 2" xfId="0"/>
    <cellStyle name="_041129 WMR_VSI_WMR_VSCN (13 wks history restated)_VSC" xfId="0"/>
    <cellStyle name="_041129 WMR_VSI_WMR_VSCN (13 wks history restated)_VSC 2" xfId="0"/>
    <cellStyle name="_041129 WMR_VSI_WMR_VSCN (13 wks history restated)_VSCN" xfId="0"/>
    <cellStyle name="_041129 WMR_VSI_WMR_VSCN (13 wks history restated)_VSCN 2" xfId="0"/>
    <cellStyle name="_041129 WMR_VSI_WMR_VSCN (13 wks history restated)_VSE" xfId="0"/>
    <cellStyle name="_041129 WMR_VSI_WMR_VSCN (13 wks history restated)_VSE 2" xfId="0"/>
    <cellStyle name="_041129 WMR_VSI_WMR_VSCN (13 wks history restated)_VSE WMR Workbook 08-07-09" xfId="0"/>
    <cellStyle name="_041129 WMR_VSI_WMR_VSCN (13 wks history restated)_VSE WMR Workbook 08-07-09 2" xfId="0"/>
    <cellStyle name="_041129 WMR_VSI_WMR_VSCN (13 wks history restated)_VSE WMR Workbook 11-19-10" xfId="0"/>
    <cellStyle name="_041129 WMR_VSI_WMR_VSCN (13 wks history restated)_VSE WMR Workbook 11-19-10 2" xfId="0"/>
    <cellStyle name="_041129 WMR_VSI_WMR_VSCN (13 wks history restated)_VSE WMR Workbook 12-31-10" xfId="0"/>
    <cellStyle name="_041129 WMR_VSI_WMR_VSCN (13 wks history restated)_VSE WMR Workbook 12-31-10 2" xfId="0"/>
    <cellStyle name="_041129 WMR_VSI_WMR_VSCN (13 wks history restated)_VSI" xfId="0"/>
    <cellStyle name="_041129 WMR_VSI_WMR_VSCN (13 wks history restated)_VSI 2" xfId="0"/>
    <cellStyle name="_041129 WMR_VSI_WMR_VSCN (13 wks history restated)_WMR" xfId="0"/>
    <cellStyle name="_041129 WMR_VSI_WMR_VSCN (13 wks history restated)_WMR (by QTY)" xfId="0"/>
    <cellStyle name="_041129 WMR_VSI_WMR_VSCN (13 wks history restated)_WMR (by QTY) 2" xfId="0"/>
    <cellStyle name="_041129 WMR_VSI_WMR_VSCN (13 wks history restated)_WMR 2" xfId="0"/>
    <cellStyle name="_041129 WMR_VSI_WMR_VSCN (13 wks history restated)_WMR 3" xfId="0"/>
    <cellStyle name="_041129 WMR_VSI_WMR_VSCN (13 wks history restated)_WMR 4" xfId="0"/>
    <cellStyle name="_041129 WMR_VSI_WMR_VSI (13 wks history restated)" xfId="0"/>
    <cellStyle name="_041129 WMR_VSI_WMR_VSI (13 wks history restated) 2" xfId="0"/>
    <cellStyle name="_041129 WMR_VSI_WMR_VSI (13 wks history restated)_080822 WMR-VSC" xfId="0"/>
    <cellStyle name="_041129 WMR_VSI_WMR_VSI (13 wks history restated)_080822 WMR-VSC 2" xfId="0"/>
    <cellStyle name="_041129 WMR_VSI_WMR_VSI (13 wks history restated)_080829 WMR" xfId="0"/>
    <cellStyle name="_041129 WMR_VSI_WMR_VSI (13 wks history restated)_080829 WMR 2" xfId="0"/>
    <cellStyle name="_041129 WMR_VSI_WMR_VSI (13 wks history restated)_080905 WMR-VSC" xfId="0"/>
    <cellStyle name="_041129 WMR_VSI_WMR_VSI (13 wks history restated)_080905 WMR-VSC 2" xfId="0"/>
    <cellStyle name="_041129 WMR_VSI_WMR_VSI (13 wks history restated)_080912 WMR-VSC" xfId="0"/>
    <cellStyle name="_041129 WMR_VSI_WMR_VSI (13 wks history restated)_080912 WMR-VSC 2" xfId="0"/>
    <cellStyle name="_041129 WMR_VSI_WMR_VSI (13 wks history restated)_080919 WMR-VSC" xfId="0"/>
    <cellStyle name="_041129 WMR_VSI_WMR_VSI (13 wks history restated)_080919 WMR-VSC 2" xfId="0"/>
    <cellStyle name="_041129 WMR_VSI_WMR_VSI (13 wks history restated)_080926 WMR-VSC" xfId="0"/>
    <cellStyle name="_041129 WMR_VSI_WMR_VSI (13 wks history restated)_080926 WMR-VSC 2" xfId="0"/>
    <cellStyle name="_041129 WMR_VSI_WMR_VSI (13 wks history restated)_081003 WMR-VSC_1" xfId="0"/>
    <cellStyle name="_041129 WMR_VSI_WMR_VSI (13 wks history restated)_081003 WMR-VSC_1 2" xfId="0"/>
    <cellStyle name="_041129 WMR_VSI_WMR_VSI (13 wks history restated)_081010 WMR-VSC" xfId="0"/>
    <cellStyle name="_041129 WMR_VSI_WMR_VSI (13 wks history restated)_081010 WMR-VSC 2" xfId="0"/>
    <cellStyle name="_041129 WMR_VSI_WMR_VSI (13 wks history restated)_081017 WMR-VSC_1" xfId="0"/>
    <cellStyle name="_041129 WMR_VSI_WMR_VSI (13 wks history restated)_081017 WMR-VSC_1 2" xfId="0"/>
    <cellStyle name="_041129 WMR_VSI_WMR_VSI (13 wks history restated)_081024 WMR-VSC" xfId="0"/>
    <cellStyle name="_041129 WMR_VSI_WMR_VSI (13 wks history restated)_081024 WMR-VSC 2" xfId="0"/>
    <cellStyle name="_041129 WMR_VSI_WMR_VSI (13 wks history restated)_081031 WMR-VSC" xfId="0"/>
    <cellStyle name="_041129 WMR_VSI_WMR_VSI (13 wks history restated)_081031 WMR-VSC 2" xfId="0"/>
    <cellStyle name="_041129 WMR_VSI_WMR_VSI (13 wks history restated)_081107 WMR-VSC (2)" xfId="0"/>
    <cellStyle name="_041129 WMR_VSI_WMR_VSI (13 wks history restated)_081107 WMR-VSC (2) 2" xfId="0"/>
    <cellStyle name="_041129 WMR_VSI_WMR_VSI (13 wks history restated)_081107 WMR-VSC_1" xfId="0"/>
    <cellStyle name="_041129 WMR_VSI_WMR_VSI (13 wks history restated)_081107 WMR-VSC_1 2" xfId="0"/>
    <cellStyle name="_041129 WMR_VSI_WMR_VSI (13 wks history restated)_081114 WMR-VSC" xfId="0"/>
    <cellStyle name="_041129 WMR_VSI_WMR_VSI (13 wks history restated)_081114 WMR-VSC 2" xfId="0"/>
    <cellStyle name="_041129 WMR_VSI_WMR_VSI (13 wks history restated)_081121 WMR-VSC" xfId="0"/>
    <cellStyle name="_041129 WMR_VSI_WMR_VSI (13 wks history restated)_081121 WMR-VSC 2" xfId="0"/>
    <cellStyle name="_041129 WMR_VSI_WMR_VSI (13 wks history restated)_081128 WMR-VSC" xfId="0"/>
    <cellStyle name="_041129 WMR_VSI_WMR_VSI (13 wks history restated)_081128 WMR-VSC 2" xfId="0"/>
    <cellStyle name="_041129 WMR_VSI_WMR_VSI (13 wks history restated)_081128 WMR-VSC_1" xfId="0"/>
    <cellStyle name="_041129 WMR_VSI_WMR_VSI (13 wks history restated)_081128 WMR-VSC_1 2" xfId="0"/>
    <cellStyle name="_041129 WMR_VSI_WMR_VSI (13 wks history restated)_081205 WMR-VSC" xfId="0"/>
    <cellStyle name="_041129 WMR_VSI_WMR_VSI (13 wks history restated)_081205 WMR-VSC 2" xfId="0"/>
    <cellStyle name="_041129 WMR_VSI_WMR_VSI (13 wks history restated)_081212 WMR-VSC" xfId="0"/>
    <cellStyle name="_041129 WMR_VSI_WMR_VSI (13 wks history restated)_081212 WMR-VSC 2" xfId="0"/>
    <cellStyle name="_041129 WMR_VSI_WMR_VSI (13 wks history restated)_081219 WMR-VSC" xfId="0"/>
    <cellStyle name="_041129 WMR_VSI_WMR_VSI (13 wks history restated)_081219 WMR-VSC 2" xfId="0"/>
    <cellStyle name="_041129 WMR_VSI_WMR_VSI (13 wks history restated)_090102 WMR-VSC" xfId="0"/>
    <cellStyle name="_041129 WMR_VSI_WMR_VSI (13 wks history restated)_090102 WMR-VSC 2" xfId="0"/>
    <cellStyle name="_041129 WMR_VSI_WMR_VSI (13 wks history restated)_090424 WMR_VSE (2)" xfId="0"/>
    <cellStyle name="_041129 WMR_VSI_WMR_VSI (13 wks history restated)_090424 WMR_VSE (2) 2" xfId="0"/>
    <cellStyle name="_041129 WMR_VSI_WMR_VSI (13 wks history restated)_090703 WMR-VSC" xfId="0"/>
    <cellStyle name="_041129 WMR_VSI_WMR_VSI (13 wks history restated)_090703 WMR-VSC 2" xfId="0"/>
    <cellStyle name="_041129 WMR_VSI_WMR_VSI (13 wks history restated)_AP Turn Days old" xfId="0"/>
    <cellStyle name="_041129 WMR_VSI_WMR_VSI (13 wks history restated)_AP Turn Days old 2" xfId="0"/>
    <cellStyle name="_041129 WMR_VSI_WMR_VSI (13 wks history restated)_Cash" xfId="0"/>
    <cellStyle name="_041129 WMR_VSI_WMR_VSI (13 wks history restated)_Cash 2" xfId="0"/>
    <cellStyle name="_041129 WMR_VSI_WMR_VSI (13 wks history restated)_Charts" xfId="0"/>
    <cellStyle name="_041129 WMR_VSI_WMR_VSI (13 wks history restated)_Charts 2" xfId="0"/>
    <cellStyle name="_041129 WMR_VSI_WMR_VSI (13 wks history restated)_Inv Data" xfId="0"/>
    <cellStyle name="_041129 WMR_VSI_WMR_VSI (13 wks history restated)_Inv Data 2" xfId="0"/>
    <cellStyle name="_041129 WMR_VSI_WMR_VSI (13 wks history restated)_Inventory Pivot" xfId="0"/>
    <cellStyle name="_041129 WMR_VSI_WMR_VSI (13 wks history restated)_Inventory Pivot 2" xfId="0"/>
    <cellStyle name="_041129 WMR_VSI_WMR_VSI (13 wks history restated)_NEW WMR" xfId="0"/>
    <cellStyle name="_041129 WMR_VSI_WMR_VSI (13 wks history restated)_NEW WMR 2" xfId="0"/>
    <cellStyle name="_041129 WMR_VSI_WMR_VSI (13 wks history restated)_OpenOrder Data" xfId="0"/>
    <cellStyle name="_041129 WMR_VSI_WMR_VSI (13 wks history restated)_OpenOrder Data 2" xfId="0"/>
    <cellStyle name="_041129 WMR_VSI_WMR_VSI (13 wks history restated)_Revenue % Forecast" xfId="0"/>
    <cellStyle name="_041129 WMR_VSI_WMR_VSI (13 wks history restated)_Revenue % Forecast 2" xfId="0"/>
    <cellStyle name="_041129 WMR_VSI_WMR_VSI (13 wks history restated)_Turn Days" xfId="0"/>
    <cellStyle name="_041129 WMR_VSI_WMR_VSI (13 wks history restated)_Turn Days 2" xfId="0"/>
    <cellStyle name="_041129 WMR_VSI_WMR_VSI (13 wks history restated)_VDL" xfId="0"/>
    <cellStyle name="_041129 WMR_VSI_WMR_VSI (13 wks history restated)_VDL 2" xfId="0"/>
    <cellStyle name="_041129 WMR_VSI_WMR_VSI (13 wks history restated)_VSA" xfId="0"/>
    <cellStyle name="_041129 WMR_VSI_WMR_VSI (13 wks history restated)_VSA 2" xfId="0"/>
    <cellStyle name="_041129 WMR_VSI_WMR_VSI (13 wks history restated)_VSA Cash Flow Model (6-4-07)" xfId="0"/>
    <cellStyle name="_041129 WMR_VSI_WMR_VSI (13 wks history restated)_VSA Cash Flow Model (6-4-07) 2" xfId="0"/>
    <cellStyle name="_041129 WMR_VSI_WMR_VSI (13 wks history restated)_VSACE" xfId="0"/>
    <cellStyle name="_041129 WMR_VSI_WMR_VSI (13 wks history restated)_VSACE 2" xfId="0"/>
    <cellStyle name="_041129 WMR_VSI_WMR_VSI (13 wks history restated)_VSC" xfId="0"/>
    <cellStyle name="_041129 WMR_VSI_WMR_VSI (13 wks history restated)_VSC 2" xfId="0"/>
    <cellStyle name="_041129 WMR_VSI_WMR_VSI (13 wks history restated)_VSCN" xfId="0"/>
    <cellStyle name="_041129 WMR_VSI_WMR_VSI (13 wks history restated)_VSCN 2" xfId="0"/>
    <cellStyle name="_041129 WMR_VSI_WMR_VSI (13 wks history restated)_VSE" xfId="0"/>
    <cellStyle name="_041129 WMR_VSI_WMR_VSI (13 wks history restated)_VSE 2" xfId="0"/>
    <cellStyle name="_041129 WMR_VSI_WMR_VSI (13 wks history restated)_VSE WMR Workbook 08-07-09" xfId="0"/>
    <cellStyle name="_041129 WMR_VSI_WMR_VSI (13 wks history restated)_VSE WMR Workbook 08-07-09 2" xfId="0"/>
    <cellStyle name="_041129 WMR_VSI_WMR_VSI (13 wks history restated)_VSE WMR Workbook 11-19-10" xfId="0"/>
    <cellStyle name="_041129 WMR_VSI_WMR_VSI (13 wks history restated)_VSE WMR Workbook 11-19-10 2" xfId="0"/>
    <cellStyle name="_041129 WMR_VSI_WMR_VSI (13 wks history restated)_VSE WMR Workbook 12-31-10" xfId="0"/>
    <cellStyle name="_041129 WMR_VSI_WMR_VSI (13 wks history restated)_VSE WMR Workbook 12-31-10 2" xfId="0"/>
    <cellStyle name="_041129 WMR_VSI_WMR_VSI (13 wks history restated)_VSI" xfId="0"/>
    <cellStyle name="_041129 WMR_VSI_WMR_VSI (13 wks history restated)_VSI 2" xfId="0"/>
    <cellStyle name="_041129 WMR_VSI_WMR_VSI (13 wks history restated)_WMR" xfId="0"/>
    <cellStyle name="_041129 WMR_VSI_WMR_VSI (13 wks history restated)_WMR (by QTY)" xfId="0"/>
    <cellStyle name="_041129 WMR_VSI_WMR_VSI (13 wks history restated)_WMR (by QTY) 2" xfId="0"/>
    <cellStyle name="_041129 WMR_VSI_WMR_VSI (13 wks history restated)_WMR 2" xfId="0"/>
    <cellStyle name="_041129 WMR_VSI_WMR_VSI (13 wks history restated)_WMR 3" xfId="0"/>
    <cellStyle name="_041129 WMR_VSI_WMR_VSI (13 wks history restated)_WMR 4" xfId="0"/>
    <cellStyle name="_05-Nov-2010" xfId="0"/>
    <cellStyle name="_05-Nov-2010 2" xfId="0"/>
    <cellStyle name="_050121 WMR_VSC" xfId="0"/>
    <cellStyle name="_050121 WMR_VSC 2" xfId="0"/>
    <cellStyle name="_050121 WMR_VSC_080613 new WMR_VSCN" xfId="0"/>
    <cellStyle name="_050121 WMR_VSC_080613 new WMR_VSCN 2" xfId="0"/>
    <cellStyle name="_050121 WMR_VSC_080822 WMR-VSC" xfId="0"/>
    <cellStyle name="_050121 WMR_VSC_080822 WMR-VSC 2" xfId="0"/>
    <cellStyle name="_050121 WMR_VSC_080829 WMR" xfId="0"/>
    <cellStyle name="_050121 WMR_VSC_080829 WMR 2" xfId="0"/>
    <cellStyle name="_050121 WMR_VSC_080905 WMR-VSC" xfId="0"/>
    <cellStyle name="_050121 WMR_VSC_080905 WMR-VSC 2" xfId="0"/>
    <cellStyle name="_050121 WMR_VSC_080912 WMR-VSC" xfId="0"/>
    <cellStyle name="_050121 WMR_VSC_080912 WMR-VSC 2" xfId="0"/>
    <cellStyle name="_050121 WMR_VSC_080919 WMR-VSC" xfId="0"/>
    <cellStyle name="_050121 WMR_VSC_080919 WMR-VSC 2" xfId="0"/>
    <cellStyle name="_050121 WMR_VSC_080926 WMR-VSC" xfId="0"/>
    <cellStyle name="_050121 WMR_VSC_080926 WMR-VSC 2" xfId="0"/>
    <cellStyle name="_050121 WMR_VSC_081003 WMR-VSC_1" xfId="0"/>
    <cellStyle name="_050121 WMR_VSC_081003 WMR-VSC_1 2" xfId="0"/>
    <cellStyle name="_050121 WMR_VSC_081010 WMR-VSC" xfId="0"/>
    <cellStyle name="_050121 WMR_VSC_081010 WMR-VSC 2" xfId="0"/>
    <cellStyle name="_050121 WMR_VSC_081017 WMR-VSC_1" xfId="0"/>
    <cellStyle name="_050121 WMR_VSC_081017 WMR-VSC_1 2" xfId="0"/>
    <cellStyle name="_050121 WMR_VSC_081024 WMR-VSC" xfId="0"/>
    <cellStyle name="_050121 WMR_VSC_081024 WMR-VSC 2" xfId="0"/>
    <cellStyle name="_050121 WMR_VSC_081031 WMR-VSC" xfId="0"/>
    <cellStyle name="_050121 WMR_VSC_081031 WMR-VSC 2" xfId="0"/>
    <cellStyle name="_050121 WMR_VSC_081107 WMR-VSC (2)" xfId="0"/>
    <cellStyle name="_050121 WMR_VSC_081107 WMR-VSC (2) 2" xfId="0"/>
    <cellStyle name="_050121 WMR_VSC_081107 WMR-VSC_1" xfId="0"/>
    <cellStyle name="_050121 WMR_VSC_081107 WMR-VSC_1 2" xfId="0"/>
    <cellStyle name="_050121 WMR_VSC_081114 WMR-VSC" xfId="0"/>
    <cellStyle name="_050121 WMR_VSC_081114 WMR-VSC 2" xfId="0"/>
    <cellStyle name="_050121 WMR_VSC_081121 WMR-VSC" xfId="0"/>
    <cellStyle name="_050121 WMR_VSC_081121 WMR-VSC 2" xfId="0"/>
    <cellStyle name="_050121 WMR_VSC_081128 WMR-VSC" xfId="0"/>
    <cellStyle name="_050121 WMR_VSC_081128 WMR-VSC 2" xfId="0"/>
    <cellStyle name="_050121 WMR_VSC_081128 WMR-VSC_1" xfId="0"/>
    <cellStyle name="_050121 WMR_VSC_081128 WMR-VSC_1 2" xfId="0"/>
    <cellStyle name="_050121 WMR_VSC_081205 WMR-VSC" xfId="0"/>
    <cellStyle name="_050121 WMR_VSC_081205 WMR-VSC 2" xfId="0"/>
    <cellStyle name="_050121 WMR_VSC_081212 WMR-VSC" xfId="0"/>
    <cellStyle name="_050121 WMR_VSC_081212 WMR-VSC 2" xfId="0"/>
    <cellStyle name="_050121 WMR_VSC_081219 WMR-VSC" xfId="0"/>
    <cellStyle name="_050121 WMR_VSC_081219 WMR-VSC 2" xfId="0"/>
    <cellStyle name="_050121 WMR_VSC_090102 WMR-VSC" xfId="0"/>
    <cellStyle name="_050121 WMR_VSC_090102 WMR-VSC 2" xfId="0"/>
    <cellStyle name="_050121 WMR_VSC_090424 WMR_VSE (2)" xfId="0"/>
    <cellStyle name="_050121 WMR_VSC_090424 WMR_VSE (2) 2" xfId="0"/>
    <cellStyle name="_050121 WMR_VSC_090703 WMR-VSC" xfId="0"/>
    <cellStyle name="_050121 WMR_VSC_090703 WMR-VSC 2" xfId="0"/>
    <cellStyle name="_050121 WMR_VSC_All Regions WMR Definitions - Updated 7-27-07" xfId="0"/>
    <cellStyle name="_050121 WMR_VSC_All Regions WMR Definitions - Updated 7-27-07 (3)" xfId="0"/>
    <cellStyle name="_050121 WMR_VSC_All Regions WMR Definitions - Updated 7-27-07 (3) 2" xfId="0"/>
    <cellStyle name="_050121 WMR_VSC_All Regions WMR Definitions - Updated 7-27-07 2" xfId="0"/>
    <cellStyle name="_050121 WMR_VSC_All Regions WMR Definitions - Updated 7-27-07 3" xfId="0"/>
    <cellStyle name="_050121 WMR_VSC_All Regions WMR Definitions - Updated 7-27-07 4" xfId="0"/>
    <cellStyle name="_050121 WMR_VSC_AP Turn Days old" xfId="0"/>
    <cellStyle name="_050121 WMR_VSC_AP Turn Days old 2" xfId="0"/>
    <cellStyle name="_050121 WMR_VSC_Cash" xfId="0"/>
    <cellStyle name="_050121 WMR_VSC_Cash 2" xfId="0"/>
    <cellStyle name="_050121 WMR_VSC_Charts" xfId="0"/>
    <cellStyle name="_050121 WMR_VSC_Charts 2" xfId="0"/>
    <cellStyle name="_050121 WMR_VSC_Inv Data" xfId="0"/>
    <cellStyle name="_050121 WMR_VSC_Inv Data 2" xfId="0"/>
    <cellStyle name="_050121 WMR_VSC_Inventory Pivot" xfId="0"/>
    <cellStyle name="_050121 WMR_VSC_Inventory Pivot 2" xfId="0"/>
    <cellStyle name="_050121 WMR_VSC_New Calculation of Inventory turn day" xfId="0"/>
    <cellStyle name="_050121 WMR_VSC_New Calculation of Inventory turn day 2" xfId="0"/>
    <cellStyle name="_050121 WMR_VSC_NEW WMR" xfId="0"/>
    <cellStyle name="_050121 WMR_VSC_NEW WMR 2" xfId="0"/>
    <cellStyle name="_050121 WMR_VSC_OpenOrder Data" xfId="0"/>
    <cellStyle name="_050121 WMR_VSC_OpenOrder Data 2" xfId="0"/>
    <cellStyle name="_050121 WMR_VSC_Revenue % Forecast" xfId="0"/>
    <cellStyle name="_050121 WMR_VSC_Revenue % Forecast 2" xfId="0"/>
    <cellStyle name="_050121 WMR_VSC_Turn Days" xfId="0"/>
    <cellStyle name="_050121 WMR_VSC_Turn Days 2" xfId="0"/>
    <cellStyle name="_050121 WMR_VSC_VDL" xfId="0"/>
    <cellStyle name="_050121 WMR_VSC_VDL 2" xfId="0"/>
    <cellStyle name="_050121 WMR_VSC_VSA" xfId="0"/>
    <cellStyle name="_050121 WMR_VSC_VSA 2" xfId="0"/>
    <cellStyle name="_050121 WMR_VSC_VSA Cash Flow Model (6-4-07)" xfId="0"/>
    <cellStyle name="_050121 WMR_VSC_VSA Cash Flow Model (6-4-07) 2" xfId="0"/>
    <cellStyle name="_050121 WMR_VSC_VSACE" xfId="0"/>
    <cellStyle name="_050121 WMR_VSC_VSACE 2" xfId="0"/>
    <cellStyle name="_050121 WMR_VSC_VSC" xfId="0"/>
    <cellStyle name="_050121 WMR_VSC_VSC 2" xfId="0"/>
    <cellStyle name="_050121 WMR_VSC_VSCN" xfId="0"/>
    <cellStyle name="_050121 WMR_VSC_VSCN 2" xfId="0"/>
    <cellStyle name="_050121 WMR_VSC_VSE" xfId="0"/>
    <cellStyle name="_050121 WMR_VSC_VSE 2" xfId="0"/>
    <cellStyle name="_050121 WMR_VSC_VSE WMR Workbook 08-07-09" xfId="0"/>
    <cellStyle name="_050121 WMR_VSC_VSE WMR Workbook 08-07-09 2" xfId="0"/>
    <cellStyle name="_050121 WMR_VSC_VSE WMR Workbook 11-19-10" xfId="0"/>
    <cellStyle name="_050121 WMR_VSC_VSE WMR Workbook 11-19-10 2" xfId="0"/>
    <cellStyle name="_050121 WMR_VSC_VSE WMR Workbook 12-31-10" xfId="0"/>
    <cellStyle name="_050121 WMR_VSC_VSE WMR Workbook 12-31-10 2" xfId="0"/>
    <cellStyle name="_050121 WMR_VSC_VSI" xfId="0"/>
    <cellStyle name="_050121 WMR_VSC_VSI 2" xfId="0"/>
    <cellStyle name="_050121 WMR_VSC_VSI-WMR" xfId="0"/>
    <cellStyle name="_050121 WMR_VSC_VSI-WMR (5)" xfId="0"/>
    <cellStyle name="_050121 WMR_VSC_VSI-WMR (5) 2" xfId="0"/>
    <cellStyle name="_050121 WMR_VSC_VSI-WMR (6)" xfId="0"/>
    <cellStyle name="_050121 WMR_VSC_VSI-WMR (6) 2" xfId="0"/>
    <cellStyle name="_050121 WMR_VSC_VSI-WMR 10" xfId="0"/>
    <cellStyle name="_050121 WMR_VSC_VSI-WMR 2" xfId="0"/>
    <cellStyle name="_050121 WMR_VSC_VSI-WMR 2007-07-06" xfId="0"/>
    <cellStyle name="_050121 WMR_VSC_VSI-WMR 2007-07-06 2" xfId="0"/>
    <cellStyle name="_050121 WMR_VSC_VSI-WMR 3" xfId="0"/>
    <cellStyle name="_050121 WMR_VSC_VSI-WMR 4" xfId="0"/>
    <cellStyle name="_050121 WMR_VSC_VSI-WMR 5" xfId="0"/>
    <cellStyle name="_050121 WMR_VSC_VSI-WMR 6" xfId="0"/>
    <cellStyle name="_050121 WMR_VSC_VSI-WMR 7" xfId="0"/>
    <cellStyle name="_050121 WMR_VSC_VSI-WMR 8" xfId="0"/>
    <cellStyle name="_050121 WMR_VSC_VSI-WMR 9" xfId="0"/>
    <cellStyle name="_050121 WMR_VSC_VSI-WMR_080822 WMR-VSC" xfId="0"/>
    <cellStyle name="_050121 WMR_VSC_VSI-WMR_080822 WMR-VSC 2" xfId="0"/>
    <cellStyle name="_050121 WMR_VSC_VSI-WMR_080829 WMR" xfId="0"/>
    <cellStyle name="_050121 WMR_VSC_VSI-WMR_080829 WMR 2" xfId="0"/>
    <cellStyle name="_050121 WMR_VSC_VSI-WMR_080905 WMR-VSC" xfId="0"/>
    <cellStyle name="_050121 WMR_VSC_VSI-WMR_080905 WMR-VSC 2" xfId="0"/>
    <cellStyle name="_050121 WMR_VSC_VSI-WMR_080912 WMR-VSC" xfId="0"/>
    <cellStyle name="_050121 WMR_VSC_VSI-WMR_080912 WMR-VSC 2" xfId="0"/>
    <cellStyle name="_050121 WMR_VSC_VSI-WMR_080919 WMR-VSC" xfId="0"/>
    <cellStyle name="_050121 WMR_VSC_VSI-WMR_080919 WMR-VSC 2" xfId="0"/>
    <cellStyle name="_050121 WMR_VSC_VSI-WMR_080926 WMR-VSC" xfId="0"/>
    <cellStyle name="_050121 WMR_VSC_VSI-WMR_080926 WMR-VSC 2" xfId="0"/>
    <cellStyle name="_050121 WMR_VSC_VSI-WMR_081003 WMR-VSC_1" xfId="0"/>
    <cellStyle name="_050121 WMR_VSC_VSI-WMR_081003 WMR-VSC_1 2" xfId="0"/>
    <cellStyle name="_050121 WMR_VSC_VSI-WMR_081010 WMR-VSC" xfId="0"/>
    <cellStyle name="_050121 WMR_VSC_VSI-WMR_081010 WMR-VSC 2" xfId="0"/>
    <cellStyle name="_050121 WMR_VSC_VSI-WMR_081017 WMR-VSC_1" xfId="0"/>
    <cellStyle name="_050121 WMR_VSC_VSI-WMR_081017 WMR-VSC_1 2" xfId="0"/>
    <cellStyle name="_050121 WMR_VSC_VSI-WMR_081024 WMR-VSC" xfId="0"/>
    <cellStyle name="_050121 WMR_VSC_VSI-WMR_081024 WMR-VSC 2" xfId="0"/>
    <cellStyle name="_050121 WMR_VSC_VSI-WMR_081031 WMR-VSC" xfId="0"/>
    <cellStyle name="_050121 WMR_VSC_VSI-WMR_081031 WMR-VSC 2" xfId="0"/>
    <cellStyle name="_050121 WMR_VSC_VSI-WMR_081107 WMR-VSC (2)" xfId="0"/>
    <cellStyle name="_050121 WMR_VSC_VSI-WMR_081107 WMR-VSC (2) 2" xfId="0"/>
    <cellStyle name="_050121 WMR_VSC_VSI-WMR_081107 WMR-VSC_1" xfId="0"/>
    <cellStyle name="_050121 WMR_VSC_VSI-WMR_081107 WMR-VSC_1 2" xfId="0"/>
    <cellStyle name="_050121 WMR_VSC_VSI-WMR_081114 WMR-VSC" xfId="0"/>
    <cellStyle name="_050121 WMR_VSC_VSI-WMR_081114 WMR-VSC 2" xfId="0"/>
    <cellStyle name="_050121 WMR_VSC_VSI-WMR_081121 WMR-VSC" xfId="0"/>
    <cellStyle name="_050121 WMR_VSC_VSI-WMR_081121 WMR-VSC 2" xfId="0"/>
    <cellStyle name="_050121 WMR_VSC_VSI-WMR_081128 WMR-VSC" xfId="0"/>
    <cellStyle name="_050121 WMR_VSC_VSI-WMR_081128 WMR-VSC 2" xfId="0"/>
    <cellStyle name="_050121 WMR_VSC_VSI-WMR_081128 WMR-VSC_1" xfId="0"/>
    <cellStyle name="_050121 WMR_VSC_VSI-WMR_081128 WMR-VSC_1 2" xfId="0"/>
    <cellStyle name="_050121 WMR_VSC_VSI-WMR_081205 WMR-VSC" xfId="0"/>
    <cellStyle name="_050121 WMR_VSC_VSI-WMR_081205 WMR-VSC 2" xfId="0"/>
    <cellStyle name="_050121 WMR_VSC_VSI-WMR_081212 WMR-VSC" xfId="0"/>
    <cellStyle name="_050121 WMR_VSC_VSI-WMR_081212 WMR-VSC 2" xfId="0"/>
    <cellStyle name="_050121 WMR_VSC_VSI-WMR_081219 WMR-VSC" xfId="0"/>
    <cellStyle name="_050121 WMR_VSC_VSI-WMR_081219 WMR-VSC 2" xfId="0"/>
    <cellStyle name="_050121 WMR_VSC_VSI-WMR_090102 WMR-VSC" xfId="0"/>
    <cellStyle name="_050121 WMR_VSC_VSI-WMR_090102 WMR-VSC 2" xfId="0"/>
    <cellStyle name="_050121 WMR_VSC_VSI-WMR_090424 WMR_VSE (2)" xfId="0"/>
    <cellStyle name="_050121 WMR_VSC_VSI-WMR_090424 WMR_VSE (2) 2" xfId="0"/>
    <cellStyle name="_050121 WMR_VSC_VSI-WMR_090703 WMR-VSC" xfId="0"/>
    <cellStyle name="_050121 WMR_VSC_VSI-WMR_090703 WMR-VSC 2" xfId="0"/>
    <cellStyle name="_050121 WMR_VSC_VSI-WMR_AP Turn Days old" xfId="0"/>
    <cellStyle name="_050121 WMR_VSC_VSI-WMR_AP Turn Days old 2" xfId="0"/>
    <cellStyle name="_050121 WMR_VSC_VSI-WMR_Cash" xfId="0"/>
    <cellStyle name="_050121 WMR_VSC_VSI-WMR_Cash 2" xfId="0"/>
    <cellStyle name="_050121 WMR_VSC_VSI-WMR_Charts" xfId="0"/>
    <cellStyle name="_050121 WMR_VSC_VSI-WMR_Charts 2" xfId="0"/>
    <cellStyle name="_050121 WMR_VSC_VSI-WMR_Inv Data" xfId="0"/>
    <cellStyle name="_050121 WMR_VSC_VSI-WMR_Inv Data 2" xfId="0"/>
    <cellStyle name="_050121 WMR_VSC_VSI-WMR_Inventory Pivot" xfId="0"/>
    <cellStyle name="_050121 WMR_VSC_VSI-WMR_Inventory Pivot 2" xfId="0"/>
    <cellStyle name="_050121 WMR_VSC_VSI-WMR_NEW WMR" xfId="0"/>
    <cellStyle name="_050121 WMR_VSC_VSI-WMR_NEW WMR 2" xfId="0"/>
    <cellStyle name="_050121 WMR_VSC_VSI-WMR_OpenOrder Data" xfId="0"/>
    <cellStyle name="_050121 WMR_VSC_VSI-WMR_OpenOrder Data 2" xfId="0"/>
    <cellStyle name="_050121 WMR_VSC_VSI-WMR_Revenue % Forecast" xfId="0"/>
    <cellStyle name="_050121 WMR_VSC_VSI-WMR_Revenue % Forecast 2" xfId="0"/>
    <cellStyle name="_050121 WMR_VSC_VSI-WMR_Turn Days" xfId="0"/>
    <cellStyle name="_050121 WMR_VSC_VSI-WMR_Turn Days 2" xfId="0"/>
    <cellStyle name="_050121 WMR_VSC_VSI-WMR_VDL" xfId="0"/>
    <cellStyle name="_050121 WMR_VSC_VSI-WMR_VDL 2" xfId="0"/>
    <cellStyle name="_050121 WMR_VSC_VSI-WMR_VSA" xfId="0"/>
    <cellStyle name="_050121 WMR_VSC_VSI-WMR_VSA 2" xfId="0"/>
    <cellStyle name="_050121 WMR_VSC_VSI-WMR_VSA Cash Flow Model (6-4-07)" xfId="0"/>
    <cellStyle name="_050121 WMR_VSC_VSI-WMR_VSA Cash Flow Model (6-4-07) 2" xfId="0"/>
    <cellStyle name="_050121 WMR_VSC_VSI-WMR_VSACE" xfId="0"/>
    <cellStyle name="_050121 WMR_VSC_VSI-WMR_VSACE 2" xfId="0"/>
    <cellStyle name="_050121 WMR_VSC_VSI-WMR_VSC" xfId="0"/>
    <cellStyle name="_050121 WMR_VSC_VSI-WMR_VSC 2" xfId="0"/>
    <cellStyle name="_050121 WMR_VSC_VSI-WMR_VSCN" xfId="0"/>
    <cellStyle name="_050121 WMR_VSC_VSI-WMR_VSCN 2" xfId="0"/>
    <cellStyle name="_050121 WMR_VSC_VSI-WMR_VSE" xfId="0"/>
    <cellStyle name="_050121 WMR_VSC_VSI-WMR_VSE 2" xfId="0"/>
    <cellStyle name="_050121 WMR_VSC_VSI-WMR_VSE WMR Workbook 08-07-09" xfId="0"/>
    <cellStyle name="_050121 WMR_VSC_VSI-WMR_VSE WMR Workbook 08-07-09 2" xfId="0"/>
    <cellStyle name="_050121 WMR_VSC_VSI-WMR_VSE WMR Workbook 11-19-10" xfId="0"/>
    <cellStyle name="_050121 WMR_VSC_VSI-WMR_VSE WMR Workbook 11-19-10 2" xfId="0"/>
    <cellStyle name="_050121 WMR_VSC_VSI-WMR_VSE WMR Workbook 12-31-10" xfId="0"/>
    <cellStyle name="_050121 WMR_VSC_VSI-WMR_VSE WMR Workbook 12-31-10 2" xfId="0"/>
    <cellStyle name="_050121 WMR_VSC_VSI-WMR_VSI" xfId="0"/>
    <cellStyle name="_050121 WMR_VSC_VSI-WMR_VSI 2" xfId="0"/>
    <cellStyle name="_050121 WMR_VSC_VSI-WMR_WMR" xfId="0"/>
    <cellStyle name="_050121 WMR_VSC_VSI-WMR_WMR (by QTY)" xfId="0"/>
    <cellStyle name="_050121 WMR_VSC_VSI-WMR_WMR (by QTY) 2" xfId="0"/>
    <cellStyle name="_050121 WMR_VSC_VSI-WMR_WMR 2" xfId="0"/>
    <cellStyle name="_050121 WMR_VSC_VSI-WMR_WMR 3" xfId="0"/>
    <cellStyle name="_050121 WMR_VSC_VSI-WMR_WMR 4" xfId="0"/>
    <cellStyle name="_050121 WMR_VSC_WMR" xfId="0"/>
    <cellStyle name="_050121 WMR_VSC_WMR (by QTY)" xfId="0"/>
    <cellStyle name="_050121 WMR_VSC_WMR (by QTY) 2" xfId="0"/>
    <cellStyle name="_050121 WMR_VSC_WMR 2" xfId="0"/>
    <cellStyle name="_050121 WMR_VSC_WMR 3" xfId="0"/>
    <cellStyle name="_050121 WMR_VSC_WMR 4" xfId="0"/>
    <cellStyle name="_050121 WMR_VSC_WMR Definitions" xfId="0"/>
    <cellStyle name="_050121 WMR_VSC_WMR Definitions 2" xfId="0"/>
    <cellStyle name="_050121 WMR_VSC_WMR VSCN" xfId="0"/>
    <cellStyle name="_050121 WMR_VSC_WMR VSCN 2" xfId="0"/>
    <cellStyle name="_050121 WMR_VSC_WMR VSCN(by Value)" xfId="0"/>
    <cellStyle name="_050121 WMR_VSC_WMR VSCN(by Value) 2" xfId="0"/>
    <cellStyle name="_050422 WMR_VSC" xfId="0"/>
    <cellStyle name="_050422 WMR_VSC 2" xfId="0"/>
    <cellStyle name="_050422 WMR_VSC_080613 new WMR_VSCN" xfId="0"/>
    <cellStyle name="_050422 WMR_VSC_080613 new WMR_VSCN 2" xfId="0"/>
    <cellStyle name="_050422 WMR_VSC_080822 WMR-VSC" xfId="0"/>
    <cellStyle name="_050422 WMR_VSC_080822 WMR-VSC 2" xfId="0"/>
    <cellStyle name="_050422 WMR_VSC_080829 WMR" xfId="0"/>
    <cellStyle name="_050422 WMR_VSC_080829 WMR 2" xfId="0"/>
    <cellStyle name="_050422 WMR_VSC_080905 WMR-VSC" xfId="0"/>
    <cellStyle name="_050422 WMR_VSC_080905 WMR-VSC 2" xfId="0"/>
    <cellStyle name="_050422 WMR_VSC_080912 WMR-VSC" xfId="0"/>
    <cellStyle name="_050422 WMR_VSC_080912 WMR-VSC 2" xfId="0"/>
    <cellStyle name="_050422 WMR_VSC_080919 WMR-VSC" xfId="0"/>
    <cellStyle name="_050422 WMR_VSC_080919 WMR-VSC 2" xfId="0"/>
    <cellStyle name="_050422 WMR_VSC_080926 WMR-VSC" xfId="0"/>
    <cellStyle name="_050422 WMR_VSC_080926 WMR-VSC 2" xfId="0"/>
    <cellStyle name="_050422 WMR_VSC_081003 WMR-VSC_1" xfId="0"/>
    <cellStyle name="_050422 WMR_VSC_081003 WMR-VSC_1 2" xfId="0"/>
    <cellStyle name="_050422 WMR_VSC_081010 WMR-VSC" xfId="0"/>
    <cellStyle name="_050422 WMR_VSC_081010 WMR-VSC 2" xfId="0"/>
    <cellStyle name="_050422 WMR_VSC_081017 WMR-VSC_1" xfId="0"/>
    <cellStyle name="_050422 WMR_VSC_081017 WMR-VSC_1 2" xfId="0"/>
    <cellStyle name="_050422 WMR_VSC_081024 WMR-VSC" xfId="0"/>
    <cellStyle name="_050422 WMR_VSC_081024 WMR-VSC 2" xfId="0"/>
    <cellStyle name="_050422 WMR_VSC_081031 WMR-VSC" xfId="0"/>
    <cellStyle name="_050422 WMR_VSC_081031 WMR-VSC 2" xfId="0"/>
    <cellStyle name="_050422 WMR_VSC_081107 WMR-VSC (2)" xfId="0"/>
    <cellStyle name="_050422 WMR_VSC_081107 WMR-VSC (2) 2" xfId="0"/>
    <cellStyle name="_050422 WMR_VSC_081107 WMR-VSC_1" xfId="0"/>
    <cellStyle name="_050422 WMR_VSC_081107 WMR-VSC_1 2" xfId="0"/>
    <cellStyle name="_050422 WMR_VSC_081114 WMR-VSC" xfId="0"/>
    <cellStyle name="_050422 WMR_VSC_081114 WMR-VSC 2" xfId="0"/>
    <cellStyle name="_050422 WMR_VSC_081121 WMR-VSC" xfId="0"/>
    <cellStyle name="_050422 WMR_VSC_081121 WMR-VSC 2" xfId="0"/>
    <cellStyle name="_050422 WMR_VSC_081128 WMR-VSC" xfId="0"/>
    <cellStyle name="_050422 WMR_VSC_081128 WMR-VSC 2" xfId="0"/>
    <cellStyle name="_050422 WMR_VSC_081128 WMR-VSC_1" xfId="0"/>
    <cellStyle name="_050422 WMR_VSC_081128 WMR-VSC_1 2" xfId="0"/>
    <cellStyle name="_050422 WMR_VSC_081205 WMR-VSC" xfId="0"/>
    <cellStyle name="_050422 WMR_VSC_081205 WMR-VSC 2" xfId="0"/>
    <cellStyle name="_050422 WMR_VSC_081212 WMR-VSC" xfId="0"/>
    <cellStyle name="_050422 WMR_VSC_081212 WMR-VSC 2" xfId="0"/>
    <cellStyle name="_050422 WMR_VSC_081219 WMR-VSC" xfId="0"/>
    <cellStyle name="_050422 WMR_VSC_081219 WMR-VSC 2" xfId="0"/>
    <cellStyle name="_050422 WMR_VSC_090102 WMR-VSC" xfId="0"/>
    <cellStyle name="_050422 WMR_VSC_090102 WMR-VSC 2" xfId="0"/>
    <cellStyle name="_050422 WMR_VSC_090424 WMR_VSE (2)" xfId="0"/>
    <cellStyle name="_050422 WMR_VSC_090424 WMR_VSE (2) 2" xfId="0"/>
    <cellStyle name="_050422 WMR_VSC_090703 WMR-VSC" xfId="0"/>
    <cellStyle name="_050422 WMR_VSC_090703 WMR-VSC 2" xfId="0"/>
    <cellStyle name="_050422 WMR_VSC_All Regions WMR Definitions - Updated 7-27-07" xfId="0"/>
    <cellStyle name="_050422 WMR_VSC_All Regions WMR Definitions - Updated 7-27-07 (3)" xfId="0"/>
    <cellStyle name="_050422 WMR_VSC_All Regions WMR Definitions - Updated 7-27-07 (3) 2" xfId="0"/>
    <cellStyle name="_050422 WMR_VSC_All Regions WMR Definitions - Updated 7-27-07 2" xfId="0"/>
    <cellStyle name="_050422 WMR_VSC_All Regions WMR Definitions - Updated 7-27-07 3" xfId="0"/>
    <cellStyle name="_050422 WMR_VSC_All Regions WMR Definitions - Updated 7-27-07 4" xfId="0"/>
    <cellStyle name="_050422 WMR_VSC_AP Turn Days old" xfId="0"/>
    <cellStyle name="_050422 WMR_VSC_AP Turn Days old 2" xfId="0"/>
    <cellStyle name="_050422 WMR_VSC_Cash" xfId="0"/>
    <cellStyle name="_050422 WMR_VSC_Cash 2" xfId="0"/>
    <cellStyle name="_050422 WMR_VSC_Charts" xfId="0"/>
    <cellStyle name="_050422 WMR_VSC_Charts 2" xfId="0"/>
    <cellStyle name="_050422 WMR_VSC_Inv Data" xfId="0"/>
    <cellStyle name="_050422 WMR_VSC_Inv Data 2" xfId="0"/>
    <cellStyle name="_050422 WMR_VSC_Inventory Pivot" xfId="0"/>
    <cellStyle name="_050422 WMR_VSC_Inventory Pivot 2" xfId="0"/>
    <cellStyle name="_050422 WMR_VSC_New Calculation of Inventory turn day" xfId="0"/>
    <cellStyle name="_050422 WMR_VSC_New Calculation of Inventory turn day 2" xfId="0"/>
    <cellStyle name="_050422 WMR_VSC_NEW WMR" xfId="0"/>
    <cellStyle name="_050422 WMR_VSC_NEW WMR 2" xfId="0"/>
    <cellStyle name="_050422 WMR_VSC_OpenOrder Data" xfId="0"/>
    <cellStyle name="_050422 WMR_VSC_OpenOrder Data 2" xfId="0"/>
    <cellStyle name="_050422 WMR_VSC_Revenue % Forecast" xfId="0"/>
    <cellStyle name="_050422 WMR_VSC_Revenue % Forecast 2" xfId="0"/>
    <cellStyle name="_050422 WMR_VSC_Turn Days" xfId="0"/>
    <cellStyle name="_050422 WMR_VSC_Turn Days 2" xfId="0"/>
    <cellStyle name="_050422 WMR_VSC_VDL" xfId="0"/>
    <cellStyle name="_050422 WMR_VSC_VDL 2" xfId="0"/>
    <cellStyle name="_050422 WMR_VSC_VSA" xfId="0"/>
    <cellStyle name="_050422 WMR_VSC_VSA 2" xfId="0"/>
    <cellStyle name="_050422 WMR_VSC_VSA Cash Flow Model (6-4-07)" xfId="0"/>
    <cellStyle name="_050422 WMR_VSC_VSA Cash Flow Model (6-4-07) 2" xfId="0"/>
    <cellStyle name="_050422 WMR_VSC_VSACE" xfId="0"/>
    <cellStyle name="_050422 WMR_VSC_VSACE 2" xfId="0"/>
    <cellStyle name="_050422 WMR_VSC_VSC" xfId="0"/>
    <cellStyle name="_050422 WMR_VSC_VSC 2" xfId="0"/>
    <cellStyle name="_050422 WMR_VSC_VSCN" xfId="0"/>
    <cellStyle name="_050422 WMR_VSC_VSCN 2" xfId="0"/>
    <cellStyle name="_050422 WMR_VSC_VSE" xfId="0"/>
    <cellStyle name="_050422 WMR_VSC_VSE 2" xfId="0"/>
    <cellStyle name="_050422 WMR_VSC_VSE WMR Workbook 08-07-09" xfId="0"/>
    <cellStyle name="_050422 WMR_VSC_VSE WMR Workbook 08-07-09 2" xfId="0"/>
    <cellStyle name="_050422 WMR_VSC_VSE WMR Workbook 11-19-10" xfId="0"/>
    <cellStyle name="_050422 WMR_VSC_VSE WMR Workbook 11-19-10 2" xfId="0"/>
    <cellStyle name="_050422 WMR_VSC_VSE WMR Workbook 12-31-10" xfId="0"/>
    <cellStyle name="_050422 WMR_VSC_VSE WMR Workbook 12-31-10 2" xfId="0"/>
    <cellStyle name="_050422 WMR_VSC_VSI" xfId="0"/>
    <cellStyle name="_050422 WMR_VSC_VSI 2" xfId="0"/>
    <cellStyle name="_050422 WMR_VSC_VSI-WMR" xfId="0"/>
    <cellStyle name="_050422 WMR_VSC_VSI-WMR (5)" xfId="0"/>
    <cellStyle name="_050422 WMR_VSC_VSI-WMR (5) 2" xfId="0"/>
    <cellStyle name="_050422 WMR_VSC_VSI-WMR (6)" xfId="0"/>
    <cellStyle name="_050422 WMR_VSC_VSI-WMR (6) 2" xfId="0"/>
    <cellStyle name="_050422 WMR_VSC_VSI-WMR 10" xfId="0"/>
    <cellStyle name="_050422 WMR_VSC_VSI-WMR 2" xfId="0"/>
    <cellStyle name="_050422 WMR_VSC_VSI-WMR 2007-07-06" xfId="0"/>
    <cellStyle name="_050422 WMR_VSC_VSI-WMR 2007-07-06 2" xfId="0"/>
    <cellStyle name="_050422 WMR_VSC_VSI-WMR 3" xfId="0"/>
    <cellStyle name="_050422 WMR_VSC_VSI-WMR 4" xfId="0"/>
    <cellStyle name="_050422 WMR_VSC_VSI-WMR 5" xfId="0"/>
    <cellStyle name="_050422 WMR_VSC_VSI-WMR 6" xfId="0"/>
    <cellStyle name="_050422 WMR_VSC_VSI-WMR 7" xfId="0"/>
    <cellStyle name="_050422 WMR_VSC_VSI-WMR 8" xfId="0"/>
    <cellStyle name="_050422 WMR_VSC_VSI-WMR 9" xfId="0"/>
    <cellStyle name="_050422 WMR_VSC_VSI-WMR_080822 WMR-VSC" xfId="0"/>
    <cellStyle name="_050422 WMR_VSC_VSI-WMR_080822 WMR-VSC 2" xfId="0"/>
    <cellStyle name="_050422 WMR_VSC_VSI-WMR_080829 WMR" xfId="0"/>
    <cellStyle name="_050422 WMR_VSC_VSI-WMR_080829 WMR 2" xfId="0"/>
    <cellStyle name="_050422 WMR_VSC_VSI-WMR_080905 WMR-VSC" xfId="0"/>
    <cellStyle name="_050422 WMR_VSC_VSI-WMR_080905 WMR-VSC 2" xfId="0"/>
    <cellStyle name="_050422 WMR_VSC_VSI-WMR_080912 WMR-VSC" xfId="0"/>
    <cellStyle name="_050422 WMR_VSC_VSI-WMR_080912 WMR-VSC 2" xfId="0"/>
    <cellStyle name="_050422 WMR_VSC_VSI-WMR_080919 WMR-VSC" xfId="0"/>
    <cellStyle name="_050422 WMR_VSC_VSI-WMR_080919 WMR-VSC 2" xfId="0"/>
    <cellStyle name="_050422 WMR_VSC_VSI-WMR_080926 WMR-VSC" xfId="0"/>
    <cellStyle name="_050422 WMR_VSC_VSI-WMR_080926 WMR-VSC 2" xfId="0"/>
    <cellStyle name="_050422 WMR_VSC_VSI-WMR_081003 WMR-VSC_1" xfId="0"/>
    <cellStyle name="_050422 WMR_VSC_VSI-WMR_081003 WMR-VSC_1 2" xfId="0"/>
    <cellStyle name="_050422 WMR_VSC_VSI-WMR_081010 WMR-VSC" xfId="0"/>
    <cellStyle name="_050422 WMR_VSC_VSI-WMR_081010 WMR-VSC 2" xfId="0"/>
    <cellStyle name="_050422 WMR_VSC_VSI-WMR_081017 WMR-VSC_1" xfId="0"/>
    <cellStyle name="_050422 WMR_VSC_VSI-WMR_081017 WMR-VSC_1 2" xfId="0"/>
    <cellStyle name="_050422 WMR_VSC_VSI-WMR_081024 WMR-VSC" xfId="0"/>
    <cellStyle name="_050422 WMR_VSC_VSI-WMR_081024 WMR-VSC 2" xfId="0"/>
    <cellStyle name="_050422 WMR_VSC_VSI-WMR_081031 WMR-VSC" xfId="0"/>
    <cellStyle name="_050422 WMR_VSC_VSI-WMR_081031 WMR-VSC 2" xfId="0"/>
    <cellStyle name="_050422 WMR_VSC_VSI-WMR_081107 WMR-VSC (2)" xfId="0"/>
    <cellStyle name="_050422 WMR_VSC_VSI-WMR_081107 WMR-VSC (2) 2" xfId="0"/>
    <cellStyle name="_050422 WMR_VSC_VSI-WMR_081107 WMR-VSC_1" xfId="0"/>
    <cellStyle name="_050422 WMR_VSC_VSI-WMR_081107 WMR-VSC_1 2" xfId="0"/>
    <cellStyle name="_050422 WMR_VSC_VSI-WMR_081114 WMR-VSC" xfId="0"/>
    <cellStyle name="_050422 WMR_VSC_VSI-WMR_081114 WMR-VSC 2" xfId="0"/>
    <cellStyle name="_050422 WMR_VSC_VSI-WMR_081121 WMR-VSC" xfId="0"/>
    <cellStyle name="_050422 WMR_VSC_VSI-WMR_081121 WMR-VSC 2" xfId="0"/>
    <cellStyle name="_050422 WMR_VSC_VSI-WMR_081128 WMR-VSC" xfId="0"/>
    <cellStyle name="_050422 WMR_VSC_VSI-WMR_081128 WMR-VSC 2" xfId="0"/>
    <cellStyle name="_050422 WMR_VSC_VSI-WMR_081128 WMR-VSC_1" xfId="0"/>
    <cellStyle name="_050422 WMR_VSC_VSI-WMR_081128 WMR-VSC_1 2" xfId="0"/>
    <cellStyle name="_050422 WMR_VSC_VSI-WMR_081205 WMR-VSC" xfId="0"/>
    <cellStyle name="_050422 WMR_VSC_VSI-WMR_081205 WMR-VSC 2" xfId="0"/>
    <cellStyle name="_050422 WMR_VSC_VSI-WMR_081212 WMR-VSC" xfId="0"/>
    <cellStyle name="_050422 WMR_VSC_VSI-WMR_081212 WMR-VSC 2" xfId="0"/>
    <cellStyle name="_050422 WMR_VSC_VSI-WMR_081219 WMR-VSC" xfId="0"/>
    <cellStyle name="_050422 WMR_VSC_VSI-WMR_081219 WMR-VSC 2" xfId="0"/>
    <cellStyle name="_050422 WMR_VSC_VSI-WMR_090102 WMR-VSC" xfId="0"/>
    <cellStyle name="_050422 WMR_VSC_VSI-WMR_090102 WMR-VSC 2" xfId="0"/>
    <cellStyle name="_050422 WMR_VSC_VSI-WMR_090424 WMR_VSE (2)" xfId="0"/>
    <cellStyle name="_050422 WMR_VSC_VSI-WMR_090424 WMR_VSE (2) 2" xfId="0"/>
    <cellStyle name="_050422 WMR_VSC_VSI-WMR_090703 WMR-VSC" xfId="0"/>
    <cellStyle name="_050422 WMR_VSC_VSI-WMR_090703 WMR-VSC 2" xfId="0"/>
    <cellStyle name="_050422 WMR_VSC_VSI-WMR_AP Turn Days old" xfId="0"/>
    <cellStyle name="_050422 WMR_VSC_VSI-WMR_AP Turn Days old 2" xfId="0"/>
    <cellStyle name="_050422 WMR_VSC_VSI-WMR_Cash" xfId="0"/>
    <cellStyle name="_050422 WMR_VSC_VSI-WMR_Cash 2" xfId="0"/>
    <cellStyle name="_050422 WMR_VSC_VSI-WMR_Charts" xfId="0"/>
    <cellStyle name="_050422 WMR_VSC_VSI-WMR_Charts 2" xfId="0"/>
    <cellStyle name="_050422 WMR_VSC_VSI-WMR_Inv Data" xfId="0"/>
    <cellStyle name="_050422 WMR_VSC_VSI-WMR_Inv Data 2" xfId="0"/>
    <cellStyle name="_050422 WMR_VSC_VSI-WMR_Inventory Pivot" xfId="0"/>
    <cellStyle name="_050422 WMR_VSC_VSI-WMR_Inventory Pivot 2" xfId="0"/>
    <cellStyle name="_050422 WMR_VSC_VSI-WMR_NEW WMR" xfId="0"/>
    <cellStyle name="_050422 WMR_VSC_VSI-WMR_NEW WMR 2" xfId="0"/>
    <cellStyle name="_050422 WMR_VSC_VSI-WMR_OpenOrder Data" xfId="0"/>
    <cellStyle name="_050422 WMR_VSC_VSI-WMR_OpenOrder Data 2" xfId="0"/>
    <cellStyle name="_050422 WMR_VSC_VSI-WMR_Revenue % Forecast" xfId="0"/>
    <cellStyle name="_050422 WMR_VSC_VSI-WMR_Revenue % Forecast 2" xfId="0"/>
    <cellStyle name="_050422 WMR_VSC_VSI-WMR_Turn Days" xfId="0"/>
    <cellStyle name="_050422 WMR_VSC_VSI-WMR_Turn Days 2" xfId="0"/>
    <cellStyle name="_050422 WMR_VSC_VSI-WMR_VDL" xfId="0"/>
    <cellStyle name="_050422 WMR_VSC_VSI-WMR_VDL 2" xfId="0"/>
    <cellStyle name="_050422 WMR_VSC_VSI-WMR_VSA" xfId="0"/>
    <cellStyle name="_050422 WMR_VSC_VSI-WMR_VSA 2" xfId="0"/>
    <cellStyle name="_050422 WMR_VSC_VSI-WMR_VSA Cash Flow Model (6-4-07)" xfId="0"/>
    <cellStyle name="_050422 WMR_VSC_VSI-WMR_VSA Cash Flow Model (6-4-07) 2" xfId="0"/>
    <cellStyle name="_050422 WMR_VSC_VSI-WMR_VSACE" xfId="0"/>
    <cellStyle name="_050422 WMR_VSC_VSI-WMR_VSACE 2" xfId="0"/>
    <cellStyle name="_050422 WMR_VSC_VSI-WMR_VSC" xfId="0"/>
    <cellStyle name="_050422 WMR_VSC_VSI-WMR_VSC 2" xfId="0"/>
    <cellStyle name="_050422 WMR_VSC_VSI-WMR_VSCN" xfId="0"/>
    <cellStyle name="_050422 WMR_VSC_VSI-WMR_VSCN 2" xfId="0"/>
    <cellStyle name="_050422 WMR_VSC_VSI-WMR_VSE" xfId="0"/>
    <cellStyle name="_050422 WMR_VSC_VSI-WMR_VSE 2" xfId="0"/>
    <cellStyle name="_050422 WMR_VSC_VSI-WMR_VSE WMR Workbook 08-07-09" xfId="0"/>
    <cellStyle name="_050422 WMR_VSC_VSI-WMR_VSE WMR Workbook 08-07-09 2" xfId="0"/>
    <cellStyle name="_050422 WMR_VSC_VSI-WMR_VSE WMR Workbook 11-19-10" xfId="0"/>
    <cellStyle name="_050422 WMR_VSC_VSI-WMR_VSE WMR Workbook 11-19-10 2" xfId="0"/>
    <cellStyle name="_050422 WMR_VSC_VSI-WMR_VSE WMR Workbook 12-31-10" xfId="0"/>
    <cellStyle name="_050422 WMR_VSC_VSI-WMR_VSE WMR Workbook 12-31-10 2" xfId="0"/>
    <cellStyle name="_050422 WMR_VSC_VSI-WMR_VSI" xfId="0"/>
    <cellStyle name="_050422 WMR_VSC_VSI-WMR_VSI 2" xfId="0"/>
    <cellStyle name="_050422 WMR_VSC_VSI-WMR_WMR" xfId="0"/>
    <cellStyle name="_050422 WMR_VSC_VSI-WMR_WMR (by QTY)" xfId="0"/>
    <cellStyle name="_050422 WMR_VSC_VSI-WMR_WMR (by QTY) 2" xfId="0"/>
    <cellStyle name="_050422 WMR_VSC_VSI-WMR_WMR 2" xfId="0"/>
    <cellStyle name="_050422 WMR_VSC_VSI-WMR_WMR 3" xfId="0"/>
    <cellStyle name="_050422 WMR_VSC_VSI-WMR_WMR 4" xfId="0"/>
    <cellStyle name="_050422 WMR_VSC_WMR" xfId="0"/>
    <cellStyle name="_050422 WMR_VSC_WMR (by QTY)" xfId="0"/>
    <cellStyle name="_050422 WMR_VSC_WMR (by QTY) 2" xfId="0"/>
    <cellStyle name="_050422 WMR_VSC_WMR 2" xfId="0"/>
    <cellStyle name="_050422 WMR_VSC_WMR 3" xfId="0"/>
    <cellStyle name="_050422 WMR_VSC_WMR 4" xfId="0"/>
    <cellStyle name="_050422 WMR_VSC_WMR Definitions" xfId="0"/>
    <cellStyle name="_050422 WMR_VSC_WMR Definitions 2" xfId="0"/>
    <cellStyle name="_050422 WMR_VSC_WMR VSCN" xfId="0"/>
    <cellStyle name="_050422 WMR_VSC_WMR VSCN 2" xfId="0"/>
    <cellStyle name="_050422 WMR_VSC_WMR VSCN(by Value)" xfId="0"/>
    <cellStyle name="_050422 WMR_VSC_WMR VSCN(by Value) 2" xfId="0"/>
    <cellStyle name="_080606 WMR-VSC" xfId="0"/>
    <cellStyle name="_080606 WMR-VSC 2" xfId="0"/>
    <cellStyle name="_10-Dec-2010" xfId="0"/>
    <cellStyle name="_10-Dec-2010 2" xfId="0"/>
    <cellStyle name="_1008 Slow-LCM" xfId="0"/>
    <cellStyle name="_1008 Slow-LCM 2" xfId="0"/>
    <cellStyle name="_1008 Slow-LCM 2 2" xfId="0"/>
    <cellStyle name="_1008 Slow-LCM 3" xfId="0"/>
    <cellStyle name="_1009 Slow-LCM" xfId="0"/>
    <cellStyle name="_1009 Slow-LCM 2" xfId="0"/>
    <cellStyle name="_1009 Slow-LCM 2 2" xfId="0"/>
    <cellStyle name="_1009 Slow-LCM 3" xfId="0"/>
    <cellStyle name="_1010 Slow-LCM" xfId="0"/>
    <cellStyle name="_1010 Slow-LCM 2" xfId="0"/>
    <cellStyle name="_1010 Slow-LCM 2 2" xfId="0"/>
    <cellStyle name="_1010 Slow-LCM 3" xfId="0"/>
    <cellStyle name="_1011 Slow-LCM" xfId="0"/>
    <cellStyle name="_1011 Slow-LCM 2" xfId="0"/>
    <cellStyle name="_1011 Slow-LCM 2 2" xfId="0"/>
    <cellStyle name="_1011 Slow-LCM 3" xfId="0"/>
    <cellStyle name="_1012 Slow-LCM" xfId="0"/>
    <cellStyle name="_1012 Slow-LCM 2" xfId="0"/>
    <cellStyle name="_1012 Slow-LCM 2 2" xfId="0"/>
    <cellStyle name="_1012 Slow-LCM 3" xfId="0"/>
    <cellStyle name="_12-Nov-2010" xfId="0"/>
    <cellStyle name="_12-Nov-2010 2" xfId="0"/>
    <cellStyle name="_13-wk VSA_Revised" xfId="0"/>
    <cellStyle name="_13-wk VSA_Revised 2" xfId="0"/>
    <cellStyle name="_13-wk VSA_Revised 2 2" xfId="0"/>
    <cellStyle name="_13-wk VSA_Revised 3" xfId="0"/>
    <cellStyle name="_13-wk VSA_Revised_090703 WMR-VSC" xfId="0"/>
    <cellStyle name="_13-wk VSA_Revised_090703 WMR-VSC 2" xfId="0"/>
    <cellStyle name="_13-wk VSA_Revised_090703 WMR-VSC_13-wk VSA_Revised" xfId="0"/>
    <cellStyle name="_13-wk VSA_Revised_090703 WMR-VSC_13-wk VSA_Revised 2" xfId="0"/>
    <cellStyle name="_13-wk VSA_Revised_090703 WMR-VSC_NEW WMR" xfId="0"/>
    <cellStyle name="_13-wk VSA_Revised_090703 WMR-VSC_NEW WMR 2" xfId="0"/>
    <cellStyle name="_13-wk VSA_Revised_090703 WMR-VSC_NEW WMR_13-wk VSA_Revised" xfId="0"/>
    <cellStyle name="_13-wk VSA_Revised_090703 WMR-VSC_NEW WMR_13-wk VSA_Revised 2" xfId="0"/>
    <cellStyle name="_13-wk VSA_Revised_090703 WMR-VSC_NEW WMR_Charts" xfId="0"/>
    <cellStyle name="_13-wk VSA_Revised_090703 WMR-VSC_NEW WMR_Charts 2" xfId="0"/>
    <cellStyle name="_13-wk VSA_Revised_090703 WMR-VSC_VSA" xfId="0"/>
    <cellStyle name="_13-wk VSA_Revised_090703 WMR-VSC_VSA 2" xfId="0"/>
    <cellStyle name="_13-wk VSA_Revised_090703 WMR-VSC_VSA_13-wk VSA_Revised" xfId="0"/>
    <cellStyle name="_13-wk VSA_Revised_090703 WMR-VSC_VSA_13-wk VSA_Revised 2" xfId="0"/>
    <cellStyle name="_13-wk VSA_Revised_090703 WMR-VSC_VSA_Charts" xfId="0"/>
    <cellStyle name="_13-wk VSA_Revised_090703 WMR-VSC_VSA_Charts 2" xfId="0"/>
    <cellStyle name="_13-wk VSA_Revised_090703 WMR-VSC_VSC" xfId="0"/>
    <cellStyle name="_13-wk VSA_Revised_090703 WMR-VSC_VSC 2" xfId="0"/>
    <cellStyle name="_13-wk VSA_Revised_090703 WMR-VSC_VSC_13-wk VSA_Revised" xfId="0"/>
    <cellStyle name="_13-wk VSA_Revised_090703 WMR-VSC_VSC_13-wk VSA_Revised 2" xfId="0"/>
    <cellStyle name="_13-wk VSA_Revised_090703 WMR-VSC_VSC_Charts" xfId="0"/>
    <cellStyle name="_13-wk VSA_Revised_090703 WMR-VSC_VSC_Charts 2" xfId="0"/>
    <cellStyle name="_13-wk VSA_Revised_090703 WMR-VSC_VSCN" xfId="0"/>
    <cellStyle name="_13-wk VSA_Revised_090703 WMR-VSC_VSCN 2" xfId="0"/>
    <cellStyle name="_13-wk VSA_Revised_090703 WMR-VSC_VSCN_13-wk VSA_Revised" xfId="0"/>
    <cellStyle name="_13-wk VSA_Revised_090703 WMR-VSC_VSCN_13-wk VSA_Revised 2" xfId="0"/>
    <cellStyle name="_13-wk VSA_Revised_090703 WMR-VSC_VSCN_Charts" xfId="0"/>
    <cellStyle name="_13-wk VSA_Revised_090703 WMR-VSC_VSCN_Charts 2" xfId="0"/>
    <cellStyle name="_13-wk VSA_Revised_090703 WMR-VSC_VSE" xfId="0"/>
    <cellStyle name="_13-wk VSA_Revised_090703 WMR-VSC_VSE 2" xfId="0"/>
    <cellStyle name="_13-wk VSA_Revised_090703 WMR-VSC_VSE_13-wk VSA_Revised" xfId="0"/>
    <cellStyle name="_13-wk VSA_Revised_090703 WMR-VSC_VSE_13-wk VSA_Revised 2" xfId="0"/>
    <cellStyle name="_13-wk VSA_Revised_090703 WMR-VSC_VSE_Charts" xfId="0"/>
    <cellStyle name="_13-wk VSA_Revised_090703 WMR-VSC_VSE_Charts 2" xfId="0"/>
    <cellStyle name="_13-wk VSA_Revised_090703 WMR-VSC_VSI" xfId="0"/>
    <cellStyle name="_13-wk VSA_Revised_090703 WMR-VSC_VSI 2" xfId="0"/>
    <cellStyle name="_13-wk VSA_Revised_090703 WMR-VSC_VSI_13-wk VSA_Revised" xfId="0"/>
    <cellStyle name="_13-wk VSA_Revised_090703 WMR-VSC_VSI_13-wk VSA_Revised 2" xfId="0"/>
    <cellStyle name="_13-wk VSA_Revised_090703 WMR-VSC_VSI_Charts" xfId="0"/>
    <cellStyle name="_13-wk VSA_Revised_090703 WMR-VSC_VSI_Charts 2" xfId="0"/>
    <cellStyle name="_13-wk VSA_Revised_13-wk VSA_Revised" xfId="0"/>
    <cellStyle name="_13-wk VSA_Revised_13-wk VSA_Revised 2" xfId="0"/>
    <cellStyle name="_13-wk VSA_Revised_13-wk VSI_Revised" xfId="0"/>
    <cellStyle name="_13-wk VSA_Revised_13-wk VSI_Revised 2" xfId="0"/>
    <cellStyle name="_13-wk VSA_Revised_Charts" xfId="0"/>
    <cellStyle name="_13-wk VSA_Revised_Charts 2" xfId="0"/>
    <cellStyle name="_13-wk VSA_Revised_DCR" xfId="0"/>
    <cellStyle name="_13-wk VSA_Revised_DCR 2" xfId="0"/>
    <cellStyle name="_13-wk VSA_Revised_VSI" xfId="0"/>
    <cellStyle name="_13-wk VSA_Revised_VSI 2" xfId="0"/>
    <cellStyle name="_13-wk VSA_Revised_VSI_13-wk VSA_Revised" xfId="0"/>
    <cellStyle name="_13-wk VSA_Revised_VSI_13-wk VSA_Revised 2" xfId="0"/>
    <cellStyle name="_13-wk VSA_Revised_VSI_NEW WMR" xfId="0"/>
    <cellStyle name="_13-wk VSA_Revised_VSI_NEW WMR 2" xfId="0"/>
    <cellStyle name="_13-wk VSA_Revised_VSI_NEW WMR_13-wk VSA_Revised" xfId="0"/>
    <cellStyle name="_13-wk VSA_Revised_VSI_NEW WMR_13-wk VSA_Revised 2" xfId="0"/>
    <cellStyle name="_13-wk VSA_Revised_VSI_NEW WMR_Charts" xfId="0"/>
    <cellStyle name="_13-wk VSA_Revised_VSI_NEW WMR_Charts 2" xfId="0"/>
    <cellStyle name="_13-wk VSA_Revised_VSI_VSA" xfId="0"/>
    <cellStyle name="_13-wk VSA_Revised_VSI_VSA 2" xfId="0"/>
    <cellStyle name="_13-wk VSA_Revised_VSI_VSA_13-wk VSA_Revised" xfId="0"/>
    <cellStyle name="_13-wk VSA_Revised_VSI_VSA_13-wk VSA_Revised 2" xfId="0"/>
    <cellStyle name="_13-wk VSA_Revised_VSI_VSA_Charts" xfId="0"/>
    <cellStyle name="_13-wk VSA_Revised_VSI_VSA_Charts 2" xfId="0"/>
    <cellStyle name="_13-wk VSA_Revised_VSI_VSC" xfId="0"/>
    <cellStyle name="_13-wk VSA_Revised_VSI_VSC 2" xfId="0"/>
    <cellStyle name="_13-wk VSA_Revised_VSI_VSC_13-wk VSA_Revised" xfId="0"/>
    <cellStyle name="_13-wk VSA_Revised_VSI_VSC_13-wk VSA_Revised 2" xfId="0"/>
    <cellStyle name="_13-wk VSA_Revised_VSI_VSC_Charts" xfId="0"/>
    <cellStyle name="_13-wk VSA_Revised_VSI_VSC_Charts 2" xfId="0"/>
    <cellStyle name="_13-wk VSA_Revised_VSI_VSCN" xfId="0"/>
    <cellStyle name="_13-wk VSA_Revised_VSI_VSCN 2" xfId="0"/>
    <cellStyle name="_13-wk VSA_Revised_VSI_VSCN_13-wk VSA_Revised" xfId="0"/>
    <cellStyle name="_13-wk VSA_Revised_VSI_VSCN_13-wk VSA_Revised 2" xfId="0"/>
    <cellStyle name="_13-wk VSA_Revised_VSI_VSCN_Charts" xfId="0"/>
    <cellStyle name="_13-wk VSA_Revised_VSI_VSCN_Charts 2" xfId="0"/>
    <cellStyle name="_13-wk VSA_Revised_VSI_VSE" xfId="0"/>
    <cellStyle name="_13-wk VSA_Revised_VSI_VSE 2" xfId="0"/>
    <cellStyle name="_13-wk VSA_Revised_VSI_VSE_13-wk VSA_Revised" xfId="0"/>
    <cellStyle name="_13-wk VSA_Revised_VSI_VSE_13-wk VSA_Revised 2" xfId="0"/>
    <cellStyle name="_13-wk VSA_Revised_VSI_VSE_Charts" xfId="0"/>
    <cellStyle name="_13-wk VSA_Revised_VSI_VSE_Charts 2" xfId="0"/>
    <cellStyle name="_13-wk VSA_Revised_VSI_VSI" xfId="0"/>
    <cellStyle name="_13-wk VSA_Revised_VSI_VSI 2" xfId="0"/>
    <cellStyle name="_13-wk VSA_Revised_VSI_VSI_13-wk VSA_Revised" xfId="0"/>
    <cellStyle name="_13-wk VSA_Revised_VSI_VSI_13-wk VSA_Revised 2" xfId="0"/>
    <cellStyle name="_13-wk VSA_Revised_VSI_VSI_Charts" xfId="0"/>
    <cellStyle name="_13-wk VSA_Revised_VSI_VSI_Charts 2" xfId="0"/>
    <cellStyle name="_13-wk VSA_Revised_WMR VSI" xfId="0"/>
    <cellStyle name="_13-wk VSA_Revised_WMR VSI 2" xfId="0"/>
    <cellStyle name="_17-Dec-2010" xfId="0"/>
    <cellStyle name="_17-Dec-2010 2" xfId="0"/>
    <cellStyle name="_170907" xfId="0"/>
    <cellStyle name="_170907 2" xfId="0"/>
    <cellStyle name="_170907_2007 Margin Calc Check" xfId="0"/>
    <cellStyle name="_170907_2007 Margin Calc Check 2" xfId="0"/>
    <cellStyle name="_170907_2008 Margin Calc Check" xfId="0"/>
    <cellStyle name="_170907_2008 Margin Calc Check 2" xfId="0"/>
    <cellStyle name="_170907_Margin Calc Check" xfId="0"/>
    <cellStyle name="_170907_Margin Calc Check 100630" xfId="0"/>
    <cellStyle name="_170907_Margin Calc Check 100630 2" xfId="0"/>
    <cellStyle name="_170907_Margin Calc Check 100725" xfId="0"/>
    <cellStyle name="_170907_Margin Calc Check 100725 2" xfId="0"/>
    <cellStyle name="_170907_Margin Calc Check 100731" xfId="0"/>
    <cellStyle name="_170907_Margin Calc Check 100731 2" xfId="0"/>
    <cellStyle name="_170907_Margin Calc Check 100820" xfId="0"/>
    <cellStyle name="_170907_Margin Calc Check 100820 2" xfId="0"/>
    <cellStyle name="_170907_Margin Calc Check 100831" xfId="0"/>
    <cellStyle name="_170907_Margin Calc Check 100831 2" xfId="0"/>
    <cellStyle name="_170907_Margin Calc Check 100930" xfId="0"/>
    <cellStyle name="_170907_Margin Calc Check 100930 2" xfId="0"/>
    <cellStyle name="_170907_Margin Calc Check 101031" xfId="0"/>
    <cellStyle name="_170907_Margin Calc Check 101031 2" xfId="0"/>
    <cellStyle name="_170907_Margin Calc Check 2" xfId="0"/>
    <cellStyle name="_170907_Margin Calc Check-cost updated (2)" xfId="0"/>
    <cellStyle name="_170907_Margin Calc Check-cost updated (2) 2" xfId="0"/>
    <cellStyle name="_170907_Margin Calc Check-cost updated-14-05-10" xfId="0"/>
    <cellStyle name="_170907_Margin Calc Check-cost updated-14-05-10 2" xfId="0"/>
    <cellStyle name="_170907_Margin Calc Check-cost updated-21-04-10" xfId="0"/>
    <cellStyle name="_170907_Margin Calc Check-cost updated-21-04-10 2" xfId="0"/>
    <cellStyle name="_170907_Margin Calc Check-cost updated-21-05-10" xfId="0"/>
    <cellStyle name="_170907_Margin Calc Check-cost updated-21-05-10 2" xfId="0"/>
    <cellStyle name="_170907_Margin Calc Check-cost updated-22-01-10" xfId="0"/>
    <cellStyle name="_170907_Margin Calc Check-cost updated-22-01-10 2" xfId="0"/>
    <cellStyle name="_170907_Margin Calc Check-cost updated-28-02-10" xfId="0"/>
    <cellStyle name="_170907_Margin Calc Check-cost updated-28-02-10 2" xfId="0"/>
    <cellStyle name="_170907_Margin Calc Check-cost updated-30-04-10" xfId="0"/>
    <cellStyle name="_170907_Margin Calc Check-cost updated-30-04-10 2" xfId="0"/>
    <cellStyle name="_170907_Margin Calc Check-cost updated-31-01-10" xfId="0"/>
    <cellStyle name="_170907_Margin Calc Check-cost updated-31-01-10 2" xfId="0"/>
    <cellStyle name="_170907_Margin Calc Check-cost updated-31-12-09" xfId="0"/>
    <cellStyle name="_170907_Margin Calc Check-cost updated-31-12-09 2" xfId="0"/>
    <cellStyle name="_19-Nov-2010" xfId="0"/>
    <cellStyle name="_19-Nov-2010 (2)" xfId="0"/>
    <cellStyle name="_19-Nov-2010 (2) 2" xfId="0"/>
    <cellStyle name="_19-Nov-2010 2" xfId="0"/>
    <cellStyle name="_19-Nov-2010 3" xfId="0"/>
    <cellStyle name="_19-Nov-2010 4" xfId="0"/>
    <cellStyle name="_2007 CPC COGS 070814_cbt" xfId="0"/>
    <cellStyle name="_2007 CPC COGS 070814_cbt 2" xfId="0"/>
    <cellStyle name="_2007 CPC COGS 070814_cbt_CORP SG&amp;A" xfId="0"/>
    <cellStyle name="_2007 CPC COGS 070913_cbt" xfId="0"/>
    <cellStyle name="_2007 CPC COGS 070913_cbt 2" xfId="0"/>
    <cellStyle name="_2007 CPC COGS 070913_cbt_CORP SG&amp;A" xfId="0"/>
    <cellStyle name="_2007 CPC COGS 071024_cbt" xfId="0"/>
    <cellStyle name="_2007 CPC COGS 071024_cbt 2" xfId="0"/>
    <cellStyle name="_2007 CPC COGS 071024_cbt_CORP SG&amp;A" xfId="0"/>
    <cellStyle name="_2007 CPC COGS beginning_cbt" xfId="0"/>
    <cellStyle name="_2007 CPC COGS beginning_cbt 2" xfId="0"/>
    <cellStyle name="_2007 CPC COGS beginning_cbt_CORP SG&amp;A" xfId="0"/>
    <cellStyle name="_2007 CPC COGS LCD TV 0708" xfId="0"/>
    <cellStyle name="_2007 CPC COGS LCD TV 0708 2" xfId="0"/>
    <cellStyle name="_2007 CPC COGS LCD TV 0708-2" xfId="0"/>
    <cellStyle name="_2007 CPC COGS LCD TV 0708-2 2" xfId="0"/>
    <cellStyle name="_2007 CPC COGS LCD TV 0708-2_CORP SG&amp;A" xfId="0"/>
    <cellStyle name="_2007 CPC COGS LCD TV 0708_CORP SG&amp;A" xfId="0"/>
    <cellStyle name="_2007 CPC COGS LCD TV 0710 jo" xfId="0"/>
    <cellStyle name="_2007 CPC COGS LCD TV 0710 jo 2" xfId="0"/>
    <cellStyle name="_2007 CPC COGS LCD TV 0710 jo_CORP SG&amp;A" xfId="0"/>
    <cellStyle name="_2008" xfId="0"/>
    <cellStyle name="_2008 CPC COGS _cbt" xfId="0"/>
    <cellStyle name="_2008 CPC COGS _cbt 2" xfId="0"/>
    <cellStyle name="_2008 CPC COGS _cbt_CORP SG&amp;A" xfId="0"/>
    <cellStyle name="_2008 CPC COGS LCD TV" xfId="0"/>
    <cellStyle name="_2008 CPC COGS LCD TV 2" xfId="0"/>
    <cellStyle name="_2008 CPC COGS LCD TV_CORP SG&amp;A" xfId="0"/>
    <cellStyle name="_2008_2010 Existing SKU" xfId="0"/>
    <cellStyle name="_2009 FA (TWD) vsi" xfId="0"/>
    <cellStyle name="_2009 FA (TWD) vsi 2" xfId="0"/>
    <cellStyle name="_2009 FA (TWD) vsi_2011 FA (TWD) vsi" xfId="0"/>
    <cellStyle name="_2009 FA (TWD) vsi_2011 FA (TWD) vsi 2" xfId="0"/>
    <cellStyle name="_2009 FA (TWD) vsi_2011 FA (USD) vsi " xfId="0"/>
    <cellStyle name="_2009 FA (TWD) vsi_2011 FA (USD) vsi  2" xfId="0"/>
    <cellStyle name="_2009 FA (TWD) vsi_2012 FA (TWD) vsi" xfId="0"/>
    <cellStyle name="_2009 FA (TWD) vsi_2012 FA (TWD) vsi 2" xfId="0"/>
    <cellStyle name="_2009 FA (TWD) vsi_2012 FA (USD) vsi " xfId="0"/>
    <cellStyle name="_2009 FA (TWD) vsi_2012 FA (USD) vsi  2" xfId="0"/>
    <cellStyle name="_2009 FA (TWD) vsi_RETIREMEN vsi" xfId="0"/>
    <cellStyle name="_2009 FA (TWD) vsi_RETIREMEN vsi 2" xfId="0"/>
    <cellStyle name="_2009 FA (TWD) vsi_TB-TWD" xfId="0"/>
    <cellStyle name="_2009 FA (TWD) vsi_TB-TWD 2" xfId="0"/>
    <cellStyle name="_2009 FA (TWD) vsi_VSI FA Rollforward 1003" xfId="0"/>
    <cellStyle name="_2009 FA (TWD) vsi_VSI FA Rollforward 1003 2" xfId="0"/>
    <cellStyle name="_2009 FA (TWD) vsi_VSI FA Rollforward 1003_RETIREMEN vsi" xfId="0"/>
    <cellStyle name="_2009 FA (TWD) vsi_VSI FA Rollforward 1003_RETIREMEN vsi 2" xfId="0"/>
    <cellStyle name="_200906 Allowance for Bad Debt" xfId="0"/>
    <cellStyle name="_200906 Allowance for Bad Debt 2" xfId="0"/>
    <cellStyle name="_2010 FA (TWD) vsi" xfId="0"/>
    <cellStyle name="_2010 FA (TWD) vsi 2" xfId="0"/>
    <cellStyle name="_24-Dec-2010" xfId="0"/>
    <cellStyle name="_24-Dec-2010 2" xfId="0"/>
    <cellStyle name="_240907" xfId="0"/>
    <cellStyle name="_240907 2" xfId="0"/>
    <cellStyle name="_240907_2007 Margin Calc Check" xfId="0"/>
    <cellStyle name="_240907_2007 Margin Calc Check 2" xfId="0"/>
    <cellStyle name="_240907_2008 Margin Calc Check" xfId="0"/>
    <cellStyle name="_240907_2008 Margin Calc Check 2" xfId="0"/>
    <cellStyle name="_240907_Margin Calc Check" xfId="0"/>
    <cellStyle name="_240907_Margin Calc Check 100630" xfId="0"/>
    <cellStyle name="_240907_Margin Calc Check 100630 2" xfId="0"/>
    <cellStyle name="_240907_Margin Calc Check 100725" xfId="0"/>
    <cellStyle name="_240907_Margin Calc Check 100725 2" xfId="0"/>
    <cellStyle name="_240907_Margin Calc Check 100731" xfId="0"/>
    <cellStyle name="_240907_Margin Calc Check 100731 2" xfId="0"/>
    <cellStyle name="_240907_Margin Calc Check 100820" xfId="0"/>
    <cellStyle name="_240907_Margin Calc Check 100820 2" xfId="0"/>
    <cellStyle name="_240907_Margin Calc Check 100831" xfId="0"/>
    <cellStyle name="_240907_Margin Calc Check 100831 2" xfId="0"/>
    <cellStyle name="_240907_Margin Calc Check 100930" xfId="0"/>
    <cellStyle name="_240907_Margin Calc Check 100930 2" xfId="0"/>
    <cellStyle name="_240907_Margin Calc Check 101031" xfId="0"/>
    <cellStyle name="_240907_Margin Calc Check 101031 2" xfId="0"/>
    <cellStyle name="_240907_Margin Calc Check 2" xfId="0"/>
    <cellStyle name="_240907_Margin Calc Check-cost updated (2)" xfId="0"/>
    <cellStyle name="_240907_Margin Calc Check-cost updated (2) 2" xfId="0"/>
    <cellStyle name="_240907_Margin Calc Check-cost updated-14-05-10" xfId="0"/>
    <cellStyle name="_240907_Margin Calc Check-cost updated-14-05-10 2" xfId="0"/>
    <cellStyle name="_240907_Margin Calc Check-cost updated-21-04-10" xfId="0"/>
    <cellStyle name="_240907_Margin Calc Check-cost updated-21-04-10 2" xfId="0"/>
    <cellStyle name="_240907_Margin Calc Check-cost updated-21-05-10" xfId="0"/>
    <cellStyle name="_240907_Margin Calc Check-cost updated-21-05-10 2" xfId="0"/>
    <cellStyle name="_240907_Margin Calc Check-cost updated-22-01-10" xfId="0"/>
    <cellStyle name="_240907_Margin Calc Check-cost updated-22-01-10 2" xfId="0"/>
    <cellStyle name="_240907_Margin Calc Check-cost updated-28-02-10" xfId="0"/>
    <cellStyle name="_240907_Margin Calc Check-cost updated-28-02-10 2" xfId="0"/>
    <cellStyle name="_240907_Margin Calc Check-cost updated-30-04-10" xfId="0"/>
    <cellStyle name="_240907_Margin Calc Check-cost updated-30-04-10 2" xfId="0"/>
    <cellStyle name="_240907_Margin Calc Check-cost updated-31-01-10" xfId="0"/>
    <cellStyle name="_240907_Margin Calc Check-cost updated-31-01-10 2" xfId="0"/>
    <cellStyle name="_240907_Margin Calc Check-cost updated-31-12-09" xfId="0"/>
    <cellStyle name="_240907_Margin Calc Check-cost updated-31-12-09 2" xfId="0"/>
    <cellStyle name="_26-Nov-2010" xfId="0"/>
    <cellStyle name="_26-Nov-2010 2" xfId="0"/>
    <cellStyle name="_3&amp;4.GSC Reclass" xfId="0"/>
    <cellStyle name="_3&amp;4.GSC Reclass 2" xfId="0"/>
    <cellStyle name="_31-Dec-2010" xfId="0"/>
    <cellStyle name="_31-Dec-2010 2" xfId="0"/>
    <cellStyle name="_4 rolling weeks revenue prt mix" xfId="0"/>
    <cellStyle name="_4 rolling weeks revenue prt mix 2" xfId="0"/>
    <cellStyle name="_5.CPC to Regions" xfId="0"/>
    <cellStyle name="_5.CPC to Regions 2" xfId="0"/>
    <cellStyle name="_5.CPC to Regions_CORP SG&amp;A" xfId="0"/>
    <cellStyle name="_6.VSA BU Corp Alloc" xfId="0"/>
    <cellStyle name="_6.VSA BU Corp Alloc 2" xfId="0"/>
    <cellStyle name="_7.VSE BU Corp Alloc" xfId="0"/>
    <cellStyle name="_7.VSE BU Corp Alloc 2" xfId="0"/>
    <cellStyle name="_8.VSI BU Corp Alloc" xfId="0"/>
    <cellStyle name="_8.VSI BU Corp Alloc 2" xfId="0"/>
    <cellStyle name="_9.VSCN BU Corp Alloc" xfId="0"/>
    <cellStyle name="_9.VSCN BU Corp Alloc 2" xfId="0"/>
    <cellStyle name="_Andrei" xfId="0"/>
    <cellStyle name="_Andrei 2" xfId="0"/>
    <cellStyle name="_AP Data" xfId="0"/>
    <cellStyle name="_AP Data 2" xfId="0"/>
    <cellStyle name="_AP Turnover" xfId="0"/>
    <cellStyle name="_AP Turnover 2" xfId="0"/>
    <cellStyle name="_AP Vendors" xfId="0"/>
    <cellStyle name="_AP Vendors 2" xfId="0"/>
    <cellStyle name="_AP Vendors_1" xfId="0"/>
    <cellStyle name="_AP Vendors_1 2" xfId="0"/>
    <cellStyle name="_AR Collections (2)" xfId="0"/>
    <cellStyle name="_AR Collections (2) 2" xfId="0"/>
    <cellStyle name="_AR Collections(2)" xfId="0"/>
    <cellStyle name="_AR Collections(2) 2" xfId="0"/>
    <cellStyle name="_Arclite" xfId="0"/>
    <cellStyle name="_Arclite 2" xfId="0"/>
    <cellStyle name="_ASP Balance Sheet Entry - Jul 08" xfId="0"/>
    <cellStyle name="_ASP Balance Sheet Entry - Jul 08 2" xfId="0"/>
    <cellStyle name="_ASP Monthly Stock Report_July_ 2009_AV 31-07-09" xfId="0"/>
    <cellStyle name="_ASP Monthly Stock Report_July_ 2009_AV 31-07-09 2" xfId="0"/>
    <cellStyle name="_ASP Report Processing Info File - NLewis - 14.11.2003" xfId="0"/>
    <cellStyle name="_ASP Report Processing Info File - NLewis - 14.11.2003 2" xfId="0"/>
    <cellStyle name="_ASP Stock" xfId="0"/>
    <cellStyle name="_ASP Stock 2" xfId="0"/>
    <cellStyle name="_ASP Stock_ASP Balance Sheet Entry - Jul 08" xfId="0"/>
    <cellStyle name="_ASP Stock_ASP Balance Sheet Entry - Jul 08 2" xfId="0"/>
    <cellStyle name="_ASP Stock_ASP Monthly Stock Report_July_ 2009_AV 31-07-09" xfId="0"/>
    <cellStyle name="_ASP Stock_ASP Monthly Stock Report_July_ 2009_AV 31-07-09 2" xfId="0"/>
    <cellStyle name="_Before Allocation" xfId="0"/>
    <cellStyle name="_BER BS" xfId="0"/>
    <cellStyle name="_BER BS 2" xfId="0"/>
    <cellStyle name="_Berd approved" xfId="0"/>
    <cellStyle name="_Berd approved 2" xfId="0"/>
    <cellStyle name="_Berd approved by Jessie" xfId="0"/>
    <cellStyle name="_Berd approved by Jessie 2" xfId="0"/>
    <cellStyle name="_Book1" xfId="0"/>
    <cellStyle name="_Book1 2" xfId="0"/>
    <cellStyle name="_Buy Plan" xfId="0"/>
    <cellStyle name="_Buy Plan &amp; AP turn days" xfId="0"/>
    <cellStyle name="_Buy Plan &amp; AP turn days 2" xfId="0"/>
    <cellStyle name="_Buy Plan 2" xfId="0"/>
    <cellStyle name="_Buy Plan 3" xfId="0"/>
    <cellStyle name="_Buy Plan 4" xfId="0"/>
    <cellStyle name="_Buy Plan adj" xfId="0"/>
    <cellStyle name="_Buy Plan adj 2" xfId="0"/>
    <cellStyle name="_Buy Plan raw " xfId="0"/>
    <cellStyle name="_Buy Plan raw  2" xfId="0"/>
    <cellStyle name="_Buy Plan_Buy Plan raw " xfId="0"/>
    <cellStyle name="_Buy Plan_Buy Plan raw  2" xfId="0"/>
    <cellStyle name="_Buy Plan_DSBvsWFP" xfId="0"/>
    <cellStyle name="_Buy Plan_DSBvsWFP 2" xfId="0"/>
    <cellStyle name="_cash balance" xfId="0"/>
    <cellStyle name="_cash balance 2" xfId="0"/>
    <cellStyle name="_cash book Oct-10" xfId="0"/>
    <cellStyle name="_cash book Oct-10 2" xfId="0"/>
    <cellStyle name="_cash book Sep-10" xfId="0"/>
    <cellStyle name="_cash book Sep-10 2" xfId="0"/>
    <cellStyle name="_Cash Flow Forecast as of 043007" xfId="0"/>
    <cellStyle name="_Cash Flow Forecast as of 043007 2" xfId="0"/>
    <cellStyle name="_Cash Flow Forecast as of 043007_VSA Cash Flow Model (6-4-07)" xfId="0"/>
    <cellStyle name="_Cash Flow Forecast as of 043007_VSA Cash Flow Model (6-4-07) 2" xfId="0"/>
    <cellStyle name="_CBB" xfId="0"/>
    <cellStyle name="_CBB 2" xfId="0"/>
    <cellStyle name="_Central &amp; Eastern Europe" xfId="0"/>
    <cellStyle name="_Central &amp; Eastern Europe 2" xfId="0"/>
    <cellStyle name="_Chi Mei Optoelectronics Corp" xfId="0"/>
    <cellStyle name="_Chi Mei Optoelectronics Corp 2" xfId="0"/>
    <cellStyle name="_Clean Data" xfId="0"/>
    <cellStyle name="_Clean Data 2" xfId="0"/>
    <cellStyle name="_Clean Data_1" xfId="0"/>
    <cellStyle name="_Clean Data_1 2" xfId="0"/>
    <cellStyle name="_Clean Data_1_Clean Data" xfId="0"/>
    <cellStyle name="_Clean Data_1_Clean Data 2" xfId="0"/>
    <cellStyle name="_CMO Warranty Reclaim Report May_Original  2008" xfId="0"/>
    <cellStyle name="_CMO Warranty Reclaim Report May_Original  2008 2" xfId="0"/>
    <cellStyle name="_CMO_Intercompany" xfId="0"/>
    <cellStyle name="_CMO_Intercompany 2" xfId="0"/>
    <cellStyle name="_Consolidated $" xfId="0"/>
    <cellStyle name="_Consolidated $ 2" xfId="0"/>
    <cellStyle name="_Copy of asp stock_October 2006_SY 24.10.06" xfId="0"/>
    <cellStyle name="_Copy of asp stock_October 2006_SY 24.10.06 2" xfId="0"/>
    <cellStyle name="_Copy of VSE Payment Status_10-Apr-08_JG" xfId="0"/>
    <cellStyle name="_Copy of VSE Payment Status_10-Apr-08_JG 2" xfId="0"/>
    <cellStyle name="_Coretronic" xfId="0"/>
    <cellStyle name="_Coretronic 2" xfId="0"/>
    <cellStyle name="_Corp Adj" xfId="0"/>
    <cellStyle name="_Corp Adj 2" xfId="0"/>
    <cellStyle name="_Corp allocation (Royalty)" xfId="0"/>
    <cellStyle name="_Corp allocation (Royalty) 2" xfId="0"/>
    <cellStyle name="_correct- 2008 May Retail Returns1" xfId="0"/>
    <cellStyle name="_correct- 2008 May Retail Returns1 2" xfId="0"/>
    <cellStyle name="_CPC Amount" xfId="0"/>
    <cellStyle name="_CPC Amount_2010 Existing SKU" xfId="0"/>
    <cellStyle name="_CRT" xfId="0"/>
    <cellStyle name="_CRT 2" xfId="0"/>
    <cellStyle name="_CRT 3" xfId="0"/>
    <cellStyle name="_CRT 4" xfId="0"/>
    <cellStyle name="_CRT 5" xfId="0"/>
    <cellStyle name="_CRT_By Region" xfId="0"/>
    <cellStyle name="_CRT_CIS" xfId="0"/>
    <cellStyle name="_CRT_CIS 2" xfId="0"/>
    <cellStyle name="_CRT_CIS 3" xfId="0"/>
    <cellStyle name="_CRT_CIS 4" xfId="0"/>
    <cellStyle name="_CRT_CIS_By Region" xfId="0"/>
    <cellStyle name="_CRT_CIS_CORP SG&amp;A" xfId="0"/>
    <cellStyle name="_CRT_CIS_Digitizer" xfId="0"/>
    <cellStyle name="_CRT_CIS_GPS OTHER" xfId="0"/>
    <cellStyle name="_CRT_CIS_GPS OTHER 2" xfId="0"/>
    <cellStyle name="_CRT_CIS_GPS OTHER 3" xfId="0"/>
    <cellStyle name="_CRT_CIS_GPS OTHER 4" xfId="0"/>
    <cellStyle name="_CRT_CIS_GPS OTHER 5" xfId="0"/>
    <cellStyle name="_CRT_CIS_GPS OTHER 6" xfId="0"/>
    <cellStyle name="_CRT_CIS_GPS OTHER_By Region" xfId="0"/>
    <cellStyle name="_CRT_CIS_GPS OTHER_CORP SG&amp;A" xfId="0"/>
    <cellStyle name="_CRT_CIS_GPS OTHER_LCD" xfId="0"/>
    <cellStyle name="_CRT_CIS_GPS OTHER_PJ" xfId="0"/>
    <cellStyle name="_CRT_CIS_LCD" xfId="0"/>
    <cellStyle name="_CRT_CIS_LCD 2" xfId="0"/>
    <cellStyle name="_CRT_CIS_LCD 3" xfId="0"/>
    <cellStyle name="_CRT_CIS_LCD 4" xfId="0"/>
    <cellStyle name="_CRT_CIS_LCD_By Region" xfId="0"/>
    <cellStyle name="_CRT_CIS_LCD_CORP SG&amp;A" xfId="0"/>
    <cellStyle name="_CRT_CIS_LCD_LCD" xfId="0"/>
    <cellStyle name="_CRT_CIS_LCD_PJ" xfId="0"/>
    <cellStyle name="_CRT_CIS_lightling" xfId="0"/>
    <cellStyle name="_CRT_CIS_lightling 2" xfId="0"/>
    <cellStyle name="_CRT_CIS_lightling_By Region" xfId="0"/>
    <cellStyle name="_CRT_CIS_lightling_CORP SG&amp;A" xfId="0"/>
    <cellStyle name="_CRT_CIS_PC Products" xfId="0"/>
    <cellStyle name="_CRT_CIS_PC Products 2" xfId="0"/>
    <cellStyle name="_CRT_CIS_PC Products 3" xfId="0"/>
    <cellStyle name="_CRT_CIS_PC Products 4" xfId="0"/>
    <cellStyle name="_CRT_CIS_PC Products 5" xfId="0"/>
    <cellStyle name="_CRT_CIS_PC Products 6" xfId="0"/>
    <cellStyle name="_CRT_CIS_PC Products_By Region" xfId="0"/>
    <cellStyle name="_CRT_CIS_PC Products_CORP SG&amp;A" xfId="0"/>
    <cellStyle name="_CRT_CIS_PC Products_LCD" xfId="0"/>
    <cellStyle name="_CRT_CIS_PC Products_PJ" xfId="0"/>
    <cellStyle name="_CRT_CIS_VSA 111014" xfId="0"/>
    <cellStyle name="_CRT_CIS_VSA 111014 2" xfId="0"/>
    <cellStyle name="_CRT_CIS_VSA 111014 3" xfId="0"/>
    <cellStyle name="_CRT_CIS_VSA 111014 4" xfId="0"/>
    <cellStyle name="_CRT_CIS_VSA 111014 5" xfId="0"/>
    <cellStyle name="_CRT_CIS_VSA 111014 6" xfId="0"/>
    <cellStyle name="_CRT_CIS_VSA 111014_By Region" xfId="0"/>
    <cellStyle name="_CRT_CIS_VSA 111014_CORP SG&amp;A" xfId="0"/>
    <cellStyle name="_CRT_CIS_VSA 111014_LCD" xfId="0"/>
    <cellStyle name="_CRT_CIS_VSA 111014_PJ" xfId="0"/>
    <cellStyle name="_CRT_CIS_VSA Roll-Up (LW)" xfId="0"/>
    <cellStyle name="_CRT_CIS_VSA Roll-Up (LW) 2" xfId="0"/>
    <cellStyle name="_CRT_CIS_VSA Roll-Up (LW) 3" xfId="0"/>
    <cellStyle name="_CRT_CIS_VSA Roll-Up (LW) 4" xfId="0"/>
    <cellStyle name="_CRT_CIS_VSA Roll-Up (LW) 5" xfId="0"/>
    <cellStyle name="_CRT_CIS_VSA Roll-Up (LW) 6" xfId="0"/>
    <cellStyle name="_CRT_CIS_VSA Roll-Up (LW)_By Region" xfId="0"/>
    <cellStyle name="_CRT_CIS_VSA Roll-Up (LW)_CORP SG&amp;A" xfId="0"/>
    <cellStyle name="_CRT_CIS_VSA Roll-Up (LW)_LCD" xfId="0"/>
    <cellStyle name="_CRT_CIS_VSA Roll-Up (LW)_PJ" xfId="0"/>
    <cellStyle name="_CRT_CORP SG&amp;A" xfId="0"/>
    <cellStyle name="_CRT_CRT" xfId="0"/>
    <cellStyle name="_CRT_CRT 2" xfId="0"/>
    <cellStyle name="_CRT_CRT 3" xfId="0"/>
    <cellStyle name="_CRT_CRT 4" xfId="0"/>
    <cellStyle name="_CRT_CRT_By Region" xfId="0"/>
    <cellStyle name="_CRT_CRT_CORP SG&amp;A" xfId="0"/>
    <cellStyle name="_CRT_CRT_Digitizer" xfId="0"/>
    <cellStyle name="_CRT_CRT_GPS OTHER" xfId="0"/>
    <cellStyle name="_CRT_CRT_GPS OTHER 2" xfId="0"/>
    <cellStyle name="_CRT_CRT_GPS OTHER 3" xfId="0"/>
    <cellStyle name="_CRT_CRT_GPS OTHER 4" xfId="0"/>
    <cellStyle name="_CRT_CRT_GPS OTHER 5" xfId="0"/>
    <cellStyle name="_CRT_CRT_GPS OTHER 6" xfId="0"/>
    <cellStyle name="_CRT_CRT_GPS OTHER_By Region" xfId="0"/>
    <cellStyle name="_CRT_CRT_GPS OTHER_CORP SG&amp;A" xfId="0"/>
    <cellStyle name="_CRT_CRT_GPS OTHER_LCD" xfId="0"/>
    <cellStyle name="_CRT_CRT_GPS OTHER_PJ" xfId="0"/>
    <cellStyle name="_CRT_CRT_LCD" xfId="0"/>
    <cellStyle name="_CRT_CRT_LCD 2" xfId="0"/>
    <cellStyle name="_CRT_CRT_LCD 3" xfId="0"/>
    <cellStyle name="_CRT_CRT_LCD 4" xfId="0"/>
    <cellStyle name="_CRT_CRT_LCD_By Region" xfId="0"/>
    <cellStyle name="_CRT_CRT_LCD_CORP SG&amp;A" xfId="0"/>
    <cellStyle name="_CRT_CRT_LCD_LCD" xfId="0"/>
    <cellStyle name="_CRT_CRT_LCD_PJ" xfId="0"/>
    <cellStyle name="_CRT_CRT_lightling" xfId="0"/>
    <cellStyle name="_CRT_CRT_lightling 2" xfId="0"/>
    <cellStyle name="_CRT_CRT_lightling_By Region" xfId="0"/>
    <cellStyle name="_CRT_CRT_lightling_CORP SG&amp;A" xfId="0"/>
    <cellStyle name="_CRT_CRT_PC Products" xfId="0"/>
    <cellStyle name="_CRT_CRT_PC Products 2" xfId="0"/>
    <cellStyle name="_CRT_CRT_PC Products 3" xfId="0"/>
    <cellStyle name="_CRT_CRT_PC Products 4" xfId="0"/>
    <cellStyle name="_CRT_CRT_PC Products 5" xfId="0"/>
    <cellStyle name="_CRT_CRT_PC Products 6" xfId="0"/>
    <cellStyle name="_CRT_CRT_PC Products_By Region" xfId="0"/>
    <cellStyle name="_CRT_CRT_PC Products_CORP SG&amp;A" xfId="0"/>
    <cellStyle name="_CRT_CRT_PC Products_LCD" xfId="0"/>
    <cellStyle name="_CRT_CRT_PC Products_PJ" xfId="0"/>
    <cellStyle name="_CRT_CRT_VSA 111014" xfId="0"/>
    <cellStyle name="_CRT_CRT_VSA 111014 2" xfId="0"/>
    <cellStyle name="_CRT_CRT_VSA 111014 3" xfId="0"/>
    <cellStyle name="_CRT_CRT_VSA 111014 4" xfId="0"/>
    <cellStyle name="_CRT_CRT_VSA 111014 5" xfId="0"/>
    <cellStyle name="_CRT_CRT_VSA 111014 6" xfId="0"/>
    <cellStyle name="_CRT_CRT_VSA 111014_By Region" xfId="0"/>
    <cellStyle name="_CRT_CRT_VSA 111014_CORP SG&amp;A" xfId="0"/>
    <cellStyle name="_CRT_CRT_VSA 111014_LCD" xfId="0"/>
    <cellStyle name="_CRT_CRT_VSA 111014_PJ" xfId="0"/>
    <cellStyle name="_CRT_CRT_VSA Roll-Up (LW)" xfId="0"/>
    <cellStyle name="_CRT_CRT_VSA Roll-Up (LW) 2" xfId="0"/>
    <cellStyle name="_CRT_CRT_VSA Roll-Up (LW) 3" xfId="0"/>
    <cellStyle name="_CRT_CRT_VSA Roll-Up (LW) 4" xfId="0"/>
    <cellStyle name="_CRT_CRT_VSA Roll-Up (LW) 5" xfId="0"/>
    <cellStyle name="_CRT_CRT_VSA Roll-Up (LW) 6" xfId="0"/>
    <cellStyle name="_CRT_CRT_VSA Roll-Up (LW)_By Region" xfId="0"/>
    <cellStyle name="_CRT_CRT_VSA Roll-Up (LW)_CORP SG&amp;A" xfId="0"/>
    <cellStyle name="_CRT_CRT_VSA Roll-Up (LW)_LCD" xfId="0"/>
    <cellStyle name="_CRT_CRT_VSA Roll-Up (LW)_PJ" xfId="0"/>
    <cellStyle name="_CRT_Diff" xfId="0"/>
    <cellStyle name="_CRT_Diff 2" xfId="0"/>
    <cellStyle name="_CRT_Diff 3" xfId="0"/>
    <cellStyle name="_CRT_Diff 4" xfId="0"/>
    <cellStyle name="_CRT_Diff_By Region" xfId="0"/>
    <cellStyle name="_CRT_Diff_CORP SG&amp;A" xfId="0"/>
    <cellStyle name="_CRT_Diff_Digitizer" xfId="0"/>
    <cellStyle name="_CRT_Diff_GPS OTHER" xfId="0"/>
    <cellStyle name="_CRT_Diff_GPS OTHER 2" xfId="0"/>
    <cellStyle name="_CRT_Diff_GPS OTHER 3" xfId="0"/>
    <cellStyle name="_CRT_Diff_GPS OTHER 4" xfId="0"/>
    <cellStyle name="_CRT_Diff_GPS OTHER 5" xfId="0"/>
    <cellStyle name="_CRT_Diff_GPS OTHER 6" xfId="0"/>
    <cellStyle name="_CRT_Diff_GPS OTHER_By Region" xfId="0"/>
    <cellStyle name="_CRT_Diff_GPS OTHER_CORP SG&amp;A" xfId="0"/>
    <cellStyle name="_CRT_Diff_GPS OTHER_LCD" xfId="0"/>
    <cellStyle name="_CRT_Diff_GPS OTHER_PJ" xfId="0"/>
    <cellStyle name="_CRT_Diff_LCD" xfId="0"/>
    <cellStyle name="_CRT_Diff_LCD 2" xfId="0"/>
    <cellStyle name="_CRT_Diff_LCD 3" xfId="0"/>
    <cellStyle name="_CRT_Diff_LCD 4" xfId="0"/>
    <cellStyle name="_CRT_Diff_LCD_By Region" xfId="0"/>
    <cellStyle name="_CRT_Diff_LCD_CORP SG&amp;A" xfId="0"/>
    <cellStyle name="_CRT_Diff_LCD_LCD" xfId="0"/>
    <cellStyle name="_CRT_Diff_LCD_PJ" xfId="0"/>
    <cellStyle name="_CRT_Diff_lightling" xfId="0"/>
    <cellStyle name="_CRT_Diff_lightling 2" xfId="0"/>
    <cellStyle name="_CRT_Diff_lightling_By Region" xfId="0"/>
    <cellStyle name="_CRT_Diff_lightling_CORP SG&amp;A" xfId="0"/>
    <cellStyle name="_CRT_Diff_PC Products" xfId="0"/>
    <cellStyle name="_CRT_Diff_PC Products 2" xfId="0"/>
    <cellStyle name="_CRT_Diff_PC Products 3" xfId="0"/>
    <cellStyle name="_CRT_Diff_PC Products 4" xfId="0"/>
    <cellStyle name="_CRT_Diff_PC Products 5" xfId="0"/>
    <cellStyle name="_CRT_Diff_PC Products 6" xfId="0"/>
    <cellStyle name="_CRT_Diff_PC Products_By Region" xfId="0"/>
    <cellStyle name="_CRT_Diff_PC Products_CORP SG&amp;A" xfId="0"/>
    <cellStyle name="_CRT_Diff_PC Products_LCD" xfId="0"/>
    <cellStyle name="_CRT_Diff_PC Products_PJ" xfId="0"/>
    <cellStyle name="_CRT_Diff_VSA 111014" xfId="0"/>
    <cellStyle name="_CRT_Diff_VSA 111014 2" xfId="0"/>
    <cellStyle name="_CRT_Diff_VSA 111014 3" xfId="0"/>
    <cellStyle name="_CRT_Diff_VSA 111014 4" xfId="0"/>
    <cellStyle name="_CRT_Diff_VSA 111014 5" xfId="0"/>
    <cellStyle name="_CRT_Diff_VSA 111014 6" xfId="0"/>
    <cellStyle name="_CRT_Diff_VSA 111014_By Region" xfId="0"/>
    <cellStyle name="_CRT_Diff_VSA 111014_CORP SG&amp;A" xfId="0"/>
    <cellStyle name="_CRT_Diff_VSA 111014_LCD" xfId="0"/>
    <cellStyle name="_CRT_Diff_VSA 111014_PJ" xfId="0"/>
    <cellStyle name="_CRT_Diff_VSA Roll-Up (LW)" xfId="0"/>
    <cellStyle name="_CRT_Diff_VSA Roll-Up (LW) 2" xfId="0"/>
    <cellStyle name="_CRT_Diff_VSA Roll-Up (LW) 3" xfId="0"/>
    <cellStyle name="_CRT_Diff_VSA Roll-Up (LW) 4" xfId="0"/>
    <cellStyle name="_CRT_Diff_VSA Roll-Up (LW) 5" xfId="0"/>
    <cellStyle name="_CRT_Diff_VSA Roll-Up (LW) 6" xfId="0"/>
    <cellStyle name="_CRT_Diff_VSA Roll-Up (LW)_By Region" xfId="0"/>
    <cellStyle name="_CRT_Diff_VSA Roll-Up (LW)_CORP SG&amp;A" xfId="0"/>
    <cellStyle name="_CRT_Diff_VSA Roll-Up (LW)_LCD" xfId="0"/>
    <cellStyle name="_CRT_Diff_VSA Roll-Up (LW)_PJ" xfId="0"/>
    <cellStyle name="_CRT_Digital Product" xfId="0"/>
    <cellStyle name="_CRT_Digital Product 2" xfId="0"/>
    <cellStyle name="_CRT_Digital Product 3" xfId="0"/>
    <cellStyle name="_CRT_Digital Product 4" xfId="0"/>
    <cellStyle name="_CRT_Digital Product_By Region" xfId="0"/>
    <cellStyle name="_CRT_Digital Product_CORP SG&amp;A" xfId="0"/>
    <cellStyle name="_CRT_Digital Product_Digitizer" xfId="0"/>
    <cellStyle name="_CRT_Digital Product_GPS OTHER" xfId="0"/>
    <cellStyle name="_CRT_Digital Product_GPS OTHER 2" xfId="0"/>
    <cellStyle name="_CRT_Digital Product_GPS OTHER 3" xfId="0"/>
    <cellStyle name="_CRT_Digital Product_GPS OTHER 4" xfId="0"/>
    <cellStyle name="_CRT_Digital Product_GPS OTHER 5" xfId="0"/>
    <cellStyle name="_CRT_Digital Product_GPS OTHER 6" xfId="0"/>
    <cellStyle name="_CRT_Digital Product_GPS OTHER_By Region" xfId="0"/>
    <cellStyle name="_CRT_Digital Product_GPS OTHER_CORP SG&amp;A" xfId="0"/>
    <cellStyle name="_CRT_Digital Product_GPS OTHER_LCD" xfId="0"/>
    <cellStyle name="_CRT_Digital Product_GPS OTHER_PJ" xfId="0"/>
    <cellStyle name="_CRT_Digital Product_LCD" xfId="0"/>
    <cellStyle name="_CRT_Digital Product_LCD 2" xfId="0"/>
    <cellStyle name="_CRT_Digital Product_LCD 3" xfId="0"/>
    <cellStyle name="_CRT_Digital Product_LCD 4" xfId="0"/>
    <cellStyle name="_CRT_Digital Product_LCD_By Region" xfId="0"/>
    <cellStyle name="_CRT_Digital Product_LCD_CORP SG&amp;A" xfId="0"/>
    <cellStyle name="_CRT_Digital Product_LCD_LCD" xfId="0"/>
    <cellStyle name="_CRT_Digital Product_LCD_PJ" xfId="0"/>
    <cellStyle name="_CRT_Digital Product_lightling" xfId="0"/>
    <cellStyle name="_CRT_Digital Product_lightling 2" xfId="0"/>
    <cellStyle name="_CRT_Digital Product_lightling_By Region" xfId="0"/>
    <cellStyle name="_CRT_Digital Product_lightling_CORP SG&amp;A" xfId="0"/>
    <cellStyle name="_CRT_Digital Product_PC Products" xfId="0"/>
    <cellStyle name="_CRT_Digital Product_PC Products 2" xfId="0"/>
    <cellStyle name="_CRT_Digital Product_PC Products 3" xfId="0"/>
    <cellStyle name="_CRT_Digital Product_PC Products 4" xfId="0"/>
    <cellStyle name="_CRT_Digital Product_PC Products 5" xfId="0"/>
    <cellStyle name="_CRT_Digital Product_PC Products 6" xfId="0"/>
    <cellStyle name="_CRT_Digital Product_PC Products_By Region" xfId="0"/>
    <cellStyle name="_CRT_Digital Product_PC Products_CORP SG&amp;A" xfId="0"/>
    <cellStyle name="_CRT_Digital Product_PC Products_LCD" xfId="0"/>
    <cellStyle name="_CRT_Digital Product_PC Products_PJ" xfId="0"/>
    <cellStyle name="_CRT_Digital Product_VSA 111014" xfId="0"/>
    <cellStyle name="_CRT_Digital Product_VSA 111014 2" xfId="0"/>
    <cellStyle name="_CRT_Digital Product_VSA 111014 3" xfId="0"/>
    <cellStyle name="_CRT_Digital Product_VSA 111014 4" xfId="0"/>
    <cellStyle name="_CRT_Digital Product_VSA 111014 5" xfId="0"/>
    <cellStyle name="_CRT_Digital Product_VSA 111014 6" xfId="0"/>
    <cellStyle name="_CRT_Digital Product_VSA 111014_By Region" xfId="0"/>
    <cellStyle name="_CRT_Digital Product_VSA 111014_CORP SG&amp;A" xfId="0"/>
    <cellStyle name="_CRT_Digital Product_VSA 111014_LCD" xfId="0"/>
    <cellStyle name="_CRT_Digital Product_VSA 111014_PJ" xfId="0"/>
    <cellStyle name="_CRT_Digital Product_VSA Roll-Up (LW)" xfId="0"/>
    <cellStyle name="_CRT_Digital Product_VSA Roll-Up (LW) 2" xfId="0"/>
    <cellStyle name="_CRT_Digital Product_VSA Roll-Up (LW) 3" xfId="0"/>
    <cellStyle name="_CRT_Digital Product_VSA Roll-Up (LW) 4" xfId="0"/>
    <cellStyle name="_CRT_Digital Product_VSA Roll-Up (LW) 5" xfId="0"/>
    <cellStyle name="_CRT_Digital Product_VSA Roll-Up (LW) 6" xfId="0"/>
    <cellStyle name="_CRT_Digital Product_VSA Roll-Up (LW)_By Region" xfId="0"/>
    <cellStyle name="_CRT_Digital Product_VSA Roll-Up (LW)_CORP SG&amp;A" xfId="0"/>
    <cellStyle name="_CRT_Digital Product_VSA Roll-Up (LW)_LCD" xfId="0"/>
    <cellStyle name="_CRT_Digital Product_VSA Roll-Up (LW)_PJ" xfId="0"/>
    <cellStyle name="_CRT_Digital Signage" xfId="0"/>
    <cellStyle name="_CRT_Digital Signage 2" xfId="0"/>
    <cellStyle name="_CRT_Digital Signage 3" xfId="0"/>
    <cellStyle name="_CRT_Digital Signage 4" xfId="0"/>
    <cellStyle name="_CRT_Digital Signage_By Region" xfId="0"/>
    <cellStyle name="_CRT_Digital Signage_CORP SG&amp;A" xfId="0"/>
    <cellStyle name="_CRT_Digital Signage_Digitizer" xfId="0"/>
    <cellStyle name="_CRT_Digital Signage_GPS OTHER" xfId="0"/>
    <cellStyle name="_CRT_Digital Signage_GPS OTHER 2" xfId="0"/>
    <cellStyle name="_CRT_Digital Signage_GPS OTHER 3" xfId="0"/>
    <cellStyle name="_CRT_Digital Signage_GPS OTHER 4" xfId="0"/>
    <cellStyle name="_CRT_Digital Signage_GPS OTHER 5" xfId="0"/>
    <cellStyle name="_CRT_Digital Signage_GPS OTHER 6" xfId="0"/>
    <cellStyle name="_CRT_Digital Signage_GPS OTHER_By Region" xfId="0"/>
    <cellStyle name="_CRT_Digital Signage_GPS OTHER_CORP SG&amp;A" xfId="0"/>
    <cellStyle name="_CRT_Digital Signage_GPS OTHER_LCD" xfId="0"/>
    <cellStyle name="_CRT_Digital Signage_GPS OTHER_PJ" xfId="0"/>
    <cellStyle name="_CRT_Digital Signage_LCD" xfId="0"/>
    <cellStyle name="_CRT_Digital Signage_LCD 2" xfId="0"/>
    <cellStyle name="_CRT_Digital Signage_LCD 3" xfId="0"/>
    <cellStyle name="_CRT_Digital Signage_LCD 4" xfId="0"/>
    <cellStyle name="_CRT_Digital Signage_LCD_By Region" xfId="0"/>
    <cellStyle name="_CRT_Digital Signage_LCD_CORP SG&amp;A" xfId="0"/>
    <cellStyle name="_CRT_Digital Signage_LCD_LCD" xfId="0"/>
    <cellStyle name="_CRT_Digital Signage_LCD_PJ" xfId="0"/>
    <cellStyle name="_CRT_Digital Signage_lightling" xfId="0"/>
    <cellStyle name="_CRT_Digital Signage_lightling 2" xfId="0"/>
    <cellStyle name="_CRT_Digital Signage_lightling_By Region" xfId="0"/>
    <cellStyle name="_CRT_Digital Signage_lightling_CORP SG&amp;A" xfId="0"/>
    <cellStyle name="_CRT_Digital Signage_PC Products" xfId="0"/>
    <cellStyle name="_CRT_Digital Signage_PC Products 2" xfId="0"/>
    <cellStyle name="_CRT_Digital Signage_PC Products 3" xfId="0"/>
    <cellStyle name="_CRT_Digital Signage_PC Products 4" xfId="0"/>
    <cellStyle name="_CRT_Digital Signage_PC Products 5" xfId="0"/>
    <cellStyle name="_CRT_Digital Signage_PC Products 6" xfId="0"/>
    <cellStyle name="_CRT_Digital Signage_PC Products_By Region" xfId="0"/>
    <cellStyle name="_CRT_Digital Signage_PC Products_CORP SG&amp;A" xfId="0"/>
    <cellStyle name="_CRT_Digital Signage_PC Products_LCD" xfId="0"/>
    <cellStyle name="_CRT_Digital Signage_PC Products_PJ" xfId="0"/>
    <cellStyle name="_CRT_Digital Signage_VSA 111014" xfId="0"/>
    <cellStyle name="_CRT_Digital Signage_VSA 111014 2" xfId="0"/>
    <cellStyle name="_CRT_Digital Signage_VSA 111014 3" xfId="0"/>
    <cellStyle name="_CRT_Digital Signage_VSA 111014 4" xfId="0"/>
    <cellStyle name="_CRT_Digital Signage_VSA 111014 5" xfId="0"/>
    <cellStyle name="_CRT_Digital Signage_VSA 111014 6" xfId="0"/>
    <cellStyle name="_CRT_Digital Signage_VSA 111014_By Region" xfId="0"/>
    <cellStyle name="_CRT_Digital Signage_VSA 111014_CORP SG&amp;A" xfId="0"/>
    <cellStyle name="_CRT_Digital Signage_VSA 111014_LCD" xfId="0"/>
    <cellStyle name="_CRT_Digital Signage_VSA 111014_PJ" xfId="0"/>
    <cellStyle name="_CRT_Digital Signage_VSA Roll-Up (LW)" xfId="0"/>
    <cellStyle name="_CRT_Digital Signage_VSA Roll-Up (LW) 2" xfId="0"/>
    <cellStyle name="_CRT_Digital Signage_VSA Roll-Up (LW) 3" xfId="0"/>
    <cellStyle name="_CRT_Digital Signage_VSA Roll-Up (LW) 4" xfId="0"/>
    <cellStyle name="_CRT_Digital Signage_VSA Roll-Up (LW) 5" xfId="0"/>
    <cellStyle name="_CRT_Digital Signage_VSA Roll-Up (LW) 6" xfId="0"/>
    <cellStyle name="_CRT_Digital Signage_VSA Roll-Up (LW)_By Region" xfId="0"/>
    <cellStyle name="_CRT_Digital Signage_VSA Roll-Up (LW)_CORP SG&amp;A" xfId="0"/>
    <cellStyle name="_CRT_Digital Signage_VSA Roll-Up (LW)_LCD" xfId="0"/>
    <cellStyle name="_CRT_Digital Signage_VSA Roll-Up (LW)_PJ" xfId="0"/>
    <cellStyle name="_CRT_Digitizer" xfId="0"/>
    <cellStyle name="_CRT_DMA(VMP)" xfId="0"/>
    <cellStyle name="_CRT_DMA(VMP) 2" xfId="0"/>
    <cellStyle name="_CRT_DMA(VMP) 3" xfId="0"/>
    <cellStyle name="_CRT_DMA(VMP) 4" xfId="0"/>
    <cellStyle name="_CRT_DMA(VMP)_By Region" xfId="0"/>
    <cellStyle name="_CRT_DMA(VMP)_CORP SG&amp;A" xfId="0"/>
    <cellStyle name="_CRT_DMA(VMP)_Digitizer" xfId="0"/>
    <cellStyle name="_CRT_DMA(VMP)_GPS OTHER" xfId="0"/>
    <cellStyle name="_CRT_DMA(VMP)_GPS OTHER 2" xfId="0"/>
    <cellStyle name="_CRT_DMA(VMP)_GPS OTHER 3" xfId="0"/>
    <cellStyle name="_CRT_DMA(VMP)_GPS OTHER 4" xfId="0"/>
    <cellStyle name="_CRT_DMA(VMP)_GPS OTHER 5" xfId="0"/>
    <cellStyle name="_CRT_DMA(VMP)_GPS OTHER 6" xfId="0"/>
    <cellStyle name="_CRT_DMA(VMP)_GPS OTHER_By Region" xfId="0"/>
    <cellStyle name="_CRT_DMA(VMP)_GPS OTHER_CORP SG&amp;A" xfId="0"/>
    <cellStyle name="_CRT_DMA(VMP)_GPS OTHER_LCD" xfId="0"/>
    <cellStyle name="_CRT_DMA(VMP)_GPS OTHER_PJ" xfId="0"/>
    <cellStyle name="_CRT_DMA(VMP)_LCD" xfId="0"/>
    <cellStyle name="_CRT_DMA(VMP)_LCD 2" xfId="0"/>
    <cellStyle name="_CRT_DMA(VMP)_LCD 3" xfId="0"/>
    <cellStyle name="_CRT_DMA(VMP)_LCD 4" xfId="0"/>
    <cellStyle name="_CRT_DMA(VMP)_LCD_By Region" xfId="0"/>
    <cellStyle name="_CRT_DMA(VMP)_LCD_CORP SG&amp;A" xfId="0"/>
    <cellStyle name="_CRT_DMA(VMP)_LCD_LCD" xfId="0"/>
    <cellStyle name="_CRT_DMA(VMP)_LCD_PJ" xfId="0"/>
    <cellStyle name="_CRT_DMA(VMP)_lightling" xfId="0"/>
    <cellStyle name="_CRT_DMA(VMP)_lightling 2" xfId="0"/>
    <cellStyle name="_CRT_DMA(VMP)_lightling_By Region" xfId="0"/>
    <cellStyle name="_CRT_DMA(VMP)_lightling_CORP SG&amp;A" xfId="0"/>
    <cellStyle name="_CRT_DMA(VMP)_PC Products" xfId="0"/>
    <cellStyle name="_CRT_DMA(VMP)_PC Products 2" xfId="0"/>
    <cellStyle name="_CRT_DMA(VMP)_PC Products 3" xfId="0"/>
    <cellStyle name="_CRT_DMA(VMP)_PC Products 4" xfId="0"/>
    <cellStyle name="_CRT_DMA(VMP)_PC Products 5" xfId="0"/>
    <cellStyle name="_CRT_DMA(VMP)_PC Products 6" xfId="0"/>
    <cellStyle name="_CRT_DMA(VMP)_PC Products_By Region" xfId="0"/>
    <cellStyle name="_CRT_DMA(VMP)_PC Products_CORP SG&amp;A" xfId="0"/>
    <cellStyle name="_CRT_DMA(VMP)_PC Products_LCD" xfId="0"/>
    <cellStyle name="_CRT_DMA(VMP)_PC Products_PJ" xfId="0"/>
    <cellStyle name="_CRT_DMA(VMP)_VSA 111014" xfId="0"/>
    <cellStyle name="_CRT_DMA(VMP)_VSA 111014 2" xfId="0"/>
    <cellStyle name="_CRT_DMA(VMP)_VSA 111014 3" xfId="0"/>
    <cellStyle name="_CRT_DMA(VMP)_VSA 111014 4" xfId="0"/>
    <cellStyle name="_CRT_DMA(VMP)_VSA 111014 5" xfId="0"/>
    <cellStyle name="_CRT_DMA(VMP)_VSA 111014 6" xfId="0"/>
    <cellStyle name="_CRT_DMA(VMP)_VSA 111014_By Region" xfId="0"/>
    <cellStyle name="_CRT_DMA(VMP)_VSA 111014_CORP SG&amp;A" xfId="0"/>
    <cellStyle name="_CRT_DMA(VMP)_VSA 111014_LCD" xfId="0"/>
    <cellStyle name="_CRT_DMA(VMP)_VSA 111014_PJ" xfId="0"/>
    <cellStyle name="_CRT_DMA(VMP)_VSA Roll-Up (LW)" xfId="0"/>
    <cellStyle name="_CRT_DMA(VMP)_VSA Roll-Up (LW) 2" xfId="0"/>
    <cellStyle name="_CRT_DMA(VMP)_VSA Roll-Up (LW) 3" xfId="0"/>
    <cellStyle name="_CRT_DMA(VMP)_VSA Roll-Up (LW) 4" xfId="0"/>
    <cellStyle name="_CRT_DMA(VMP)_VSA Roll-Up (LW) 5" xfId="0"/>
    <cellStyle name="_CRT_DMA(VMP)_VSA Roll-Up (LW) 6" xfId="0"/>
    <cellStyle name="_CRT_DMA(VMP)_VSA Roll-Up (LW)_By Region" xfId="0"/>
    <cellStyle name="_CRT_DMA(VMP)_VSA Roll-Up (LW)_CORP SG&amp;A" xfId="0"/>
    <cellStyle name="_CRT_DMA(VMP)_VSA Roll-Up (LW)_LCD" xfId="0"/>
    <cellStyle name="_CRT_DMA(VMP)_VSA Roll-Up (LW)_PJ" xfId="0"/>
    <cellStyle name="_CRT_DPF" xfId="0"/>
    <cellStyle name="_CRT_DPF 2" xfId="0"/>
    <cellStyle name="_CRT_DPF 3" xfId="0"/>
    <cellStyle name="_CRT_DPF 4" xfId="0"/>
    <cellStyle name="_CRT_DPF_By Region" xfId="0"/>
    <cellStyle name="_CRT_DPF_CORP SG&amp;A" xfId="0"/>
    <cellStyle name="_CRT_DPF_Digitizer" xfId="0"/>
    <cellStyle name="_CRT_DPF_GPS OTHER" xfId="0"/>
    <cellStyle name="_CRT_DPF_GPS OTHER 2" xfId="0"/>
    <cellStyle name="_CRT_DPF_GPS OTHER 3" xfId="0"/>
    <cellStyle name="_CRT_DPF_GPS OTHER 4" xfId="0"/>
    <cellStyle name="_CRT_DPF_GPS OTHER 5" xfId="0"/>
    <cellStyle name="_CRT_DPF_GPS OTHER 6" xfId="0"/>
    <cellStyle name="_CRT_DPF_GPS OTHER_By Region" xfId="0"/>
    <cellStyle name="_CRT_DPF_GPS OTHER_CORP SG&amp;A" xfId="0"/>
    <cellStyle name="_CRT_DPF_GPS OTHER_LCD" xfId="0"/>
    <cellStyle name="_CRT_DPF_GPS OTHER_PJ" xfId="0"/>
    <cellStyle name="_CRT_DPF_LCD" xfId="0"/>
    <cellStyle name="_CRT_DPF_LCD 2" xfId="0"/>
    <cellStyle name="_CRT_DPF_LCD 3" xfId="0"/>
    <cellStyle name="_CRT_DPF_LCD 4" xfId="0"/>
    <cellStyle name="_CRT_DPF_LCD_By Region" xfId="0"/>
    <cellStyle name="_CRT_DPF_LCD_CORP SG&amp;A" xfId="0"/>
    <cellStyle name="_CRT_DPF_LCD_LCD" xfId="0"/>
    <cellStyle name="_CRT_DPF_LCD_PJ" xfId="0"/>
    <cellStyle name="_CRT_DPF_lightling" xfId="0"/>
    <cellStyle name="_CRT_DPF_lightling 2" xfId="0"/>
    <cellStyle name="_CRT_DPF_lightling_By Region" xfId="0"/>
    <cellStyle name="_CRT_DPF_lightling_CORP SG&amp;A" xfId="0"/>
    <cellStyle name="_CRT_DPF_PC Products" xfId="0"/>
    <cellStyle name="_CRT_DPF_PC Products 2" xfId="0"/>
    <cellStyle name="_CRT_DPF_PC Products 3" xfId="0"/>
    <cellStyle name="_CRT_DPF_PC Products 4" xfId="0"/>
    <cellStyle name="_CRT_DPF_PC Products 5" xfId="0"/>
    <cellStyle name="_CRT_DPF_PC Products 6" xfId="0"/>
    <cellStyle name="_CRT_DPF_PC Products_By Region" xfId="0"/>
    <cellStyle name="_CRT_DPF_PC Products_CORP SG&amp;A" xfId="0"/>
    <cellStyle name="_CRT_DPF_PC Products_LCD" xfId="0"/>
    <cellStyle name="_CRT_DPF_PC Products_PJ" xfId="0"/>
    <cellStyle name="_CRT_DPF_VSA 111014" xfId="0"/>
    <cellStyle name="_CRT_DPF_VSA 111014 2" xfId="0"/>
    <cellStyle name="_CRT_DPF_VSA 111014 3" xfId="0"/>
    <cellStyle name="_CRT_DPF_VSA 111014 4" xfId="0"/>
    <cellStyle name="_CRT_DPF_VSA 111014 5" xfId="0"/>
    <cellStyle name="_CRT_DPF_VSA 111014 6" xfId="0"/>
    <cellStyle name="_CRT_DPF_VSA 111014_By Region" xfId="0"/>
    <cellStyle name="_CRT_DPF_VSA 111014_CORP SG&amp;A" xfId="0"/>
    <cellStyle name="_CRT_DPF_VSA 111014_LCD" xfId="0"/>
    <cellStyle name="_CRT_DPF_VSA 111014_PJ" xfId="0"/>
    <cellStyle name="_CRT_DPF_VSA Roll-Up (LW)" xfId="0"/>
    <cellStyle name="_CRT_DPF_VSA Roll-Up (LW) 2" xfId="0"/>
    <cellStyle name="_CRT_DPF_VSA Roll-Up (LW) 3" xfId="0"/>
    <cellStyle name="_CRT_DPF_VSA Roll-Up (LW) 4" xfId="0"/>
    <cellStyle name="_CRT_DPF_VSA Roll-Up (LW) 5" xfId="0"/>
    <cellStyle name="_CRT_DPF_VSA Roll-Up (LW) 6" xfId="0"/>
    <cellStyle name="_CRT_DPF_VSA Roll-Up (LW)_By Region" xfId="0"/>
    <cellStyle name="_CRT_DPF_VSA Roll-Up (LW)_CORP SG&amp;A" xfId="0"/>
    <cellStyle name="_CRT_DPF_VSA Roll-Up (LW)_LCD" xfId="0"/>
    <cellStyle name="_CRT_DPF_VSA Roll-Up (LW)_PJ" xfId="0"/>
    <cellStyle name="_CRT_DS" xfId="0"/>
    <cellStyle name="_CRT_DS 2" xfId="0"/>
    <cellStyle name="_CRT_DS 3" xfId="0"/>
    <cellStyle name="_CRT_DS 4" xfId="0"/>
    <cellStyle name="_CRT_DS_By Region" xfId="0"/>
    <cellStyle name="_CRT_DS_CORP SG&amp;A" xfId="0"/>
    <cellStyle name="_CRT_DS_Digitizer" xfId="0"/>
    <cellStyle name="_CRT_DS_GPS OTHER" xfId="0"/>
    <cellStyle name="_CRT_DS_GPS OTHER 2" xfId="0"/>
    <cellStyle name="_CRT_DS_GPS OTHER 3" xfId="0"/>
    <cellStyle name="_CRT_DS_GPS OTHER 4" xfId="0"/>
    <cellStyle name="_CRT_DS_GPS OTHER 5" xfId="0"/>
    <cellStyle name="_CRT_DS_GPS OTHER 6" xfId="0"/>
    <cellStyle name="_CRT_DS_GPS OTHER_By Region" xfId="0"/>
    <cellStyle name="_CRT_DS_GPS OTHER_CORP SG&amp;A" xfId="0"/>
    <cellStyle name="_CRT_DS_GPS OTHER_LCD" xfId="0"/>
    <cellStyle name="_CRT_DS_GPS OTHER_PJ" xfId="0"/>
    <cellStyle name="_CRT_DS_LCD" xfId="0"/>
    <cellStyle name="_CRT_DS_LCD 2" xfId="0"/>
    <cellStyle name="_CRT_DS_LCD 3" xfId="0"/>
    <cellStyle name="_CRT_DS_LCD 4" xfId="0"/>
    <cellStyle name="_CRT_DS_LCD_By Region" xfId="0"/>
    <cellStyle name="_CRT_DS_LCD_CORP SG&amp;A" xfId="0"/>
    <cellStyle name="_CRT_DS_LCD_LCD" xfId="0"/>
    <cellStyle name="_CRT_DS_LCD_PJ" xfId="0"/>
    <cellStyle name="_CRT_DS_lightling" xfId="0"/>
    <cellStyle name="_CRT_DS_lightling 2" xfId="0"/>
    <cellStyle name="_CRT_DS_lightling_By Region" xfId="0"/>
    <cellStyle name="_CRT_DS_lightling_CORP SG&amp;A" xfId="0"/>
    <cellStyle name="_CRT_DS_PC Products" xfId="0"/>
    <cellStyle name="_CRT_DS_PC Products 2" xfId="0"/>
    <cellStyle name="_CRT_DS_PC Products 3" xfId="0"/>
    <cellStyle name="_CRT_DS_PC Products 4" xfId="0"/>
    <cellStyle name="_CRT_DS_PC Products 5" xfId="0"/>
    <cellStyle name="_CRT_DS_PC Products 6" xfId="0"/>
    <cellStyle name="_CRT_DS_PC Products_By Region" xfId="0"/>
    <cellStyle name="_CRT_DS_PC Products_CORP SG&amp;A" xfId="0"/>
    <cellStyle name="_CRT_DS_PC Products_LCD" xfId="0"/>
    <cellStyle name="_CRT_DS_PC Products_PJ" xfId="0"/>
    <cellStyle name="_CRT_DS_VSA 111014" xfId="0"/>
    <cellStyle name="_CRT_DS_VSA 111014 2" xfId="0"/>
    <cellStyle name="_CRT_DS_VSA 111014 3" xfId="0"/>
    <cellStyle name="_CRT_DS_VSA 111014 4" xfId="0"/>
    <cellStyle name="_CRT_DS_VSA 111014 5" xfId="0"/>
    <cellStyle name="_CRT_DS_VSA 111014 6" xfId="0"/>
    <cellStyle name="_CRT_DS_VSA 111014_By Region" xfId="0"/>
    <cellStyle name="_CRT_DS_VSA 111014_CORP SG&amp;A" xfId="0"/>
    <cellStyle name="_CRT_DS_VSA 111014_LCD" xfId="0"/>
    <cellStyle name="_CRT_DS_VSA 111014_PJ" xfId="0"/>
    <cellStyle name="_CRT_DS_VSA Roll-Up (LW)" xfId="0"/>
    <cellStyle name="_CRT_DS_VSA Roll-Up (LW) 2" xfId="0"/>
    <cellStyle name="_CRT_DS_VSA Roll-Up (LW) 3" xfId="0"/>
    <cellStyle name="_CRT_DS_VSA Roll-Up (LW) 4" xfId="0"/>
    <cellStyle name="_CRT_DS_VSA Roll-Up (LW) 5" xfId="0"/>
    <cellStyle name="_CRT_DS_VSA Roll-Up (LW) 6" xfId="0"/>
    <cellStyle name="_CRT_DS_VSA Roll-Up (LW)_By Region" xfId="0"/>
    <cellStyle name="_CRT_DS_VSA Roll-Up (LW)_CORP SG&amp;A" xfId="0"/>
    <cellStyle name="_CRT_DS_VSA Roll-Up (LW)_LCD" xfId="0"/>
    <cellStyle name="_CRT_DS_VSA Roll-Up (LW)_PJ" xfId="0"/>
    <cellStyle name="_CRT_DVD_TV" xfId="0"/>
    <cellStyle name="_CRT_DVD_TV 2" xfId="0"/>
    <cellStyle name="_CRT_DVD_TV 3" xfId="0"/>
    <cellStyle name="_CRT_DVD_TV 4" xfId="0"/>
    <cellStyle name="_CRT_DVD_TV_By Region" xfId="0"/>
    <cellStyle name="_CRT_DVD_TV_CORP SG&amp;A" xfId="0"/>
    <cellStyle name="_CRT_DVD_TV_Digitizer" xfId="0"/>
    <cellStyle name="_CRT_DVD_TV_GPS OTHER" xfId="0"/>
    <cellStyle name="_CRT_DVD_TV_GPS OTHER 2" xfId="0"/>
    <cellStyle name="_CRT_DVD_TV_GPS OTHER 3" xfId="0"/>
    <cellStyle name="_CRT_DVD_TV_GPS OTHER 4" xfId="0"/>
    <cellStyle name="_CRT_DVD_TV_GPS OTHER 5" xfId="0"/>
    <cellStyle name="_CRT_DVD_TV_GPS OTHER 6" xfId="0"/>
    <cellStyle name="_CRT_DVD_TV_GPS OTHER_By Region" xfId="0"/>
    <cellStyle name="_CRT_DVD_TV_GPS OTHER_CORP SG&amp;A" xfId="0"/>
    <cellStyle name="_CRT_DVD_TV_GPS OTHER_LCD" xfId="0"/>
    <cellStyle name="_CRT_DVD_TV_GPS OTHER_PJ" xfId="0"/>
    <cellStyle name="_CRT_DVD_TV_LCD" xfId="0"/>
    <cellStyle name="_CRT_DVD_TV_LCD 2" xfId="0"/>
    <cellStyle name="_CRT_DVD_TV_LCD 3" xfId="0"/>
    <cellStyle name="_CRT_DVD_TV_LCD 4" xfId="0"/>
    <cellStyle name="_CRT_DVD_TV_LCD_By Region" xfId="0"/>
    <cellStyle name="_CRT_DVD_TV_LCD_CORP SG&amp;A" xfId="0"/>
    <cellStyle name="_CRT_DVD_TV_LCD_LCD" xfId="0"/>
    <cellStyle name="_CRT_DVD_TV_LCD_PJ" xfId="0"/>
    <cellStyle name="_CRT_DVD_TV_lightling" xfId="0"/>
    <cellStyle name="_CRT_DVD_TV_lightling 2" xfId="0"/>
    <cellStyle name="_CRT_DVD_TV_lightling_By Region" xfId="0"/>
    <cellStyle name="_CRT_DVD_TV_lightling_CORP SG&amp;A" xfId="0"/>
    <cellStyle name="_CRT_DVD_TV_PC Products" xfId="0"/>
    <cellStyle name="_CRT_DVD_TV_PC Products 2" xfId="0"/>
    <cellStyle name="_CRT_DVD_TV_PC Products 3" xfId="0"/>
    <cellStyle name="_CRT_DVD_TV_PC Products 4" xfId="0"/>
    <cellStyle name="_CRT_DVD_TV_PC Products 5" xfId="0"/>
    <cellStyle name="_CRT_DVD_TV_PC Products 6" xfId="0"/>
    <cellStyle name="_CRT_DVD_TV_PC Products_By Region" xfId="0"/>
    <cellStyle name="_CRT_DVD_TV_PC Products_CORP SG&amp;A" xfId="0"/>
    <cellStyle name="_CRT_DVD_TV_PC Products_LCD" xfId="0"/>
    <cellStyle name="_CRT_DVD_TV_PC Products_PJ" xfId="0"/>
    <cellStyle name="_CRT_DVD_TV_VSA 111014" xfId="0"/>
    <cellStyle name="_CRT_DVD_TV_VSA 111014 2" xfId="0"/>
    <cellStyle name="_CRT_DVD_TV_VSA 111014 3" xfId="0"/>
    <cellStyle name="_CRT_DVD_TV_VSA 111014 4" xfId="0"/>
    <cellStyle name="_CRT_DVD_TV_VSA 111014 5" xfId="0"/>
    <cellStyle name="_CRT_DVD_TV_VSA 111014 6" xfId="0"/>
    <cellStyle name="_CRT_DVD_TV_VSA 111014_By Region" xfId="0"/>
    <cellStyle name="_CRT_DVD_TV_VSA 111014_CORP SG&amp;A" xfId="0"/>
    <cellStyle name="_CRT_DVD_TV_VSA 111014_LCD" xfId="0"/>
    <cellStyle name="_CRT_DVD_TV_VSA 111014_PJ" xfId="0"/>
    <cellStyle name="_CRT_DVD_TV_VSA Roll-Up (LW)" xfId="0"/>
    <cellStyle name="_CRT_DVD_TV_VSA Roll-Up (LW) 2" xfId="0"/>
    <cellStyle name="_CRT_DVD_TV_VSA Roll-Up (LW) 3" xfId="0"/>
    <cellStyle name="_CRT_DVD_TV_VSA Roll-Up (LW) 4" xfId="0"/>
    <cellStyle name="_CRT_DVD_TV_VSA Roll-Up (LW) 5" xfId="0"/>
    <cellStyle name="_CRT_DVD_TV_VSA Roll-Up (LW) 6" xfId="0"/>
    <cellStyle name="_CRT_DVD_TV_VSA Roll-Up (LW)_By Region" xfId="0"/>
    <cellStyle name="_CRT_DVD_TV_VSA Roll-Up (LW)_CORP SG&amp;A" xfId="0"/>
    <cellStyle name="_CRT_DVD_TV_VSA Roll-Up (LW)_LCD" xfId="0"/>
    <cellStyle name="_CRT_DVD_TV_VSA Roll-Up (LW)_PJ" xfId="0"/>
    <cellStyle name="_CRT_GPS OTHER" xfId="0"/>
    <cellStyle name="_CRT_GPS OTHER 2" xfId="0"/>
    <cellStyle name="_CRT_GPS OTHER 3" xfId="0"/>
    <cellStyle name="_CRT_GPS OTHER 4" xfId="0"/>
    <cellStyle name="_CRT_GPS OTHER 5" xfId="0"/>
    <cellStyle name="_CRT_GPS OTHER 6" xfId="0"/>
    <cellStyle name="_CRT_GPS OTHER_By Region" xfId="0"/>
    <cellStyle name="_CRT_GPS OTHER_CORP SG&amp;A" xfId="0"/>
    <cellStyle name="_CRT_GPS OTHER_LCD" xfId="0"/>
    <cellStyle name="_CRT_GPS OTHER_PJ" xfId="0"/>
    <cellStyle name="_CRT_LCD" xfId="0"/>
    <cellStyle name="_CRT_LCD 2" xfId="0"/>
    <cellStyle name="_CRT_LCD 3" xfId="0"/>
    <cellStyle name="_CRT_LCD 4" xfId="0"/>
    <cellStyle name="_CRT_LCD_1" xfId="0"/>
    <cellStyle name="_CRT_LCD_1 2" xfId="0"/>
    <cellStyle name="_CRT_LCD_1 3" xfId="0"/>
    <cellStyle name="_CRT_LCD_1 4" xfId="0"/>
    <cellStyle name="_CRT_LCD_1_By Region" xfId="0"/>
    <cellStyle name="_CRT_LCD_1_CORP SG&amp;A" xfId="0"/>
    <cellStyle name="_CRT_LCD_1_LCD" xfId="0"/>
    <cellStyle name="_CRT_LCD_1_PJ" xfId="0"/>
    <cellStyle name="_CRT_LCD_By Region" xfId="0"/>
    <cellStyle name="_CRT_LCD_CORP SG&amp;A" xfId="0"/>
    <cellStyle name="_CRT_LCD_Digitizer" xfId="0"/>
    <cellStyle name="_CRT_LCD_GPS OTHER" xfId="0"/>
    <cellStyle name="_CRT_LCD_GPS OTHER 2" xfId="0"/>
    <cellStyle name="_CRT_LCD_GPS OTHER 3" xfId="0"/>
    <cellStyle name="_CRT_LCD_GPS OTHER 4" xfId="0"/>
    <cellStyle name="_CRT_LCD_GPS OTHER 5" xfId="0"/>
    <cellStyle name="_CRT_LCD_GPS OTHER 6" xfId="0"/>
    <cellStyle name="_CRT_LCD_GPS OTHER_By Region" xfId="0"/>
    <cellStyle name="_CRT_LCD_GPS OTHER_CORP SG&amp;A" xfId="0"/>
    <cellStyle name="_CRT_LCD_GPS OTHER_LCD" xfId="0"/>
    <cellStyle name="_CRT_LCD_GPS OTHER_PJ" xfId="0"/>
    <cellStyle name="_CRT_LCD_LCD" xfId="0"/>
    <cellStyle name="_CRT_LCD_LCD 2" xfId="0"/>
    <cellStyle name="_CRT_LCD_LCD 3" xfId="0"/>
    <cellStyle name="_CRT_LCD_LCD 4" xfId="0"/>
    <cellStyle name="_CRT_LCD_LCD_By Region" xfId="0"/>
    <cellStyle name="_CRT_LCD_LCD_CORP SG&amp;A" xfId="0"/>
    <cellStyle name="_CRT_LCD_LCD_LCD" xfId="0"/>
    <cellStyle name="_CRT_LCD_LCD_PJ" xfId="0"/>
    <cellStyle name="_CRT_LCD_lightling" xfId="0"/>
    <cellStyle name="_CRT_LCD_lightling 2" xfId="0"/>
    <cellStyle name="_CRT_LCD_lightling_By Region" xfId="0"/>
    <cellStyle name="_CRT_LCD_lightling_CORP SG&amp;A" xfId="0"/>
    <cellStyle name="_CRT_LCD_PC Products" xfId="0"/>
    <cellStyle name="_CRT_LCD_PC Products 2" xfId="0"/>
    <cellStyle name="_CRT_LCD_PC Products 3" xfId="0"/>
    <cellStyle name="_CRT_LCD_PC Products 4" xfId="0"/>
    <cellStyle name="_CRT_LCD_PC Products 5" xfId="0"/>
    <cellStyle name="_CRT_LCD_PC Products 6" xfId="0"/>
    <cellStyle name="_CRT_LCD_PC Products_By Region" xfId="0"/>
    <cellStyle name="_CRT_LCD_PC Products_CORP SG&amp;A" xfId="0"/>
    <cellStyle name="_CRT_LCD_PC Products_LCD" xfId="0"/>
    <cellStyle name="_CRT_LCD_PC Products_PJ" xfId="0"/>
    <cellStyle name="_CRT_LCD_VSA 111014" xfId="0"/>
    <cellStyle name="_CRT_LCD_VSA 111014 2" xfId="0"/>
    <cellStyle name="_CRT_LCD_VSA 111014 3" xfId="0"/>
    <cellStyle name="_CRT_LCD_VSA 111014 4" xfId="0"/>
    <cellStyle name="_CRT_LCD_VSA 111014 5" xfId="0"/>
    <cellStyle name="_CRT_LCD_VSA 111014 6" xfId="0"/>
    <cellStyle name="_CRT_LCD_VSA 111014_By Region" xfId="0"/>
    <cellStyle name="_CRT_LCD_VSA 111014_CORP SG&amp;A" xfId="0"/>
    <cellStyle name="_CRT_LCD_VSA 111014_LCD" xfId="0"/>
    <cellStyle name="_CRT_LCD_VSA 111014_PJ" xfId="0"/>
    <cellStyle name="_CRT_LCD_VSA Roll-Up (LW)" xfId="0"/>
    <cellStyle name="_CRT_LCD_VSA Roll-Up (LW) 2" xfId="0"/>
    <cellStyle name="_CRT_LCD_VSA Roll-Up (LW) 3" xfId="0"/>
    <cellStyle name="_CRT_LCD_VSA Roll-Up (LW) 4" xfId="0"/>
    <cellStyle name="_CRT_LCD_VSA Roll-Up (LW) 5" xfId="0"/>
    <cellStyle name="_CRT_LCD_VSA Roll-Up (LW) 6" xfId="0"/>
    <cellStyle name="_CRT_LCD_VSA Roll-Up (LW)_By Region" xfId="0"/>
    <cellStyle name="_CRT_LCD_VSA Roll-Up (LW)_CORP SG&amp;A" xfId="0"/>
    <cellStyle name="_CRT_LCD_VSA Roll-Up (LW)_LCD" xfId="0"/>
    <cellStyle name="_CRT_LCD_VSA Roll-Up (LW)_PJ" xfId="0"/>
    <cellStyle name="_CRT_LCDTV" xfId="0"/>
    <cellStyle name="_CRT_LCDTV 2" xfId="0"/>
    <cellStyle name="_CRT_LCDTV 3" xfId="0"/>
    <cellStyle name="_CRT_LCDTV 4" xfId="0"/>
    <cellStyle name="_CRT_LCDTV_By Region" xfId="0"/>
    <cellStyle name="_CRT_LCDTV_CORP SG&amp;A" xfId="0"/>
    <cellStyle name="_CRT_LCDTV_Digitizer" xfId="0"/>
    <cellStyle name="_CRT_LCDTV_GPS OTHER" xfId="0"/>
    <cellStyle name="_CRT_LCDTV_GPS OTHER 2" xfId="0"/>
    <cellStyle name="_CRT_LCDTV_GPS OTHER 3" xfId="0"/>
    <cellStyle name="_CRT_LCDTV_GPS OTHER 4" xfId="0"/>
    <cellStyle name="_CRT_LCDTV_GPS OTHER 5" xfId="0"/>
    <cellStyle name="_CRT_LCDTV_GPS OTHER 6" xfId="0"/>
    <cellStyle name="_CRT_LCDTV_GPS OTHER_By Region" xfId="0"/>
    <cellStyle name="_CRT_LCDTV_GPS OTHER_CORP SG&amp;A" xfId="0"/>
    <cellStyle name="_CRT_LCDTV_GPS OTHER_LCD" xfId="0"/>
    <cellStyle name="_CRT_LCDTV_GPS OTHER_PJ" xfId="0"/>
    <cellStyle name="_CRT_LCDTV_LCD" xfId="0"/>
    <cellStyle name="_CRT_LCDTV_LCD 2" xfId="0"/>
    <cellStyle name="_CRT_LCDTV_LCD 3" xfId="0"/>
    <cellStyle name="_CRT_LCDTV_LCD 4" xfId="0"/>
    <cellStyle name="_CRT_LCDTV_LCD_By Region" xfId="0"/>
    <cellStyle name="_CRT_LCDTV_LCD_CORP SG&amp;A" xfId="0"/>
    <cellStyle name="_CRT_LCDTV_LCD_LCD" xfId="0"/>
    <cellStyle name="_CRT_LCDTV_LCD_PJ" xfId="0"/>
    <cellStyle name="_CRT_LCDTV_lightling" xfId="0"/>
    <cellStyle name="_CRT_LCDTV_lightling 2" xfId="0"/>
    <cellStyle name="_CRT_LCDTV_lightling_By Region" xfId="0"/>
    <cellStyle name="_CRT_LCDTV_lightling_CORP SG&amp;A" xfId="0"/>
    <cellStyle name="_CRT_LCDTV_PC Products" xfId="0"/>
    <cellStyle name="_CRT_LCDTV_PC Products 2" xfId="0"/>
    <cellStyle name="_CRT_LCDTV_PC Products 3" xfId="0"/>
    <cellStyle name="_CRT_LCDTV_PC Products 4" xfId="0"/>
    <cellStyle name="_CRT_LCDTV_PC Products 5" xfId="0"/>
    <cellStyle name="_CRT_LCDTV_PC Products 6" xfId="0"/>
    <cellStyle name="_CRT_LCDTV_PC Products_By Region" xfId="0"/>
    <cellStyle name="_CRT_LCDTV_PC Products_CORP SG&amp;A" xfId="0"/>
    <cellStyle name="_CRT_LCDTV_PC Products_LCD" xfId="0"/>
    <cellStyle name="_CRT_LCDTV_PC Products_PJ" xfId="0"/>
    <cellStyle name="_CRT_LCDTV_VSA 111014" xfId="0"/>
    <cellStyle name="_CRT_LCDTV_VSA 111014 2" xfId="0"/>
    <cellStyle name="_CRT_LCDTV_VSA 111014 3" xfId="0"/>
    <cellStyle name="_CRT_LCDTV_VSA 111014 4" xfId="0"/>
    <cellStyle name="_CRT_LCDTV_VSA 111014 5" xfId="0"/>
    <cellStyle name="_CRT_LCDTV_VSA 111014 6" xfId="0"/>
    <cellStyle name="_CRT_LCDTV_VSA 111014_By Region" xfId="0"/>
    <cellStyle name="_CRT_LCDTV_VSA 111014_CORP SG&amp;A" xfId="0"/>
    <cellStyle name="_CRT_LCDTV_VSA 111014_LCD" xfId="0"/>
    <cellStyle name="_CRT_LCDTV_VSA 111014_PJ" xfId="0"/>
    <cellStyle name="_CRT_LCDTV_VSA Roll-Up (LW)" xfId="0"/>
    <cellStyle name="_CRT_LCDTV_VSA Roll-Up (LW) 2" xfId="0"/>
    <cellStyle name="_CRT_LCDTV_VSA Roll-Up (LW) 3" xfId="0"/>
    <cellStyle name="_CRT_LCDTV_VSA Roll-Up (LW) 4" xfId="0"/>
    <cellStyle name="_CRT_LCDTV_VSA Roll-Up (LW) 5" xfId="0"/>
    <cellStyle name="_CRT_LCDTV_VSA Roll-Up (LW) 6" xfId="0"/>
    <cellStyle name="_CRT_LCDTV_VSA Roll-Up (LW)_By Region" xfId="0"/>
    <cellStyle name="_CRT_LCDTV_VSA Roll-Up (LW)_CORP SG&amp;A" xfId="0"/>
    <cellStyle name="_CRT_LCDTV_VSA Roll-Up (LW)_LCD" xfId="0"/>
    <cellStyle name="_CRT_LCDTV_VSA Roll-Up (LW)_PJ" xfId="0"/>
    <cellStyle name="_CRT_lightling" xfId="0"/>
    <cellStyle name="_CRT_lightling 2" xfId="0"/>
    <cellStyle name="_CRT_lightling_By Region" xfId="0"/>
    <cellStyle name="_CRT_lightling_CORP SG&amp;A" xfId="0"/>
    <cellStyle name="_CRT_MNT" xfId="0"/>
    <cellStyle name="_CRT_MNT 2" xfId="0"/>
    <cellStyle name="_CRT_MNT 3" xfId="0"/>
    <cellStyle name="_CRT_MNT 4" xfId="0"/>
    <cellStyle name="_CRT_MNT_By Region" xfId="0"/>
    <cellStyle name="_CRT_MNT_CORP SG&amp;A" xfId="0"/>
    <cellStyle name="_CRT_MNT_Digitizer" xfId="0"/>
    <cellStyle name="_CRT_MNT_GPS OTHER" xfId="0"/>
    <cellStyle name="_CRT_MNT_GPS OTHER 2" xfId="0"/>
    <cellStyle name="_CRT_MNT_GPS OTHER 3" xfId="0"/>
    <cellStyle name="_CRT_MNT_GPS OTHER 4" xfId="0"/>
    <cellStyle name="_CRT_MNT_GPS OTHER 5" xfId="0"/>
    <cellStyle name="_CRT_MNT_GPS OTHER 6" xfId="0"/>
    <cellStyle name="_CRT_MNT_GPS OTHER_By Region" xfId="0"/>
    <cellStyle name="_CRT_MNT_GPS OTHER_CORP SG&amp;A" xfId="0"/>
    <cellStyle name="_CRT_MNT_GPS OTHER_LCD" xfId="0"/>
    <cellStyle name="_CRT_MNT_GPS OTHER_PJ" xfId="0"/>
    <cellStyle name="_CRT_MNT_LCD" xfId="0"/>
    <cellStyle name="_CRT_MNT_LCD 2" xfId="0"/>
    <cellStyle name="_CRT_MNT_LCD 3" xfId="0"/>
    <cellStyle name="_CRT_MNT_LCD 4" xfId="0"/>
    <cellStyle name="_CRT_MNT_LCD_By Region" xfId="0"/>
    <cellStyle name="_CRT_MNT_LCD_CORP SG&amp;A" xfId="0"/>
    <cellStyle name="_CRT_MNT_LCD_LCD" xfId="0"/>
    <cellStyle name="_CRT_MNT_LCD_PJ" xfId="0"/>
    <cellStyle name="_CRT_MNT_lightling" xfId="0"/>
    <cellStyle name="_CRT_MNT_lightling 2" xfId="0"/>
    <cellStyle name="_CRT_MNT_lightling_By Region" xfId="0"/>
    <cellStyle name="_CRT_MNT_lightling_CORP SG&amp;A" xfId="0"/>
    <cellStyle name="_CRT_MNT_PC Products" xfId="0"/>
    <cellStyle name="_CRT_MNT_PC Products 2" xfId="0"/>
    <cellStyle name="_CRT_MNT_PC Products 3" xfId="0"/>
    <cellStyle name="_CRT_MNT_PC Products 4" xfId="0"/>
    <cellStyle name="_CRT_MNT_PC Products 5" xfId="0"/>
    <cellStyle name="_CRT_MNT_PC Products 6" xfId="0"/>
    <cellStyle name="_CRT_MNT_PC Products_By Region" xfId="0"/>
    <cellStyle name="_CRT_MNT_PC Products_CORP SG&amp;A" xfId="0"/>
    <cellStyle name="_CRT_MNT_PC Products_LCD" xfId="0"/>
    <cellStyle name="_CRT_MNT_PC Products_PJ" xfId="0"/>
    <cellStyle name="_CRT_MNT_VSA 111014" xfId="0"/>
    <cellStyle name="_CRT_MNT_VSA 111014 2" xfId="0"/>
    <cellStyle name="_CRT_MNT_VSA 111014 3" xfId="0"/>
    <cellStyle name="_CRT_MNT_VSA 111014 4" xfId="0"/>
    <cellStyle name="_CRT_MNT_VSA 111014 5" xfId="0"/>
    <cellStyle name="_CRT_MNT_VSA 111014 6" xfId="0"/>
    <cellStyle name="_CRT_MNT_VSA 111014_By Region" xfId="0"/>
    <cellStyle name="_CRT_MNT_VSA 111014_CORP SG&amp;A" xfId="0"/>
    <cellStyle name="_CRT_MNT_VSA 111014_LCD" xfId="0"/>
    <cellStyle name="_CRT_MNT_VSA 111014_PJ" xfId="0"/>
    <cellStyle name="_CRT_MNT_VSA Roll-Up (LW)" xfId="0"/>
    <cellStyle name="_CRT_MNT_VSA Roll-Up (LW) 2" xfId="0"/>
    <cellStyle name="_CRT_MNT_VSA Roll-Up (LW) 3" xfId="0"/>
    <cellStyle name="_CRT_MNT_VSA Roll-Up (LW) 4" xfId="0"/>
    <cellStyle name="_CRT_MNT_VSA Roll-Up (LW) 5" xfId="0"/>
    <cellStyle name="_CRT_MNT_VSA Roll-Up (LW) 6" xfId="0"/>
    <cellStyle name="_CRT_MNT_VSA Roll-Up (LW)_By Region" xfId="0"/>
    <cellStyle name="_CRT_MNT_VSA Roll-Up (LW)_CORP SG&amp;A" xfId="0"/>
    <cellStyle name="_CRT_MNT_VSA Roll-Up (LW)_LCD" xfId="0"/>
    <cellStyle name="_CRT_MNT_VSA Roll-Up (LW)_PJ" xfId="0"/>
    <cellStyle name="_CRT_Other" xfId="0"/>
    <cellStyle name="_CRT_Other 2" xfId="0"/>
    <cellStyle name="_CRT_Other 3" xfId="0"/>
    <cellStyle name="_CRT_Other 4" xfId="0"/>
    <cellStyle name="_CRT_Other_By Region" xfId="0"/>
    <cellStyle name="_CRT_Other_CORP SG&amp;A" xfId="0"/>
    <cellStyle name="_CRT_Other_Digitizer" xfId="0"/>
    <cellStyle name="_CRT_Other_GPS OTHER" xfId="0"/>
    <cellStyle name="_CRT_Other_GPS OTHER 2" xfId="0"/>
    <cellStyle name="_CRT_Other_GPS OTHER 3" xfId="0"/>
    <cellStyle name="_CRT_Other_GPS OTHER 4" xfId="0"/>
    <cellStyle name="_CRT_Other_GPS OTHER 5" xfId="0"/>
    <cellStyle name="_CRT_Other_GPS OTHER 6" xfId="0"/>
    <cellStyle name="_CRT_Other_GPS OTHER_By Region" xfId="0"/>
    <cellStyle name="_CRT_Other_GPS OTHER_CORP SG&amp;A" xfId="0"/>
    <cellStyle name="_CRT_Other_GPS OTHER_LCD" xfId="0"/>
    <cellStyle name="_CRT_Other_GPS OTHER_PJ" xfId="0"/>
    <cellStyle name="_CRT_Other_LCD" xfId="0"/>
    <cellStyle name="_CRT_Other_LCD 2" xfId="0"/>
    <cellStyle name="_CRT_Other_LCD 3" xfId="0"/>
    <cellStyle name="_CRT_Other_LCD 4" xfId="0"/>
    <cellStyle name="_CRT_Other_LCD_By Region" xfId="0"/>
    <cellStyle name="_CRT_Other_LCD_CORP SG&amp;A" xfId="0"/>
    <cellStyle name="_CRT_Other_LCD_LCD" xfId="0"/>
    <cellStyle name="_CRT_Other_LCD_PJ" xfId="0"/>
    <cellStyle name="_CRT_Other_lightling" xfId="0"/>
    <cellStyle name="_CRT_Other_lightling 2" xfId="0"/>
    <cellStyle name="_CRT_Other_lightling_By Region" xfId="0"/>
    <cellStyle name="_CRT_Other_lightling_CORP SG&amp;A" xfId="0"/>
    <cellStyle name="_CRT_Other_PC Products" xfId="0"/>
    <cellStyle name="_CRT_Other_PC Products 2" xfId="0"/>
    <cellStyle name="_CRT_Other_PC Products 3" xfId="0"/>
    <cellStyle name="_CRT_Other_PC Products 4" xfId="0"/>
    <cellStyle name="_CRT_Other_PC Products 5" xfId="0"/>
    <cellStyle name="_CRT_Other_PC Products 6" xfId="0"/>
    <cellStyle name="_CRT_Other_PC Products_By Region" xfId="0"/>
    <cellStyle name="_CRT_Other_PC Products_CORP SG&amp;A" xfId="0"/>
    <cellStyle name="_CRT_Other_PC Products_LCD" xfId="0"/>
    <cellStyle name="_CRT_Other_PC Products_PJ" xfId="0"/>
    <cellStyle name="_CRT_Other_VSA 111014" xfId="0"/>
    <cellStyle name="_CRT_Other_VSA 111014 2" xfId="0"/>
    <cellStyle name="_CRT_Other_VSA 111014 3" xfId="0"/>
    <cellStyle name="_CRT_Other_VSA 111014 4" xfId="0"/>
    <cellStyle name="_CRT_Other_VSA 111014 5" xfId="0"/>
    <cellStyle name="_CRT_Other_VSA 111014 6" xfId="0"/>
    <cellStyle name="_CRT_Other_VSA 111014_By Region" xfId="0"/>
    <cellStyle name="_CRT_Other_VSA 111014_CORP SG&amp;A" xfId="0"/>
    <cellStyle name="_CRT_Other_VSA 111014_LCD" xfId="0"/>
    <cellStyle name="_CRT_Other_VSA 111014_PJ" xfId="0"/>
    <cellStyle name="_CRT_Other_VSA Roll-Up (LW)" xfId="0"/>
    <cellStyle name="_CRT_Other_VSA Roll-Up (LW) 2" xfId="0"/>
    <cellStyle name="_CRT_Other_VSA Roll-Up (LW) 3" xfId="0"/>
    <cellStyle name="_CRT_Other_VSA Roll-Up (LW) 4" xfId="0"/>
    <cellStyle name="_CRT_Other_VSA Roll-Up (LW) 5" xfId="0"/>
    <cellStyle name="_CRT_Other_VSA Roll-Up (LW) 6" xfId="0"/>
    <cellStyle name="_CRT_Other_VSA Roll-Up (LW)_By Region" xfId="0"/>
    <cellStyle name="_CRT_Other_VSA Roll-Up (LW)_CORP SG&amp;A" xfId="0"/>
    <cellStyle name="_CRT_Other_VSA Roll-Up (LW)_LCD" xfId="0"/>
    <cellStyle name="_CRT_Other_VSA Roll-Up (LW)_PJ" xfId="0"/>
    <cellStyle name="_CRT_PC" xfId="0"/>
    <cellStyle name="_CRT_PC 2" xfId="0"/>
    <cellStyle name="_CRT_PC 3" xfId="0"/>
    <cellStyle name="_CRT_PC 4" xfId="0"/>
    <cellStyle name="_CRT_PC Products" xfId="0"/>
    <cellStyle name="_CRT_PC Products 2" xfId="0"/>
    <cellStyle name="_CRT_PC Products 3" xfId="0"/>
    <cellStyle name="_CRT_PC Products 4" xfId="0"/>
    <cellStyle name="_CRT_PC Products 5" xfId="0"/>
    <cellStyle name="_CRT_PC Products 6" xfId="0"/>
    <cellStyle name="_CRT_PC Products_By Region" xfId="0"/>
    <cellStyle name="_CRT_PC Products_CORP SG&amp;A" xfId="0"/>
    <cellStyle name="_CRT_PC Products_LCD" xfId="0"/>
    <cellStyle name="_CRT_PC Products_PJ" xfId="0"/>
    <cellStyle name="_CRT_PC_By Region" xfId="0"/>
    <cellStyle name="_CRT_PC_CORP SG&amp;A" xfId="0"/>
    <cellStyle name="_CRT_PC_Digitizer" xfId="0"/>
    <cellStyle name="_CRT_PC_DT" xfId="0"/>
    <cellStyle name="_CRT_PC_DT 2" xfId="0"/>
    <cellStyle name="_CRT_PC_DT_By Region" xfId="0"/>
    <cellStyle name="_CRT_PC_DT_CORP SG&amp;A" xfId="0"/>
    <cellStyle name="_CRT_PC_GPS OTHER" xfId="0"/>
    <cellStyle name="_CRT_PC_GPS OTHER 2" xfId="0"/>
    <cellStyle name="_CRT_PC_GPS OTHER 3" xfId="0"/>
    <cellStyle name="_CRT_PC_GPS OTHER 4" xfId="0"/>
    <cellStyle name="_CRT_PC_GPS OTHER 5" xfId="0"/>
    <cellStyle name="_CRT_PC_GPS OTHER 6" xfId="0"/>
    <cellStyle name="_CRT_PC_GPS OTHER_By Region" xfId="0"/>
    <cellStyle name="_CRT_PC_GPS OTHER_CORP SG&amp;A" xfId="0"/>
    <cellStyle name="_CRT_PC_GPS OTHER_LCD" xfId="0"/>
    <cellStyle name="_CRT_PC_GPS OTHER_PJ" xfId="0"/>
    <cellStyle name="_CRT_PC_LCD" xfId="0"/>
    <cellStyle name="_CRT_PC_LCD 2" xfId="0"/>
    <cellStyle name="_CRT_PC_LCD 3" xfId="0"/>
    <cellStyle name="_CRT_PC_LCD 4" xfId="0"/>
    <cellStyle name="_CRT_PC_LCD_By Region" xfId="0"/>
    <cellStyle name="_CRT_PC_LCD_CORP SG&amp;A" xfId="0"/>
    <cellStyle name="_CRT_PC_LCD_LCD" xfId="0"/>
    <cellStyle name="_CRT_PC_LCD_PJ" xfId="0"/>
    <cellStyle name="_CRT_PC_lightling" xfId="0"/>
    <cellStyle name="_CRT_PC_lightling 2" xfId="0"/>
    <cellStyle name="_CRT_PC_lightling_By Region" xfId="0"/>
    <cellStyle name="_CRT_PC_lightling_CORP SG&amp;A" xfId="0"/>
    <cellStyle name="_CRT_PC_PC Products" xfId="0"/>
    <cellStyle name="_CRT_PC_PC Products 2" xfId="0"/>
    <cellStyle name="_CRT_PC_PC Products 3" xfId="0"/>
    <cellStyle name="_CRT_PC_PC Products 4" xfId="0"/>
    <cellStyle name="_CRT_PC_PC Products 5" xfId="0"/>
    <cellStyle name="_CRT_PC_PC Products 6" xfId="0"/>
    <cellStyle name="_CRT_PC_PC Products_By Region" xfId="0"/>
    <cellStyle name="_CRT_PC_PC Products_CORP SG&amp;A" xfId="0"/>
    <cellStyle name="_CRT_PC_PC Products_LCD" xfId="0"/>
    <cellStyle name="_CRT_PC_PC Products_PJ" xfId="0"/>
    <cellStyle name="_CRT_PC_TV" xfId="0"/>
    <cellStyle name="_CRT_PC_TV 2" xfId="0"/>
    <cellStyle name="_CRT_PC_TV 3" xfId="0"/>
    <cellStyle name="_CRT_PC_TV 4" xfId="0"/>
    <cellStyle name="_CRT_PC_TV_By Region" xfId="0"/>
    <cellStyle name="_CRT_PC_TV_CORP SG&amp;A" xfId="0"/>
    <cellStyle name="_CRT_PC_TV_Digitizer" xfId="0"/>
    <cellStyle name="_CRT_PC_TV_GPS OTHER" xfId="0"/>
    <cellStyle name="_CRT_PC_TV_GPS OTHER 2" xfId="0"/>
    <cellStyle name="_CRT_PC_TV_GPS OTHER 3" xfId="0"/>
    <cellStyle name="_CRT_PC_TV_GPS OTHER 4" xfId="0"/>
    <cellStyle name="_CRT_PC_TV_GPS OTHER 5" xfId="0"/>
    <cellStyle name="_CRT_PC_TV_GPS OTHER 6" xfId="0"/>
    <cellStyle name="_CRT_PC_TV_GPS OTHER_By Region" xfId="0"/>
    <cellStyle name="_CRT_PC_TV_GPS OTHER_CORP SG&amp;A" xfId="0"/>
    <cellStyle name="_CRT_PC_TV_GPS OTHER_LCD" xfId="0"/>
    <cellStyle name="_CRT_PC_TV_GPS OTHER_PJ" xfId="0"/>
    <cellStyle name="_CRT_PC_TV_LCD" xfId="0"/>
    <cellStyle name="_CRT_PC_TV_LCD 2" xfId="0"/>
    <cellStyle name="_CRT_PC_TV_LCD 3" xfId="0"/>
    <cellStyle name="_CRT_PC_TV_LCD 4" xfId="0"/>
    <cellStyle name="_CRT_PC_TV_LCD_By Region" xfId="0"/>
    <cellStyle name="_CRT_PC_TV_LCD_CORP SG&amp;A" xfId="0"/>
    <cellStyle name="_CRT_PC_TV_LCD_LCD" xfId="0"/>
    <cellStyle name="_CRT_PC_TV_LCD_PJ" xfId="0"/>
    <cellStyle name="_CRT_PC_TV_lightling" xfId="0"/>
    <cellStyle name="_CRT_PC_TV_lightling 2" xfId="0"/>
    <cellStyle name="_CRT_PC_TV_lightling_By Region" xfId="0"/>
    <cellStyle name="_CRT_PC_TV_lightling_CORP SG&amp;A" xfId="0"/>
    <cellStyle name="_CRT_PC_TV_PC Products" xfId="0"/>
    <cellStyle name="_CRT_PC_TV_PC Products 2" xfId="0"/>
    <cellStyle name="_CRT_PC_TV_PC Products 3" xfId="0"/>
    <cellStyle name="_CRT_PC_TV_PC Products 4" xfId="0"/>
    <cellStyle name="_CRT_PC_TV_PC Products 5" xfId="0"/>
    <cellStyle name="_CRT_PC_TV_PC Products 6" xfId="0"/>
    <cellStyle name="_CRT_PC_TV_PC Products_By Region" xfId="0"/>
    <cellStyle name="_CRT_PC_TV_PC Products_CORP SG&amp;A" xfId="0"/>
    <cellStyle name="_CRT_PC_TV_PC Products_LCD" xfId="0"/>
    <cellStyle name="_CRT_PC_TV_PC Products_PJ" xfId="0"/>
    <cellStyle name="_CRT_PC_TV_VSA 111014" xfId="0"/>
    <cellStyle name="_CRT_PC_TV_VSA 111014 2" xfId="0"/>
    <cellStyle name="_CRT_PC_TV_VSA 111014 3" xfId="0"/>
    <cellStyle name="_CRT_PC_TV_VSA 111014 4" xfId="0"/>
    <cellStyle name="_CRT_PC_TV_VSA 111014 5" xfId="0"/>
    <cellStyle name="_CRT_PC_TV_VSA 111014 6" xfId="0"/>
    <cellStyle name="_CRT_PC_TV_VSA 111014_By Region" xfId="0"/>
    <cellStyle name="_CRT_PC_TV_VSA 111014_CORP SG&amp;A" xfId="0"/>
    <cellStyle name="_CRT_PC_TV_VSA 111014_LCD" xfId="0"/>
    <cellStyle name="_CRT_PC_TV_VSA 111014_PJ" xfId="0"/>
    <cellStyle name="_CRT_PC_TV_VSA Roll-Up (LW)" xfId="0"/>
    <cellStyle name="_CRT_PC_TV_VSA Roll-Up (LW) 2" xfId="0"/>
    <cellStyle name="_CRT_PC_TV_VSA Roll-Up (LW) 3" xfId="0"/>
    <cellStyle name="_CRT_PC_TV_VSA Roll-Up (LW) 4" xfId="0"/>
    <cellStyle name="_CRT_PC_TV_VSA Roll-Up (LW) 5" xfId="0"/>
    <cellStyle name="_CRT_PC_TV_VSA Roll-Up (LW) 6" xfId="0"/>
    <cellStyle name="_CRT_PC_TV_VSA Roll-Up (LW)_By Region" xfId="0"/>
    <cellStyle name="_CRT_PC_TV_VSA Roll-Up (LW)_CORP SG&amp;A" xfId="0"/>
    <cellStyle name="_CRT_PC_TV_VSA Roll-Up (LW)_LCD" xfId="0"/>
    <cellStyle name="_CRT_PC_TV_VSA Roll-Up (LW)_PJ" xfId="0"/>
    <cellStyle name="_CRT_PC_VSA 111014" xfId="0"/>
    <cellStyle name="_CRT_PC_VSA 111014 2" xfId="0"/>
    <cellStyle name="_CRT_PC_VSA 111014 3" xfId="0"/>
    <cellStyle name="_CRT_PC_VSA 111014 4" xfId="0"/>
    <cellStyle name="_CRT_PC_VSA 111014 5" xfId="0"/>
    <cellStyle name="_CRT_PC_VSA 111014 6" xfId="0"/>
    <cellStyle name="_CRT_PC_VSA 111014_By Region" xfId="0"/>
    <cellStyle name="_CRT_PC_VSA 111014_CORP SG&amp;A" xfId="0"/>
    <cellStyle name="_CRT_PC_VSA 111014_LCD" xfId="0"/>
    <cellStyle name="_CRT_PC_VSA 111014_PJ" xfId="0"/>
    <cellStyle name="_CRT_PC_VSA Roll-Up (LW)" xfId="0"/>
    <cellStyle name="_CRT_PC_VSA Roll-Up (LW) 2" xfId="0"/>
    <cellStyle name="_CRT_PC_VSA Roll-Up (LW) 3" xfId="0"/>
    <cellStyle name="_CRT_PC_VSA Roll-Up (LW) 4" xfId="0"/>
    <cellStyle name="_CRT_PC_VSA Roll-Up (LW) 5" xfId="0"/>
    <cellStyle name="_CRT_PC_VSA Roll-Up (LW) 6" xfId="0"/>
    <cellStyle name="_CRT_PC_VSA Roll-Up (LW)_By Region" xfId="0"/>
    <cellStyle name="_CRT_PC_VSA Roll-Up (LW)_CORP SG&amp;A" xfId="0"/>
    <cellStyle name="_CRT_PC_VSA Roll-Up (LW)_LCD" xfId="0"/>
    <cellStyle name="_CRT_PC_VSA Roll-Up (LW)_PJ" xfId="0"/>
    <cellStyle name="_CRT_PJ" xfId="0"/>
    <cellStyle name="_CRT_PJ 2" xfId="0"/>
    <cellStyle name="_CRT_PJ 3" xfId="0"/>
    <cellStyle name="_CRT_PJ 4" xfId="0"/>
    <cellStyle name="_CRT_PJ_By Region" xfId="0"/>
    <cellStyle name="_CRT_PJ_CORP SG&amp;A" xfId="0"/>
    <cellStyle name="_CRT_PJ_Digitizer" xfId="0"/>
    <cellStyle name="_CRT_PJ_GPS OTHER" xfId="0"/>
    <cellStyle name="_CRT_PJ_GPS OTHER 2" xfId="0"/>
    <cellStyle name="_CRT_PJ_GPS OTHER 3" xfId="0"/>
    <cellStyle name="_CRT_PJ_GPS OTHER 4" xfId="0"/>
    <cellStyle name="_CRT_PJ_GPS OTHER 5" xfId="0"/>
    <cellStyle name="_CRT_PJ_GPS OTHER 6" xfId="0"/>
    <cellStyle name="_CRT_PJ_GPS OTHER_By Region" xfId="0"/>
    <cellStyle name="_CRT_PJ_GPS OTHER_CORP SG&amp;A" xfId="0"/>
    <cellStyle name="_CRT_PJ_GPS OTHER_LCD" xfId="0"/>
    <cellStyle name="_CRT_PJ_GPS OTHER_PJ" xfId="0"/>
    <cellStyle name="_CRT_PJ_LCD" xfId="0"/>
    <cellStyle name="_CRT_PJ_LCD 2" xfId="0"/>
    <cellStyle name="_CRT_PJ_LCD 3" xfId="0"/>
    <cellStyle name="_CRT_PJ_LCD 4" xfId="0"/>
    <cellStyle name="_CRT_PJ_LCD_By Region" xfId="0"/>
    <cellStyle name="_CRT_PJ_LCD_CORP SG&amp;A" xfId="0"/>
    <cellStyle name="_CRT_PJ_LCD_LCD" xfId="0"/>
    <cellStyle name="_CRT_PJ_LCD_PJ" xfId="0"/>
    <cellStyle name="_CRT_PJ_lightling" xfId="0"/>
    <cellStyle name="_CRT_PJ_lightling 2" xfId="0"/>
    <cellStyle name="_CRT_PJ_lightling_By Region" xfId="0"/>
    <cellStyle name="_CRT_PJ_lightling_CORP SG&amp;A" xfId="0"/>
    <cellStyle name="_CRT_PJ_PC Products" xfId="0"/>
    <cellStyle name="_CRT_PJ_PC Products 2" xfId="0"/>
    <cellStyle name="_CRT_PJ_PC Products 3" xfId="0"/>
    <cellStyle name="_CRT_PJ_PC Products 4" xfId="0"/>
    <cellStyle name="_CRT_PJ_PC Products 5" xfId="0"/>
    <cellStyle name="_CRT_PJ_PC Products 6" xfId="0"/>
    <cellStyle name="_CRT_PJ_PC Products_By Region" xfId="0"/>
    <cellStyle name="_CRT_PJ_PC Products_CORP SG&amp;A" xfId="0"/>
    <cellStyle name="_CRT_PJ_PC Products_LCD" xfId="0"/>
    <cellStyle name="_CRT_PJ_PC Products_PJ" xfId="0"/>
    <cellStyle name="_CRT_PJ_VSA 111014" xfId="0"/>
    <cellStyle name="_CRT_PJ_VSA 111014 2" xfId="0"/>
    <cellStyle name="_CRT_PJ_VSA 111014 3" xfId="0"/>
    <cellStyle name="_CRT_PJ_VSA 111014 4" xfId="0"/>
    <cellStyle name="_CRT_PJ_VSA 111014 5" xfId="0"/>
    <cellStyle name="_CRT_PJ_VSA 111014 6" xfId="0"/>
    <cellStyle name="_CRT_PJ_VSA 111014_By Region" xfId="0"/>
    <cellStyle name="_CRT_PJ_VSA 111014_CORP SG&amp;A" xfId="0"/>
    <cellStyle name="_CRT_PJ_VSA 111014_LCD" xfId="0"/>
    <cellStyle name="_CRT_PJ_VSA 111014_PJ" xfId="0"/>
    <cellStyle name="_CRT_PJ_VSA Roll-Up (LW)" xfId="0"/>
    <cellStyle name="_CRT_PJ_VSA Roll-Up (LW) 2" xfId="0"/>
    <cellStyle name="_CRT_PJ_VSA Roll-Up (LW) 3" xfId="0"/>
    <cellStyle name="_CRT_PJ_VSA Roll-Up (LW) 4" xfId="0"/>
    <cellStyle name="_CRT_PJ_VSA Roll-Up (LW) 5" xfId="0"/>
    <cellStyle name="_CRT_PJ_VSA Roll-Up (LW) 6" xfId="0"/>
    <cellStyle name="_CRT_PJ_VSA Roll-Up (LW)_By Region" xfId="0"/>
    <cellStyle name="_CRT_PJ_VSA Roll-Up (LW)_CORP SG&amp;A" xfId="0"/>
    <cellStyle name="_CRT_PJ_VSA Roll-Up (LW)_LCD" xfId="0"/>
    <cellStyle name="_CRT_PJ_VSA Roll-Up (LW)_PJ" xfId="0"/>
    <cellStyle name="_CRT_PMP(VPD)" xfId="0"/>
    <cellStyle name="_CRT_PMP(VPD) 2" xfId="0"/>
    <cellStyle name="_CRT_PMP(VPD) 3" xfId="0"/>
    <cellStyle name="_CRT_PMP(VPD) 4" xfId="0"/>
    <cellStyle name="_CRT_PMP(VPD)_By Region" xfId="0"/>
    <cellStyle name="_CRT_PMP(VPD)_CORP SG&amp;A" xfId="0"/>
    <cellStyle name="_CRT_PMP(VPD)_Digitizer" xfId="0"/>
    <cellStyle name="_CRT_PMP(VPD)_GPS OTHER" xfId="0"/>
    <cellStyle name="_CRT_PMP(VPD)_GPS OTHER 2" xfId="0"/>
    <cellStyle name="_CRT_PMP(VPD)_GPS OTHER 3" xfId="0"/>
    <cellStyle name="_CRT_PMP(VPD)_GPS OTHER 4" xfId="0"/>
    <cellStyle name="_CRT_PMP(VPD)_GPS OTHER 5" xfId="0"/>
    <cellStyle name="_CRT_PMP(VPD)_GPS OTHER 6" xfId="0"/>
    <cellStyle name="_CRT_PMP(VPD)_GPS OTHER_By Region" xfId="0"/>
    <cellStyle name="_CRT_PMP(VPD)_GPS OTHER_CORP SG&amp;A" xfId="0"/>
    <cellStyle name="_CRT_PMP(VPD)_GPS OTHER_LCD" xfId="0"/>
    <cellStyle name="_CRT_PMP(VPD)_GPS OTHER_PJ" xfId="0"/>
    <cellStyle name="_CRT_PMP(VPD)_LCD" xfId="0"/>
    <cellStyle name="_CRT_PMP(VPD)_LCD 2" xfId="0"/>
    <cellStyle name="_CRT_PMP(VPD)_LCD 3" xfId="0"/>
    <cellStyle name="_CRT_PMP(VPD)_LCD 4" xfId="0"/>
    <cellStyle name="_CRT_PMP(VPD)_LCD_By Region" xfId="0"/>
    <cellStyle name="_CRT_PMP(VPD)_LCD_CORP SG&amp;A" xfId="0"/>
    <cellStyle name="_CRT_PMP(VPD)_LCD_LCD" xfId="0"/>
    <cellStyle name="_CRT_PMP(VPD)_LCD_PJ" xfId="0"/>
    <cellStyle name="_CRT_PMP(VPD)_lightling" xfId="0"/>
    <cellStyle name="_CRT_PMP(VPD)_lightling 2" xfId="0"/>
    <cellStyle name="_CRT_PMP(VPD)_lightling_By Region" xfId="0"/>
    <cellStyle name="_CRT_PMP(VPD)_lightling_CORP SG&amp;A" xfId="0"/>
    <cellStyle name="_CRT_PMP(VPD)_PC Products" xfId="0"/>
    <cellStyle name="_CRT_PMP(VPD)_PC Products 2" xfId="0"/>
    <cellStyle name="_CRT_PMP(VPD)_PC Products 3" xfId="0"/>
    <cellStyle name="_CRT_PMP(VPD)_PC Products 4" xfId="0"/>
    <cellStyle name="_CRT_PMP(VPD)_PC Products 5" xfId="0"/>
    <cellStyle name="_CRT_PMP(VPD)_PC Products 6" xfId="0"/>
    <cellStyle name="_CRT_PMP(VPD)_PC Products_By Region" xfId="0"/>
    <cellStyle name="_CRT_PMP(VPD)_PC Products_CORP SG&amp;A" xfId="0"/>
    <cellStyle name="_CRT_PMP(VPD)_PC Products_LCD" xfId="0"/>
    <cellStyle name="_CRT_PMP(VPD)_PC Products_PJ" xfId="0"/>
    <cellStyle name="_CRT_PMP(VPD)_VSA 111014" xfId="0"/>
    <cellStyle name="_CRT_PMP(VPD)_VSA 111014 2" xfId="0"/>
    <cellStyle name="_CRT_PMP(VPD)_VSA 111014 3" xfId="0"/>
    <cellStyle name="_CRT_PMP(VPD)_VSA 111014 4" xfId="0"/>
    <cellStyle name="_CRT_PMP(VPD)_VSA 111014 5" xfId="0"/>
    <cellStyle name="_CRT_PMP(VPD)_VSA 111014 6" xfId="0"/>
    <cellStyle name="_CRT_PMP(VPD)_VSA 111014_By Region" xfId="0"/>
    <cellStyle name="_CRT_PMP(VPD)_VSA 111014_CORP SG&amp;A" xfId="0"/>
    <cellStyle name="_CRT_PMP(VPD)_VSA 111014_LCD" xfId="0"/>
    <cellStyle name="_CRT_PMP(VPD)_VSA 111014_PJ" xfId="0"/>
    <cellStyle name="_CRT_PMP(VPD)_VSA Roll-Up (LW)" xfId="0"/>
    <cellStyle name="_CRT_PMP(VPD)_VSA Roll-Up (LW) 2" xfId="0"/>
    <cellStyle name="_CRT_PMP(VPD)_VSA Roll-Up (LW) 3" xfId="0"/>
    <cellStyle name="_CRT_PMP(VPD)_VSA Roll-Up (LW) 4" xfId="0"/>
    <cellStyle name="_CRT_PMP(VPD)_VSA Roll-Up (LW) 5" xfId="0"/>
    <cellStyle name="_CRT_PMP(VPD)_VSA Roll-Up (LW) 6" xfId="0"/>
    <cellStyle name="_CRT_PMP(VPD)_VSA Roll-Up (LW)_By Region" xfId="0"/>
    <cellStyle name="_CRT_PMP(VPD)_VSA Roll-Up (LW)_CORP SG&amp;A" xfId="0"/>
    <cellStyle name="_CRT_PMP(VPD)_VSA Roll-Up (LW)_LCD" xfId="0"/>
    <cellStyle name="_CRT_PMP(VPD)_VSA Roll-Up (LW)_PJ" xfId="0"/>
    <cellStyle name="_CRT_Pocket TV" xfId="0"/>
    <cellStyle name="_CRT_Pocket TV 2" xfId="0"/>
    <cellStyle name="_CRT_Pocket TV 3" xfId="0"/>
    <cellStyle name="_CRT_Pocket TV 4" xfId="0"/>
    <cellStyle name="_CRT_Pocket TV_By Region" xfId="0"/>
    <cellStyle name="_CRT_Pocket TV_CORP SG&amp;A" xfId="0"/>
    <cellStyle name="_CRT_Pocket TV_Digitizer" xfId="0"/>
    <cellStyle name="_CRT_Pocket TV_GPS OTHER" xfId="0"/>
    <cellStyle name="_CRT_Pocket TV_GPS OTHER 2" xfId="0"/>
    <cellStyle name="_CRT_Pocket TV_GPS OTHER 3" xfId="0"/>
    <cellStyle name="_CRT_Pocket TV_GPS OTHER 4" xfId="0"/>
    <cellStyle name="_CRT_Pocket TV_GPS OTHER 5" xfId="0"/>
    <cellStyle name="_CRT_Pocket TV_GPS OTHER 6" xfId="0"/>
    <cellStyle name="_CRT_Pocket TV_GPS OTHER_By Region" xfId="0"/>
    <cellStyle name="_CRT_Pocket TV_GPS OTHER_CORP SG&amp;A" xfId="0"/>
    <cellStyle name="_CRT_Pocket TV_GPS OTHER_LCD" xfId="0"/>
    <cellStyle name="_CRT_Pocket TV_GPS OTHER_PJ" xfId="0"/>
    <cellStyle name="_CRT_Pocket TV_LCD" xfId="0"/>
    <cellStyle name="_CRT_Pocket TV_LCD 2" xfId="0"/>
    <cellStyle name="_CRT_Pocket TV_LCD 3" xfId="0"/>
    <cellStyle name="_CRT_Pocket TV_LCD 4" xfId="0"/>
    <cellStyle name="_CRT_Pocket TV_LCD_By Region" xfId="0"/>
    <cellStyle name="_CRT_Pocket TV_LCD_CORP SG&amp;A" xfId="0"/>
    <cellStyle name="_CRT_Pocket TV_LCD_LCD" xfId="0"/>
    <cellStyle name="_CRT_Pocket TV_LCD_PJ" xfId="0"/>
    <cellStyle name="_CRT_Pocket TV_lightling" xfId="0"/>
    <cellStyle name="_CRT_Pocket TV_lightling 2" xfId="0"/>
    <cellStyle name="_CRT_Pocket TV_lightling_By Region" xfId="0"/>
    <cellStyle name="_CRT_Pocket TV_lightling_CORP SG&amp;A" xfId="0"/>
    <cellStyle name="_CRT_Pocket TV_PC Products" xfId="0"/>
    <cellStyle name="_CRT_Pocket TV_PC Products 2" xfId="0"/>
    <cellStyle name="_CRT_Pocket TV_PC Products 3" xfId="0"/>
    <cellStyle name="_CRT_Pocket TV_PC Products 4" xfId="0"/>
    <cellStyle name="_CRT_Pocket TV_PC Products 5" xfId="0"/>
    <cellStyle name="_CRT_Pocket TV_PC Products 6" xfId="0"/>
    <cellStyle name="_CRT_Pocket TV_PC Products_By Region" xfId="0"/>
    <cellStyle name="_CRT_Pocket TV_PC Products_CORP SG&amp;A" xfId="0"/>
    <cellStyle name="_CRT_Pocket TV_PC Products_LCD" xfId="0"/>
    <cellStyle name="_CRT_Pocket TV_PC Products_PJ" xfId="0"/>
    <cellStyle name="_CRT_Pocket TV_VSA 111014" xfId="0"/>
    <cellStyle name="_CRT_Pocket TV_VSA 111014 2" xfId="0"/>
    <cellStyle name="_CRT_Pocket TV_VSA 111014 3" xfId="0"/>
    <cellStyle name="_CRT_Pocket TV_VSA 111014 4" xfId="0"/>
    <cellStyle name="_CRT_Pocket TV_VSA 111014 5" xfId="0"/>
    <cellStyle name="_CRT_Pocket TV_VSA 111014 6" xfId="0"/>
    <cellStyle name="_CRT_Pocket TV_VSA 111014_By Region" xfId="0"/>
    <cellStyle name="_CRT_Pocket TV_VSA 111014_CORP SG&amp;A" xfId="0"/>
    <cellStyle name="_CRT_Pocket TV_VSA 111014_LCD" xfId="0"/>
    <cellStyle name="_CRT_Pocket TV_VSA 111014_PJ" xfId="0"/>
    <cellStyle name="_CRT_Pocket TV_VSA Roll-Up (LW)" xfId="0"/>
    <cellStyle name="_CRT_Pocket TV_VSA Roll-Up (LW) 2" xfId="0"/>
    <cellStyle name="_CRT_Pocket TV_VSA Roll-Up (LW) 3" xfId="0"/>
    <cellStyle name="_CRT_Pocket TV_VSA Roll-Up (LW) 4" xfId="0"/>
    <cellStyle name="_CRT_Pocket TV_VSA Roll-Up (LW) 5" xfId="0"/>
    <cellStyle name="_CRT_Pocket TV_VSA Roll-Up (LW) 6" xfId="0"/>
    <cellStyle name="_CRT_Pocket TV_VSA Roll-Up (LW)_By Region" xfId="0"/>
    <cellStyle name="_CRT_Pocket TV_VSA Roll-Up (LW)_CORP SG&amp;A" xfId="0"/>
    <cellStyle name="_CRT_Pocket TV_VSA Roll-Up (LW)_LCD" xfId="0"/>
    <cellStyle name="_CRT_Pocket TV_VSA Roll-Up (LW)_PJ" xfId="0"/>
    <cellStyle name="_CRT_Pocket_TV" xfId="0"/>
    <cellStyle name="_CRT_Pocket_TV 2" xfId="0"/>
    <cellStyle name="_CRT_Pocket_TV 3" xfId="0"/>
    <cellStyle name="_CRT_Pocket_TV 4" xfId="0"/>
    <cellStyle name="_CRT_Pocket_TV_By Region" xfId="0"/>
    <cellStyle name="_CRT_Pocket_TV_CORP SG&amp;A" xfId="0"/>
    <cellStyle name="_CRT_Pocket_TV_Digitizer" xfId="0"/>
    <cellStyle name="_CRT_Pocket_TV_GPS OTHER" xfId="0"/>
    <cellStyle name="_CRT_Pocket_TV_GPS OTHER 2" xfId="0"/>
    <cellStyle name="_CRT_Pocket_TV_GPS OTHER 3" xfId="0"/>
    <cellStyle name="_CRT_Pocket_TV_GPS OTHER 4" xfId="0"/>
    <cellStyle name="_CRT_Pocket_TV_GPS OTHER 5" xfId="0"/>
    <cellStyle name="_CRT_Pocket_TV_GPS OTHER 6" xfId="0"/>
    <cellStyle name="_CRT_Pocket_TV_GPS OTHER_By Region" xfId="0"/>
    <cellStyle name="_CRT_Pocket_TV_GPS OTHER_CORP SG&amp;A" xfId="0"/>
    <cellStyle name="_CRT_Pocket_TV_GPS OTHER_LCD" xfId="0"/>
    <cellStyle name="_CRT_Pocket_TV_GPS OTHER_PJ" xfId="0"/>
    <cellStyle name="_CRT_Pocket_TV_LCD" xfId="0"/>
    <cellStyle name="_CRT_Pocket_TV_LCD 2" xfId="0"/>
    <cellStyle name="_CRT_Pocket_TV_LCD 3" xfId="0"/>
    <cellStyle name="_CRT_Pocket_TV_LCD 4" xfId="0"/>
    <cellStyle name="_CRT_Pocket_TV_LCD_By Region" xfId="0"/>
    <cellStyle name="_CRT_Pocket_TV_LCD_CORP SG&amp;A" xfId="0"/>
    <cellStyle name="_CRT_Pocket_TV_LCD_LCD" xfId="0"/>
    <cellStyle name="_CRT_Pocket_TV_LCD_PJ" xfId="0"/>
    <cellStyle name="_CRT_Pocket_TV_lightling" xfId="0"/>
    <cellStyle name="_CRT_Pocket_TV_lightling 2" xfId="0"/>
    <cellStyle name="_CRT_Pocket_TV_lightling_By Region" xfId="0"/>
    <cellStyle name="_CRT_Pocket_TV_lightling_CORP SG&amp;A" xfId="0"/>
    <cellStyle name="_CRT_Pocket_TV_PC Products" xfId="0"/>
    <cellStyle name="_CRT_Pocket_TV_PC Products 2" xfId="0"/>
    <cellStyle name="_CRT_Pocket_TV_PC Products 3" xfId="0"/>
    <cellStyle name="_CRT_Pocket_TV_PC Products 4" xfId="0"/>
    <cellStyle name="_CRT_Pocket_TV_PC Products 5" xfId="0"/>
    <cellStyle name="_CRT_Pocket_TV_PC Products 6" xfId="0"/>
    <cellStyle name="_CRT_Pocket_TV_PC Products_By Region" xfId="0"/>
    <cellStyle name="_CRT_Pocket_TV_PC Products_CORP SG&amp;A" xfId="0"/>
    <cellStyle name="_CRT_Pocket_TV_PC Products_LCD" xfId="0"/>
    <cellStyle name="_CRT_Pocket_TV_PC Products_PJ" xfId="0"/>
    <cellStyle name="_CRT_Pocket_TV_VSA 111014" xfId="0"/>
    <cellStyle name="_CRT_Pocket_TV_VSA 111014 2" xfId="0"/>
    <cellStyle name="_CRT_Pocket_TV_VSA 111014 3" xfId="0"/>
    <cellStyle name="_CRT_Pocket_TV_VSA 111014 4" xfId="0"/>
    <cellStyle name="_CRT_Pocket_TV_VSA 111014 5" xfId="0"/>
    <cellStyle name="_CRT_Pocket_TV_VSA 111014 6" xfId="0"/>
    <cellStyle name="_CRT_Pocket_TV_VSA 111014_By Region" xfId="0"/>
    <cellStyle name="_CRT_Pocket_TV_VSA 111014_CORP SG&amp;A" xfId="0"/>
    <cellStyle name="_CRT_Pocket_TV_VSA 111014_LCD" xfId="0"/>
    <cellStyle name="_CRT_Pocket_TV_VSA 111014_PJ" xfId="0"/>
    <cellStyle name="_CRT_Pocket_TV_VSA Roll-Up (LW)" xfId="0"/>
    <cellStyle name="_CRT_Pocket_TV_VSA Roll-Up (LW) 2" xfId="0"/>
    <cellStyle name="_CRT_Pocket_TV_VSA Roll-Up (LW) 3" xfId="0"/>
    <cellStyle name="_CRT_Pocket_TV_VSA Roll-Up (LW) 4" xfId="0"/>
    <cellStyle name="_CRT_Pocket_TV_VSA Roll-Up (LW) 5" xfId="0"/>
    <cellStyle name="_CRT_Pocket_TV_VSA Roll-Up (LW) 6" xfId="0"/>
    <cellStyle name="_CRT_Pocket_TV_VSA Roll-Up (LW)_By Region" xfId="0"/>
    <cellStyle name="_CRT_Pocket_TV_VSA Roll-Up (LW)_CORP SG&amp;A" xfId="0"/>
    <cellStyle name="_CRT_Pocket_TV_VSA Roll-Up (LW)_LCD" xfId="0"/>
    <cellStyle name="_CRT_Pocket_TV_VSA Roll-Up (LW)_PJ" xfId="0"/>
    <cellStyle name="_CRT_TV" xfId="0"/>
    <cellStyle name="_CRT_TV 2" xfId="0"/>
    <cellStyle name="_CRT_TV 3" xfId="0"/>
    <cellStyle name="_CRT_TV 4" xfId="0"/>
    <cellStyle name="_CRT_TV_By Region" xfId="0"/>
    <cellStyle name="_CRT_TV_CORP SG&amp;A" xfId="0"/>
    <cellStyle name="_CRT_TV_Digitizer" xfId="0"/>
    <cellStyle name="_CRT_TV_GPS OTHER" xfId="0"/>
    <cellStyle name="_CRT_TV_GPS OTHER 2" xfId="0"/>
    <cellStyle name="_CRT_TV_GPS OTHER 3" xfId="0"/>
    <cellStyle name="_CRT_TV_GPS OTHER 4" xfId="0"/>
    <cellStyle name="_CRT_TV_GPS OTHER 5" xfId="0"/>
    <cellStyle name="_CRT_TV_GPS OTHER 6" xfId="0"/>
    <cellStyle name="_CRT_TV_GPS OTHER_By Region" xfId="0"/>
    <cellStyle name="_CRT_TV_GPS OTHER_CORP SG&amp;A" xfId="0"/>
    <cellStyle name="_CRT_TV_GPS OTHER_LCD" xfId="0"/>
    <cellStyle name="_CRT_TV_GPS OTHER_PJ" xfId="0"/>
    <cellStyle name="_CRT_TV_LCD" xfId="0"/>
    <cellStyle name="_CRT_TV_LCD 2" xfId="0"/>
    <cellStyle name="_CRT_TV_LCD 3" xfId="0"/>
    <cellStyle name="_CRT_TV_LCD 4" xfId="0"/>
    <cellStyle name="_CRT_TV_LCD_By Region" xfId="0"/>
    <cellStyle name="_CRT_TV_LCD_CORP SG&amp;A" xfId="0"/>
    <cellStyle name="_CRT_TV_LCD_LCD" xfId="0"/>
    <cellStyle name="_CRT_TV_LCD_PJ" xfId="0"/>
    <cellStyle name="_CRT_TV_lightling" xfId="0"/>
    <cellStyle name="_CRT_TV_lightling 2" xfId="0"/>
    <cellStyle name="_CRT_TV_lightling_By Region" xfId="0"/>
    <cellStyle name="_CRT_TV_lightling_CORP SG&amp;A" xfId="0"/>
    <cellStyle name="_CRT_TV_PC Products" xfId="0"/>
    <cellStyle name="_CRT_TV_PC Products 2" xfId="0"/>
    <cellStyle name="_CRT_TV_PC Products 3" xfId="0"/>
    <cellStyle name="_CRT_TV_PC Products 4" xfId="0"/>
    <cellStyle name="_CRT_TV_PC Products 5" xfId="0"/>
    <cellStyle name="_CRT_TV_PC Products 6" xfId="0"/>
    <cellStyle name="_CRT_TV_PC Products_By Region" xfId="0"/>
    <cellStyle name="_CRT_TV_PC Products_CORP SG&amp;A" xfId="0"/>
    <cellStyle name="_CRT_TV_PC Products_LCD" xfId="0"/>
    <cellStyle name="_CRT_TV_PC Products_PJ" xfId="0"/>
    <cellStyle name="_CRT_TV_VSA 111014" xfId="0"/>
    <cellStyle name="_CRT_TV_VSA 111014 2" xfId="0"/>
    <cellStyle name="_CRT_TV_VSA 111014 3" xfId="0"/>
    <cellStyle name="_CRT_TV_VSA 111014 4" xfId="0"/>
    <cellStyle name="_CRT_TV_VSA 111014 5" xfId="0"/>
    <cellStyle name="_CRT_TV_VSA 111014 6" xfId="0"/>
    <cellStyle name="_CRT_TV_VSA 111014_By Region" xfId="0"/>
    <cellStyle name="_CRT_TV_VSA 111014_CORP SG&amp;A" xfId="0"/>
    <cellStyle name="_CRT_TV_VSA 111014_LCD" xfId="0"/>
    <cellStyle name="_CRT_TV_VSA 111014_PJ" xfId="0"/>
    <cellStyle name="_CRT_TV_VSA Roll-Up (LW)" xfId="0"/>
    <cellStyle name="_CRT_TV_VSA Roll-Up (LW) 2" xfId="0"/>
    <cellStyle name="_CRT_TV_VSA Roll-Up (LW) 3" xfId="0"/>
    <cellStyle name="_CRT_TV_VSA Roll-Up (LW) 4" xfId="0"/>
    <cellStyle name="_CRT_TV_VSA Roll-Up (LW) 5" xfId="0"/>
    <cellStyle name="_CRT_TV_VSA Roll-Up (LW) 6" xfId="0"/>
    <cellStyle name="_CRT_TV_VSA Roll-Up (LW)_By Region" xfId="0"/>
    <cellStyle name="_CRT_TV_VSA Roll-Up (LW)_CORP SG&amp;A" xfId="0"/>
    <cellStyle name="_CRT_TV_VSA Roll-Up (LW)_LCD" xfId="0"/>
    <cellStyle name="_CRT_TV_VSA Roll-Up (LW)_PJ" xfId="0"/>
    <cellStyle name="_CRT_VD" xfId="0"/>
    <cellStyle name="_CRT_VD 2" xfId="0"/>
    <cellStyle name="_CRT_VD 3" xfId="0"/>
    <cellStyle name="_CRT_VD 4" xfId="0"/>
    <cellStyle name="_CRT_VD_By Region" xfId="0"/>
    <cellStyle name="_CRT_VD_CORP SG&amp;A" xfId="0"/>
    <cellStyle name="_CRT_VD_Digitizer" xfId="0"/>
    <cellStyle name="_CRT_VD_GPS OTHER" xfId="0"/>
    <cellStyle name="_CRT_VD_GPS OTHER 2" xfId="0"/>
    <cellStyle name="_CRT_VD_GPS OTHER 3" xfId="0"/>
    <cellStyle name="_CRT_VD_GPS OTHER 4" xfId="0"/>
    <cellStyle name="_CRT_VD_GPS OTHER 5" xfId="0"/>
    <cellStyle name="_CRT_VD_GPS OTHER 6" xfId="0"/>
    <cellStyle name="_CRT_VD_GPS OTHER_By Region" xfId="0"/>
    <cellStyle name="_CRT_VD_GPS OTHER_CORP SG&amp;A" xfId="0"/>
    <cellStyle name="_CRT_VD_GPS OTHER_LCD" xfId="0"/>
    <cellStyle name="_CRT_VD_GPS OTHER_PJ" xfId="0"/>
    <cellStyle name="_CRT_VD_LCD" xfId="0"/>
    <cellStyle name="_CRT_VD_LCD 2" xfId="0"/>
    <cellStyle name="_CRT_VD_LCD 3" xfId="0"/>
    <cellStyle name="_CRT_VD_LCD 4" xfId="0"/>
    <cellStyle name="_CRT_VD_LCD_By Region" xfId="0"/>
    <cellStyle name="_CRT_VD_LCD_CORP SG&amp;A" xfId="0"/>
    <cellStyle name="_CRT_VD_LCD_LCD" xfId="0"/>
    <cellStyle name="_CRT_VD_LCD_PJ" xfId="0"/>
    <cellStyle name="_CRT_VD_lightling" xfId="0"/>
    <cellStyle name="_CRT_VD_lightling 2" xfId="0"/>
    <cellStyle name="_CRT_VD_lightling_By Region" xfId="0"/>
    <cellStyle name="_CRT_VD_lightling_CORP SG&amp;A" xfId="0"/>
    <cellStyle name="_CRT_VD_PC Products" xfId="0"/>
    <cellStyle name="_CRT_VD_PC Products 2" xfId="0"/>
    <cellStyle name="_CRT_VD_PC Products 3" xfId="0"/>
    <cellStyle name="_CRT_VD_PC Products 4" xfId="0"/>
    <cellStyle name="_CRT_VD_PC Products 5" xfId="0"/>
    <cellStyle name="_CRT_VD_PC Products 6" xfId="0"/>
    <cellStyle name="_CRT_VD_PC Products_By Region" xfId="0"/>
    <cellStyle name="_CRT_VD_PC Products_CORP SG&amp;A" xfId="0"/>
    <cellStyle name="_CRT_VD_PC Products_LCD" xfId="0"/>
    <cellStyle name="_CRT_VD_PC Products_PJ" xfId="0"/>
    <cellStyle name="_CRT_VD_VSA 111014" xfId="0"/>
    <cellStyle name="_CRT_VD_VSA 111014 2" xfId="0"/>
    <cellStyle name="_CRT_VD_VSA 111014 3" xfId="0"/>
    <cellStyle name="_CRT_VD_VSA 111014 4" xfId="0"/>
    <cellStyle name="_CRT_VD_VSA 111014 5" xfId="0"/>
    <cellStyle name="_CRT_VD_VSA 111014 6" xfId="0"/>
    <cellStyle name="_CRT_VD_VSA 111014_By Region" xfId="0"/>
    <cellStyle name="_CRT_VD_VSA 111014_CORP SG&amp;A" xfId="0"/>
    <cellStyle name="_CRT_VD_VSA 111014_LCD" xfId="0"/>
    <cellStyle name="_CRT_VD_VSA 111014_PJ" xfId="0"/>
    <cellStyle name="_CRT_VD_VSA Roll-Up (LW)" xfId="0"/>
    <cellStyle name="_CRT_VD_VSA Roll-Up (LW) 2" xfId="0"/>
    <cellStyle name="_CRT_VD_VSA Roll-Up (LW) 3" xfId="0"/>
    <cellStyle name="_CRT_VD_VSA Roll-Up (LW) 4" xfId="0"/>
    <cellStyle name="_CRT_VD_VSA Roll-Up (LW) 5" xfId="0"/>
    <cellStyle name="_CRT_VD_VSA Roll-Up (LW) 6" xfId="0"/>
    <cellStyle name="_CRT_VD_VSA Roll-Up (LW)_By Region" xfId="0"/>
    <cellStyle name="_CRT_VD_VSA Roll-Up (LW)_CORP SG&amp;A" xfId="0"/>
    <cellStyle name="_CRT_VD_VSA Roll-Up (LW)_LCD" xfId="0"/>
    <cellStyle name="_CRT_VD_VSA Roll-Up (LW)_PJ" xfId="0"/>
    <cellStyle name="_CRT_VSA 111014" xfId="0"/>
    <cellStyle name="_CRT_VSA 111014 2" xfId="0"/>
    <cellStyle name="_CRT_VSA 111014 3" xfId="0"/>
    <cellStyle name="_CRT_VSA 111014 4" xfId="0"/>
    <cellStyle name="_CRT_VSA 111014 5" xfId="0"/>
    <cellStyle name="_CRT_VSA 111014 6" xfId="0"/>
    <cellStyle name="_CRT_VSA 111014_By Region" xfId="0"/>
    <cellStyle name="_CRT_VSA 111014_CORP SG&amp;A" xfId="0"/>
    <cellStyle name="_CRT_VSA 111014_LCD" xfId="0"/>
    <cellStyle name="_CRT_VSA 111014_PJ" xfId="0"/>
    <cellStyle name="_CRT_VSA Roll-Up (LW)" xfId="0"/>
    <cellStyle name="_CRT_VSA Roll-Up (LW) 2" xfId="0"/>
    <cellStyle name="_CRT_VSA Roll-Up (LW) 3" xfId="0"/>
    <cellStyle name="_CRT_VSA Roll-Up (LW) 4" xfId="0"/>
    <cellStyle name="_CRT_VSA Roll-Up (LW) 5" xfId="0"/>
    <cellStyle name="_CRT_VSA Roll-Up (LW) 6" xfId="0"/>
    <cellStyle name="_CRT_VSA Roll-Up (LW)_By Region" xfId="0"/>
    <cellStyle name="_CRT_VSA Roll-Up (LW)_CORP SG&amp;A" xfId="0"/>
    <cellStyle name="_CRT_VSA Roll-Up (LW)_LCD" xfId="0"/>
    <cellStyle name="_CRT_VSA Roll-Up (LW)_PJ" xfId="0"/>
    <cellStyle name="_CRT_VSE 2011 Budget" xfId="0"/>
    <cellStyle name="_CRT_VSE 2011 Budget 2" xfId="0"/>
    <cellStyle name="_CRT_VSE 2011 Budget 3" xfId="0"/>
    <cellStyle name="_CRT_VSE 2011 Budget 4" xfId="0"/>
    <cellStyle name="_CRT_VSE 2011 Budget_By Region" xfId="0"/>
    <cellStyle name="_CRT_VSE 2011 Budget_CORP SG&amp;A" xfId="0"/>
    <cellStyle name="_CRT_VSE 2011 Budget_Digitizer" xfId="0"/>
    <cellStyle name="_CRT_VSE 2011 Budget_GPS OTHER" xfId="0"/>
    <cellStyle name="_CRT_VSE 2011 Budget_GPS OTHER 2" xfId="0"/>
    <cellStyle name="_CRT_VSE 2011 Budget_GPS OTHER 3" xfId="0"/>
    <cellStyle name="_CRT_VSE 2011 Budget_GPS OTHER 4" xfId="0"/>
    <cellStyle name="_CRT_VSE 2011 Budget_GPS OTHER 4 2" xfId="0"/>
    <cellStyle name="_CRT_VSE 2011 Budget_GPS OTHER_By Region" xfId="0"/>
    <cellStyle name="_CRT_VSE 2011 Budget_GPS OTHER_CORP SG&amp;A" xfId="0"/>
    <cellStyle name="_CRT_VSE 2011 Budget_GPS OTHER_LCD" xfId="0"/>
    <cellStyle name="_CRT_VSE 2011 Budget_GPS OTHER_PJ" xfId="0"/>
    <cellStyle name="_CRT_VSE 2011 Budget_LCD" xfId="0"/>
    <cellStyle name="_CRT_VSE 2011 Budget_LCD 2" xfId="0"/>
    <cellStyle name="_CRT_VSE 2011 Budget_LCD 3" xfId="0"/>
    <cellStyle name="_CRT_VSE 2011 Budget_LCD 4" xfId="0"/>
    <cellStyle name="_CRT_VSE 2011 Budget_LCD_By Region" xfId="0"/>
    <cellStyle name="_CRT_VSE 2011 Budget_LCD_CORP SG&amp;A" xfId="0"/>
    <cellStyle name="_CRT_VSE 2011 Budget_LCD_LCD" xfId="0"/>
    <cellStyle name="_CRT_VSE 2011 Budget_LCD_PJ" xfId="0"/>
    <cellStyle name="_CRT_VSE 2011 Budget_lightling" xfId="0"/>
    <cellStyle name="_CRT_VSE 2011 Budget_lightling 2" xfId="0"/>
    <cellStyle name="_CRT_VSE 2011 Budget_lightling_By Region" xfId="0"/>
    <cellStyle name="_CRT_VSE 2011 Budget_lightling_CORP SG&amp;A" xfId="0"/>
    <cellStyle name="_CRT_VSE 2011 Budget_PC Products" xfId="0"/>
    <cellStyle name="_CRT_VSE 2011 Budget_PC Products 2" xfId="0"/>
    <cellStyle name="_CRT_VSE 2011 Budget_PC Products 3" xfId="0"/>
    <cellStyle name="_CRT_VSE 2011 Budget_PC Products 4" xfId="0"/>
    <cellStyle name="_CRT_VSE 2011 Budget_PC Products 4 2" xfId="0"/>
    <cellStyle name="_CRT_VSE 2011 Budget_PC Products_By Region" xfId="0"/>
    <cellStyle name="_CRT_VSE 2011 Budget_PC Products_CORP SG&amp;A" xfId="0"/>
    <cellStyle name="_CRT_VSE 2011 Budget_PC Products_LCD" xfId="0"/>
    <cellStyle name="_CRT_VSE 2011 Budget_PC Products_PJ" xfId="0"/>
    <cellStyle name="_CRT_VSE 2011 Budget_VSA 111014" xfId="0"/>
    <cellStyle name="_CRT_VSE 2011 Budget_VSA 111014 2" xfId="0"/>
    <cellStyle name="_CRT_VSE 2011 Budget_VSA 111014 3" xfId="0"/>
    <cellStyle name="_CRT_VSE 2011 Budget_VSA 111014 4" xfId="0"/>
    <cellStyle name="_CRT_VSE 2011 Budget_VSA 111014 4 2" xfId="0"/>
    <cellStyle name="_CRT_VSE 2011 Budget_VSA 111014_By Region" xfId="0"/>
    <cellStyle name="_CRT_VSE 2011 Budget_VSA 111014_CORP SG&amp;A" xfId="0"/>
    <cellStyle name="_CRT_VSE 2011 Budget_VSA 111014_LCD" xfId="0"/>
    <cellStyle name="_CRT_VSE 2011 Budget_VSA 111014_PJ" xfId="0"/>
    <cellStyle name="_CRT_VSE 2011 Budget_VSA Roll-Up (LW)" xfId="0"/>
    <cellStyle name="_CRT_VSE 2011 Budget_VSA Roll-Up (LW) 2" xfId="0"/>
    <cellStyle name="_CRT_VSE 2011 Budget_VSA Roll-Up (LW) 3" xfId="0"/>
    <cellStyle name="_CRT_VSE 2011 Budget_VSA Roll-Up (LW) 4" xfId="0"/>
    <cellStyle name="_CRT_VSE 2011 Budget_VSA Roll-Up (LW) 4 2" xfId="0"/>
    <cellStyle name="_CRT_VSE 2011 Budget_VSA Roll-Up (LW)_By Region" xfId="0"/>
    <cellStyle name="_CRT_VSE 2011 Budget_VSA Roll-Up (LW)_CORP SG&amp;A" xfId="0"/>
    <cellStyle name="_CRT_VSE 2011 Budget_VSA Roll-Up (LW)_LCD" xfId="0"/>
    <cellStyle name="_CRT_VSE 2011 Budget_VSA Roll-Up (LW)_PJ" xfId="0"/>
    <cellStyle name="_CRT_VSE 2H  WFP review (Spring Global meeting)-conservative Adam working v3" xfId="0"/>
    <cellStyle name="_CRT_VSE 2H  WFP review (Spring Global meeting)-conservative Adam working v3 2" xfId="0"/>
    <cellStyle name="_CRT_VSE 2H  WFP review (Spring Global meeting)-conservative Adam working v3 3" xfId="0"/>
    <cellStyle name="_CRT_VSE 2H Rebalance 110712" xfId="0"/>
    <cellStyle name="_CRT_VSE 2H Rebalance 110712 2" xfId="0"/>
    <cellStyle name="_CRT_VSE 2H Rebalance 110712 3" xfId="0"/>
    <cellStyle name="_CRT_VSE 2H Rebalance 110712 4" xfId="0"/>
    <cellStyle name="_CRT_VSE 2H Rebalance 110712_By Region" xfId="0"/>
    <cellStyle name="_CRT_VSE 2H Rebalance 110712_CORP SG&amp;A" xfId="0"/>
    <cellStyle name="_CRT_VSE WFP 101203" xfId="0"/>
    <cellStyle name="_CRT_VSE WFP 101203 2" xfId="0"/>
    <cellStyle name="_CRT_VSE WFP 101203 3" xfId="0"/>
    <cellStyle name="_CRT_VSE WFP 101203 4" xfId="0"/>
    <cellStyle name="_CRT_VSE WFP 101203_By Region" xfId="0"/>
    <cellStyle name="_CRT_VSE WFP 101203_CORP SG&amp;A" xfId="0"/>
    <cellStyle name="_CRT_VSE WFP 110311" xfId="0"/>
    <cellStyle name="_CRT_VSE WFP 110311 2" xfId="0"/>
    <cellStyle name="_CRT_VSE WFP 110311 3" xfId="0"/>
    <cellStyle name="_CRT_VSE WFP 110311 4" xfId="0"/>
    <cellStyle name="_CRT_VSE WFP 110311_By Region" xfId="0"/>
    <cellStyle name="_CRT_VSE WFP 110311_CORP SG&amp;A" xfId="0"/>
    <cellStyle name="_CRT_VSE WFP 110415" xfId="0"/>
    <cellStyle name="_CRT_VSE WFP 110415 2" xfId="0"/>
    <cellStyle name="_CRT_VSE WFP 110415 3" xfId="0"/>
    <cellStyle name="_CRT_VSE WFP 110415 4" xfId="0"/>
    <cellStyle name="_CRT_VSE WFP 110415_By Region" xfId="0"/>
    <cellStyle name="_CRT_VSE WFP 110415_CORP SG&amp;A" xfId="0"/>
    <cellStyle name="_CRT_VSE WFP_100409" xfId="0"/>
    <cellStyle name="_CRT_VSE WFP_100409 2" xfId="0"/>
    <cellStyle name="_CRT_VSE WFP_100409 3" xfId="0"/>
    <cellStyle name="_CRT_VSE WFP_100409 4" xfId="0"/>
    <cellStyle name="_CRT_VSE WFP_100409_By Region" xfId="0"/>
    <cellStyle name="_CRT_VSE WFP_100409_CORP SG&amp;A" xfId="0"/>
    <cellStyle name="_CRT_VSE WFP_100409_Digitizer" xfId="0"/>
    <cellStyle name="_CRT_VSE WFP_100409_GPS OTHER" xfId="0"/>
    <cellStyle name="_CRT_VSE WFP_100409_GPS OTHER 2" xfId="0"/>
    <cellStyle name="_CRT_VSE WFP_100409_GPS OTHER 3" xfId="0"/>
    <cellStyle name="_CRT_VSE WFP_100409_GPS OTHER 4" xfId="0"/>
    <cellStyle name="_CRT_VSE WFP_100409_GPS OTHER 4 2" xfId="0"/>
    <cellStyle name="_CRT_VSE WFP_100409_GPS OTHER_By Region" xfId="0"/>
    <cellStyle name="_CRT_VSE WFP_100409_GPS OTHER_CORP SG&amp;A" xfId="0"/>
    <cellStyle name="_CRT_VSE WFP_100409_GPS OTHER_LCD" xfId="0"/>
    <cellStyle name="_CRT_VSE WFP_100409_GPS OTHER_PJ" xfId="0"/>
    <cellStyle name="_CRT_VSE WFP_100409_LCD" xfId="0"/>
    <cellStyle name="_CRT_VSE WFP_100409_LCD 2" xfId="0"/>
    <cellStyle name="_CRT_VSE WFP_100409_LCD 3" xfId="0"/>
    <cellStyle name="_CRT_VSE WFP_100409_LCD 4" xfId="0"/>
    <cellStyle name="_CRT_VSE WFP_100409_LCD_By Region" xfId="0"/>
    <cellStyle name="_CRT_VSE WFP_100409_LCD_CORP SG&amp;A" xfId="0"/>
    <cellStyle name="_CRT_VSE WFP_100409_LCD_LCD" xfId="0"/>
    <cellStyle name="_CRT_VSE WFP_100409_LCD_PJ" xfId="0"/>
    <cellStyle name="_CRT_VSE WFP_100409_lightling" xfId="0"/>
    <cellStyle name="_CRT_VSE WFP_100409_lightling 2" xfId="0"/>
    <cellStyle name="_CRT_VSE WFP_100409_lightling_By Region" xfId="0"/>
    <cellStyle name="_CRT_VSE WFP_100409_lightling_CORP SG&amp;A" xfId="0"/>
    <cellStyle name="_CRT_VSE WFP_100409_PC Products" xfId="0"/>
    <cellStyle name="_CRT_VSE WFP_100409_PC Products 2" xfId="0"/>
    <cellStyle name="_CRT_VSE WFP_100409_PC Products 3" xfId="0"/>
    <cellStyle name="_CRT_VSE WFP_100409_PC Products 4" xfId="0"/>
    <cellStyle name="_CRT_VSE WFP_100409_PC Products 4 2" xfId="0"/>
    <cellStyle name="_CRT_VSE WFP_100409_PC Products_By Region" xfId="0"/>
    <cellStyle name="_CRT_VSE WFP_100409_PC Products_CORP SG&amp;A" xfId="0"/>
    <cellStyle name="_CRT_VSE WFP_100409_PC Products_LCD" xfId="0"/>
    <cellStyle name="_CRT_VSE WFP_100409_PC Products_PJ" xfId="0"/>
    <cellStyle name="_CRT_VSE WFP_100409_VSA 111014" xfId="0"/>
    <cellStyle name="_CRT_VSE WFP_100409_VSA 111014 2" xfId="0"/>
    <cellStyle name="_CRT_VSE WFP_100409_VSA 111014 3" xfId="0"/>
    <cellStyle name="_CRT_VSE WFP_100409_VSA 111014 4" xfId="0"/>
    <cellStyle name="_CRT_VSE WFP_100409_VSA 111014 4 2" xfId="0"/>
    <cellStyle name="_CRT_VSE WFP_100409_VSA 111014_By Region" xfId="0"/>
    <cellStyle name="_CRT_VSE WFP_100409_VSA 111014_CORP SG&amp;A" xfId="0"/>
    <cellStyle name="_CRT_VSE WFP_100409_VSA 111014_LCD" xfId="0"/>
    <cellStyle name="_CRT_VSE WFP_100409_VSA 111014_PJ" xfId="0"/>
    <cellStyle name="_CRT_VSE WFP_100409_VSA Roll-Up (LW)" xfId="0"/>
    <cellStyle name="_CRT_VSE WFP_100409_VSA Roll-Up (LW) 2" xfId="0"/>
    <cellStyle name="_CRT_VSE WFP_100409_VSA Roll-Up (LW) 3" xfId="0"/>
    <cellStyle name="_CRT_VSE WFP_100409_VSA Roll-Up (LW) 4" xfId="0"/>
    <cellStyle name="_CRT_VSE WFP_100409_VSA Roll-Up (LW) 4 2" xfId="0"/>
    <cellStyle name="_CRT_VSE WFP_100409_VSA Roll-Up (LW)_By Region" xfId="0"/>
    <cellStyle name="_CRT_VSE WFP_100409_VSA Roll-Up (LW)_CORP SG&amp;A" xfId="0"/>
    <cellStyle name="_CRT_VSE WFP_100409_VSA Roll-Up (LW)_LCD" xfId="0"/>
    <cellStyle name="_CRT_VSE WFP_100409_VSA Roll-Up (LW)_PJ" xfId="0"/>
    <cellStyle name="_CRT_VSE WFP_100421 v2" xfId="0"/>
    <cellStyle name="_CRT_VSE WFP_100421 v2 2" xfId="0"/>
    <cellStyle name="_CRT_VSE WFP_100421 v2 3" xfId="0"/>
    <cellStyle name="_CRT_VSE WFP_100421 v2 4" xfId="0"/>
    <cellStyle name="_CRT_VSE WFP_100421 v2_By Region" xfId="0"/>
    <cellStyle name="_CRT_VSE WFP_100421 v2_CORP SG&amp;A" xfId="0"/>
    <cellStyle name="_CRT_VSE WFP_100421 v2_Digitizer" xfId="0"/>
    <cellStyle name="_CRT_VSE WFP_100421 v2_GPS OTHER" xfId="0"/>
    <cellStyle name="_CRT_VSE WFP_100421 v2_GPS OTHER 2" xfId="0"/>
    <cellStyle name="_CRT_VSE WFP_100421 v2_GPS OTHER 3" xfId="0"/>
    <cellStyle name="_CRT_VSE WFP_100421 v2_GPS OTHER 4" xfId="0"/>
    <cellStyle name="_CRT_VSE WFP_100421 v2_GPS OTHER 4 2" xfId="0"/>
    <cellStyle name="_CRT_VSE WFP_100421 v2_GPS OTHER_By Region" xfId="0"/>
    <cellStyle name="_CRT_VSE WFP_100421 v2_GPS OTHER_CORP SG&amp;A" xfId="0"/>
    <cellStyle name="_CRT_VSE WFP_100421 v2_GPS OTHER_LCD" xfId="0"/>
    <cellStyle name="_CRT_VSE WFP_100421 v2_GPS OTHER_PJ" xfId="0"/>
    <cellStyle name="_CRT_VSE WFP_100421 v2_LCD" xfId="0"/>
    <cellStyle name="_CRT_VSE WFP_100421 v2_LCD 2" xfId="0"/>
    <cellStyle name="_CRT_VSE WFP_100421 v2_LCD 3" xfId="0"/>
    <cellStyle name="_CRT_VSE WFP_100421 v2_LCD 4" xfId="0"/>
    <cellStyle name="_CRT_VSE WFP_100421 v2_LCD_By Region" xfId="0"/>
    <cellStyle name="_CRT_VSE WFP_100421 v2_LCD_CORP SG&amp;A" xfId="0"/>
    <cellStyle name="_CRT_VSE WFP_100421 v2_LCD_LCD" xfId="0"/>
    <cellStyle name="_CRT_VSE WFP_100421 v2_LCD_PJ" xfId="0"/>
    <cellStyle name="_CRT_VSE WFP_100421 v2_lightling" xfId="0"/>
    <cellStyle name="_CRT_VSE WFP_100421 v2_lightling 2" xfId="0"/>
    <cellStyle name="_CRT_VSE WFP_100421 v2_lightling_By Region" xfId="0"/>
    <cellStyle name="_CRT_VSE WFP_100421 v2_lightling_CORP SG&amp;A" xfId="0"/>
    <cellStyle name="_CRT_VSE WFP_100421 v2_PC Products" xfId="0"/>
    <cellStyle name="_CRT_VSE WFP_100421 v2_PC Products 2" xfId="0"/>
    <cellStyle name="_CRT_VSE WFP_100421 v2_PC Products 3" xfId="0"/>
    <cellStyle name="_CRT_VSE WFP_100421 v2_PC Products 4" xfId="0"/>
    <cellStyle name="_CRT_VSE WFP_100421 v2_PC Products 4 2" xfId="0"/>
    <cellStyle name="_CRT_VSE WFP_100421 v2_PC Products_By Region" xfId="0"/>
    <cellStyle name="_CRT_VSE WFP_100421 v2_PC Products_CORP SG&amp;A" xfId="0"/>
    <cellStyle name="_CRT_VSE WFP_100421 v2_PC Products_LCD" xfId="0"/>
    <cellStyle name="_CRT_VSE WFP_100421 v2_PC Products_PJ" xfId="0"/>
    <cellStyle name="_CRT_VSE WFP_100421 v2_VSA 111014" xfId="0"/>
    <cellStyle name="_CRT_VSE WFP_100421 v2_VSA 111014 2" xfId="0"/>
    <cellStyle name="_CRT_VSE WFP_100421 v2_VSA 111014 3" xfId="0"/>
    <cellStyle name="_CRT_VSE WFP_100421 v2_VSA 111014 4" xfId="0"/>
    <cellStyle name="_CRT_VSE WFP_100421 v2_VSA 111014 4 2" xfId="0"/>
    <cellStyle name="_CRT_VSE WFP_100421 v2_VSA 111014_By Region" xfId="0"/>
    <cellStyle name="_CRT_VSE WFP_100421 v2_VSA 111014_CORP SG&amp;A" xfId="0"/>
    <cellStyle name="_CRT_VSE WFP_100421 v2_VSA 111014_LCD" xfId="0"/>
    <cellStyle name="_CRT_VSE WFP_100421 v2_VSA 111014_PJ" xfId="0"/>
    <cellStyle name="_CRT_VSE WFP_100421 v2_VSA Roll-Up (LW)" xfId="0"/>
    <cellStyle name="_CRT_VSE WFP_100421 v2_VSA Roll-Up (LW) 2" xfId="0"/>
    <cellStyle name="_CRT_VSE WFP_100421 v2_VSA Roll-Up (LW) 3" xfId="0"/>
    <cellStyle name="_CRT_VSE WFP_100421 v2_VSA Roll-Up (LW) 4" xfId="0"/>
    <cellStyle name="_CRT_VSE WFP_100421 v2_VSA Roll-Up (LW) 4 2" xfId="0"/>
    <cellStyle name="_CRT_VSE WFP_100421 v2_VSA Roll-Up (LW)_By Region" xfId="0"/>
    <cellStyle name="_CRT_VSE WFP_100421 v2_VSA Roll-Up (LW)_CORP SG&amp;A" xfId="0"/>
    <cellStyle name="_CRT_VSE WFP_100421 v2_VSA Roll-Up (LW)_LCD" xfId="0"/>
    <cellStyle name="_CRT_VSE WFP_100421 v2_VSA Roll-Up (LW)_PJ" xfId="0"/>
    <cellStyle name="_CRT_VSE WFP_100507" xfId="0"/>
    <cellStyle name="_CRT_VSE WFP_100507 2" xfId="0"/>
    <cellStyle name="_CRT_VSE WFP_100507 3" xfId="0"/>
    <cellStyle name="_CRT_VSE WFP_100507 4" xfId="0"/>
    <cellStyle name="_CRT_VSE WFP_100507_By Region" xfId="0"/>
    <cellStyle name="_CRT_VSE WFP_100507_CORP SG&amp;A" xfId="0"/>
    <cellStyle name="_CRT_VSE WFP_100507_Digitizer" xfId="0"/>
    <cellStyle name="_CRT_VSE WFP_100507_GPS OTHER" xfId="0"/>
    <cellStyle name="_CRT_VSE WFP_100507_GPS OTHER 2" xfId="0"/>
    <cellStyle name="_CRT_VSE WFP_100507_GPS OTHER 3" xfId="0"/>
    <cellStyle name="_CRT_VSE WFP_100507_GPS OTHER 4" xfId="0"/>
    <cellStyle name="_CRT_VSE WFP_100507_GPS OTHER 4 2" xfId="0"/>
    <cellStyle name="_CRT_VSE WFP_100507_GPS OTHER_By Region" xfId="0"/>
    <cellStyle name="_CRT_VSE WFP_100507_GPS OTHER_CORP SG&amp;A" xfId="0"/>
    <cellStyle name="_CRT_VSE WFP_100507_GPS OTHER_LCD" xfId="0"/>
    <cellStyle name="_CRT_VSE WFP_100507_GPS OTHER_PJ" xfId="0"/>
    <cellStyle name="_CRT_VSE WFP_100507_LCD" xfId="0"/>
    <cellStyle name="_CRT_VSE WFP_100507_LCD 2" xfId="0"/>
    <cellStyle name="_CRT_VSE WFP_100507_LCD 3" xfId="0"/>
    <cellStyle name="_CRT_VSE WFP_100507_LCD 4" xfId="0"/>
    <cellStyle name="_CRT_VSE WFP_100507_LCD_By Region" xfId="0"/>
    <cellStyle name="_CRT_VSE WFP_100507_LCD_CORP SG&amp;A" xfId="0"/>
    <cellStyle name="_CRT_VSE WFP_100507_LCD_LCD" xfId="0"/>
    <cellStyle name="_CRT_VSE WFP_100507_LCD_PJ" xfId="0"/>
    <cellStyle name="_CRT_VSE WFP_100507_lightling" xfId="0"/>
    <cellStyle name="_CRT_VSE WFP_100507_lightling 2" xfId="0"/>
    <cellStyle name="_CRT_VSE WFP_100507_lightling_By Region" xfId="0"/>
    <cellStyle name="_CRT_VSE WFP_100507_lightling_CORP SG&amp;A" xfId="0"/>
    <cellStyle name="_CRT_VSE WFP_100507_PC Products" xfId="0"/>
    <cellStyle name="_CRT_VSE WFP_100507_PC Products 2" xfId="0"/>
    <cellStyle name="_CRT_VSE WFP_100507_PC Products 3" xfId="0"/>
    <cellStyle name="_CRT_VSE WFP_100507_PC Products 4" xfId="0"/>
    <cellStyle name="_CRT_VSE WFP_100507_PC Products 4 2" xfId="0"/>
    <cellStyle name="_CRT_VSE WFP_100507_PC Products_By Region" xfId="0"/>
    <cellStyle name="_CRT_VSE WFP_100507_PC Products_CORP SG&amp;A" xfId="0"/>
    <cellStyle name="_CRT_VSE WFP_100507_PC Products_LCD" xfId="0"/>
    <cellStyle name="_CRT_VSE WFP_100507_PC Products_PJ" xfId="0"/>
    <cellStyle name="_CRT_VSE WFP_100507_VSA 111014" xfId="0"/>
    <cellStyle name="_CRT_VSE WFP_100507_VSA 111014 2" xfId="0"/>
    <cellStyle name="_CRT_VSE WFP_100507_VSA 111014 3" xfId="0"/>
    <cellStyle name="_CRT_VSE WFP_100507_VSA 111014 4" xfId="0"/>
    <cellStyle name="_CRT_VSE WFP_100507_VSA 111014 4 2" xfId="0"/>
    <cellStyle name="_CRT_VSE WFP_100507_VSA 111014_By Region" xfId="0"/>
    <cellStyle name="_CRT_VSE WFP_100507_VSA 111014_CORP SG&amp;A" xfId="0"/>
    <cellStyle name="_CRT_VSE WFP_100507_VSA 111014_LCD" xfId="0"/>
    <cellStyle name="_CRT_VSE WFP_100507_VSA 111014_PJ" xfId="0"/>
    <cellStyle name="_CRT_VSE WFP_100507_VSA Roll-Up (LW)" xfId="0"/>
    <cellStyle name="_CRT_VSE WFP_100507_VSA Roll-Up (LW) 2" xfId="0"/>
    <cellStyle name="_CRT_VSE WFP_100507_VSA Roll-Up (LW) 3" xfId="0"/>
    <cellStyle name="_CRT_VSE WFP_100507_VSA Roll-Up (LW) 4" xfId="0"/>
    <cellStyle name="_CRT_VSE WFP_100507_VSA Roll-Up (LW) 4 2" xfId="0"/>
    <cellStyle name="_CRT_VSE WFP_100507_VSA Roll-Up (LW)_By Region" xfId="0"/>
    <cellStyle name="_CRT_VSE WFP_100507_VSA Roll-Up (LW)_CORP SG&amp;A" xfId="0"/>
    <cellStyle name="_CRT_VSE WFP_100507_VSA Roll-Up (LW)_LCD" xfId="0"/>
    <cellStyle name="_CRT_VSE WFP_100507_VSA Roll-Up (LW)_PJ" xfId="0"/>
    <cellStyle name="_CRT_VSE WFP_100608" xfId="0"/>
    <cellStyle name="_CRT_VSE WFP_100608 2" xfId="0"/>
    <cellStyle name="_CRT_VSE WFP_100608 3" xfId="0"/>
    <cellStyle name="_CRT_VSE WFP_100608 4" xfId="0"/>
    <cellStyle name="_CRT_VSE WFP_100608_By Region" xfId="0"/>
    <cellStyle name="_CRT_VSE WFP_100608_CORP SG&amp;A" xfId="0"/>
    <cellStyle name="_CRT_VSE WFP_100608_Digitizer" xfId="0"/>
    <cellStyle name="_CRT_VSE WFP_100608_GPS OTHER" xfId="0"/>
    <cellStyle name="_CRT_VSE WFP_100608_GPS OTHER 2" xfId="0"/>
    <cellStyle name="_CRT_VSE WFP_100608_GPS OTHER 3" xfId="0"/>
    <cellStyle name="_CRT_VSE WFP_100608_GPS OTHER 4" xfId="0"/>
    <cellStyle name="_CRT_VSE WFP_100608_GPS OTHER 4 2" xfId="0"/>
    <cellStyle name="_CRT_VSE WFP_100608_GPS OTHER_By Region" xfId="0"/>
    <cellStyle name="_CRT_VSE WFP_100608_GPS OTHER_CORP SG&amp;A" xfId="0"/>
    <cellStyle name="_CRT_VSE WFP_100608_GPS OTHER_LCD" xfId="0"/>
    <cellStyle name="_CRT_VSE WFP_100608_GPS OTHER_PJ" xfId="0"/>
    <cellStyle name="_CRT_VSE WFP_100608_LCD" xfId="0"/>
    <cellStyle name="_CRT_VSE WFP_100608_LCD 2" xfId="0"/>
    <cellStyle name="_CRT_VSE WFP_100608_LCD 3" xfId="0"/>
    <cellStyle name="_CRT_VSE WFP_100608_LCD 4" xfId="0"/>
    <cellStyle name="_CRT_VSE WFP_100608_LCD_By Region" xfId="0"/>
    <cellStyle name="_CRT_VSE WFP_100608_LCD_CORP SG&amp;A" xfId="0"/>
    <cellStyle name="_CRT_VSE WFP_100608_LCD_LCD" xfId="0"/>
    <cellStyle name="_CRT_VSE WFP_100608_LCD_PJ" xfId="0"/>
    <cellStyle name="_CRT_VSE WFP_100608_lightling" xfId="0"/>
    <cellStyle name="_CRT_VSE WFP_100608_lightling 2" xfId="0"/>
    <cellStyle name="_CRT_VSE WFP_100608_lightling_By Region" xfId="0"/>
    <cellStyle name="_CRT_VSE WFP_100608_lightling_CORP SG&amp;A" xfId="0"/>
    <cellStyle name="_CRT_VSE WFP_100608_PC Products" xfId="0"/>
    <cellStyle name="_CRT_VSE WFP_100608_PC Products 2" xfId="0"/>
    <cellStyle name="_CRT_VSE WFP_100608_PC Products 3" xfId="0"/>
    <cellStyle name="_CRT_VSE WFP_100608_PC Products 4" xfId="0"/>
    <cellStyle name="_CRT_VSE WFP_100608_PC Products 4 2" xfId="0"/>
    <cellStyle name="_CRT_VSE WFP_100608_PC Products_By Region" xfId="0"/>
    <cellStyle name="_CRT_VSE WFP_100608_PC Products_CORP SG&amp;A" xfId="0"/>
    <cellStyle name="_CRT_VSE WFP_100608_PC Products_LCD" xfId="0"/>
    <cellStyle name="_CRT_VSE WFP_100608_PC Products_PJ" xfId="0"/>
    <cellStyle name="_CRT_VSE WFP_100608_VSA 111014" xfId="0"/>
    <cellStyle name="_CRT_VSE WFP_100608_VSA 111014 2" xfId="0"/>
    <cellStyle name="_CRT_VSE WFP_100608_VSA 111014 3" xfId="0"/>
    <cellStyle name="_CRT_VSE WFP_100608_VSA 111014 4" xfId="0"/>
    <cellStyle name="_CRT_VSE WFP_100608_VSA 111014 4 2" xfId="0"/>
    <cellStyle name="_CRT_VSE WFP_100608_VSA 111014_By Region" xfId="0"/>
    <cellStyle name="_CRT_VSE WFP_100608_VSA 111014_CORP SG&amp;A" xfId="0"/>
    <cellStyle name="_CRT_VSE WFP_100608_VSA 111014_LCD" xfId="0"/>
    <cellStyle name="_CRT_VSE WFP_100608_VSA 111014_PJ" xfId="0"/>
    <cellStyle name="_CRT_VSE WFP_100608_VSA Roll-Up (LW)" xfId="0"/>
    <cellStyle name="_CRT_VSE WFP_100608_VSA Roll-Up (LW) 2" xfId="0"/>
    <cellStyle name="_CRT_VSE WFP_100608_VSA Roll-Up (LW) 3" xfId="0"/>
    <cellStyle name="_CRT_VSE WFP_100608_VSA Roll-Up (LW) 4" xfId="0"/>
    <cellStyle name="_CRT_VSE WFP_100608_VSA Roll-Up (LW) 4 2" xfId="0"/>
    <cellStyle name="_CRT_VSE WFP_100608_VSA Roll-Up (LW)_By Region" xfId="0"/>
    <cellStyle name="_CRT_VSE WFP_100608_VSA Roll-Up (LW)_CORP SG&amp;A" xfId="0"/>
    <cellStyle name="_CRT_VSE WFP_100608_VSA Roll-Up (LW)_LCD" xfId="0"/>
    <cellStyle name="_CRT_VSE WFP_100608_VSA Roll-Up (LW)_PJ" xfId="0"/>
    <cellStyle name="_CRT_VSE WFP_100625" xfId="0"/>
    <cellStyle name="_CRT_VSE WFP_100625 2" xfId="0"/>
    <cellStyle name="_CRT_VSE WFP_100625 3" xfId="0"/>
    <cellStyle name="_CRT_VSE WFP_100625 4" xfId="0"/>
    <cellStyle name="_CRT_VSE WFP_100625_By Region" xfId="0"/>
    <cellStyle name="_CRT_VSE WFP_100625_CORP SG&amp;A" xfId="0"/>
    <cellStyle name="_CRT_VSE WFP_100625_Digitizer" xfId="0"/>
    <cellStyle name="_CRT_VSE WFP_100625_GPS OTHER" xfId="0"/>
    <cellStyle name="_CRT_VSE WFP_100625_GPS OTHER 2" xfId="0"/>
    <cellStyle name="_CRT_VSE WFP_100625_GPS OTHER 3" xfId="0"/>
    <cellStyle name="_CRT_VSE WFP_100625_GPS OTHER 4" xfId="0"/>
    <cellStyle name="_CRT_VSE WFP_100625_GPS OTHER 4 2" xfId="0"/>
    <cellStyle name="_CRT_VSE WFP_100625_GPS OTHER_By Region" xfId="0"/>
    <cellStyle name="_CRT_VSE WFP_100625_GPS OTHER_CORP SG&amp;A" xfId="0"/>
    <cellStyle name="_CRT_VSE WFP_100625_GPS OTHER_LCD" xfId="0"/>
    <cellStyle name="_CRT_VSE WFP_100625_GPS OTHER_PJ" xfId="0"/>
    <cellStyle name="_CRT_VSE WFP_100625_LCD" xfId="0"/>
    <cellStyle name="_CRT_VSE WFP_100625_LCD 2" xfId="0"/>
    <cellStyle name="_CRT_VSE WFP_100625_LCD 3" xfId="0"/>
    <cellStyle name="_CRT_VSE WFP_100625_LCD 4" xfId="0"/>
    <cellStyle name="_CRT_VSE WFP_100625_LCD_By Region" xfId="0"/>
    <cellStyle name="_CRT_VSE WFP_100625_LCD_CORP SG&amp;A" xfId="0"/>
    <cellStyle name="_CRT_VSE WFP_100625_LCD_LCD" xfId="0"/>
    <cellStyle name="_CRT_VSE WFP_100625_LCD_PJ" xfId="0"/>
    <cellStyle name="_CRT_VSE WFP_100625_lightling" xfId="0"/>
    <cellStyle name="_CRT_VSE WFP_100625_lightling 2" xfId="0"/>
    <cellStyle name="_CRT_VSE WFP_100625_lightling_By Region" xfId="0"/>
    <cellStyle name="_CRT_VSE WFP_100625_lightling_CORP SG&amp;A" xfId="0"/>
    <cellStyle name="_CRT_VSE WFP_100625_PC Products" xfId="0"/>
    <cellStyle name="_CRT_VSE WFP_100625_PC Products 2" xfId="0"/>
    <cellStyle name="_CRT_VSE WFP_100625_PC Products 3" xfId="0"/>
    <cellStyle name="_CRT_VSE WFP_100625_PC Products 4" xfId="0"/>
    <cellStyle name="_CRT_VSE WFP_100625_PC Products 4 2" xfId="0"/>
    <cellStyle name="_CRT_VSE WFP_100625_PC Products_By Region" xfId="0"/>
    <cellStyle name="_CRT_VSE WFP_100625_PC Products_CORP SG&amp;A" xfId="0"/>
    <cellStyle name="_CRT_VSE WFP_100625_PC Products_LCD" xfId="0"/>
    <cellStyle name="_CRT_VSE WFP_100625_PC Products_PJ" xfId="0"/>
    <cellStyle name="_CRT_VSE WFP_100625_VSA 111014" xfId="0"/>
    <cellStyle name="_CRT_VSE WFP_100625_VSA 111014 2" xfId="0"/>
    <cellStyle name="_CRT_VSE WFP_100625_VSA 111014 3" xfId="0"/>
    <cellStyle name="_CRT_VSE WFP_100625_VSA 111014 4" xfId="0"/>
    <cellStyle name="_CRT_VSE WFP_100625_VSA 111014 4 2" xfId="0"/>
    <cellStyle name="_CRT_VSE WFP_100625_VSA 111014_By Region" xfId="0"/>
    <cellStyle name="_CRT_VSE WFP_100625_VSA 111014_CORP SG&amp;A" xfId="0"/>
    <cellStyle name="_CRT_VSE WFP_100625_VSA 111014_LCD" xfId="0"/>
    <cellStyle name="_CRT_VSE WFP_100625_VSA 111014_PJ" xfId="0"/>
    <cellStyle name="_CRT_VSE WFP_100625_VSA Roll-Up (LW)" xfId="0"/>
    <cellStyle name="_CRT_VSE WFP_100625_VSA Roll-Up (LW) 2" xfId="0"/>
    <cellStyle name="_CRT_VSE WFP_100625_VSA Roll-Up (LW) 3" xfId="0"/>
    <cellStyle name="_CRT_VSE WFP_100625_VSA Roll-Up (LW) 4" xfId="0"/>
    <cellStyle name="_CRT_VSE WFP_100625_VSA Roll-Up (LW) 4 2" xfId="0"/>
    <cellStyle name="_CRT_VSE WFP_100625_VSA Roll-Up (LW)_By Region" xfId="0"/>
    <cellStyle name="_CRT_VSE WFP_100625_VSA Roll-Up (LW)_CORP SG&amp;A" xfId="0"/>
    <cellStyle name="_CRT_VSE WFP_100625_VSA Roll-Up (LW)_LCD" xfId="0"/>
    <cellStyle name="_CRT_VSE WFP_100625_VSA Roll-Up (LW)_PJ" xfId="0"/>
    <cellStyle name="_CRT_VSE WFP_100708_3rd" xfId="0"/>
    <cellStyle name="_CRT_VSE WFP_100708_3rd 2" xfId="0"/>
    <cellStyle name="_CRT_VSE WFP_100708_3rd 3" xfId="0"/>
    <cellStyle name="_CRT_VSE WFP_100708_3rd 4" xfId="0"/>
    <cellStyle name="_CRT_VSE WFP_100708_3rd_By Region" xfId="0"/>
    <cellStyle name="_CRT_VSE WFP_100708_3rd_CORP SG&amp;A" xfId="0"/>
    <cellStyle name="_CRT_VSE WFP_100708_3rd_Digitizer" xfId="0"/>
    <cellStyle name="_CRT_VSE WFP_100708_3rd_GPS OTHER" xfId="0"/>
    <cellStyle name="_CRT_VSE WFP_100708_3rd_GPS OTHER 2" xfId="0"/>
    <cellStyle name="_CRT_VSE WFP_100708_3rd_GPS OTHER 3" xfId="0"/>
    <cellStyle name="_CRT_VSE WFP_100708_3rd_GPS OTHER 4" xfId="0"/>
    <cellStyle name="_CRT_VSE WFP_100708_3rd_GPS OTHER 4 2" xfId="0"/>
    <cellStyle name="_CRT_VSE WFP_100708_3rd_GPS OTHER_By Region" xfId="0"/>
    <cellStyle name="_CRT_VSE WFP_100708_3rd_GPS OTHER_CORP SG&amp;A" xfId="0"/>
    <cellStyle name="_CRT_VSE WFP_100708_3rd_GPS OTHER_LCD" xfId="0"/>
    <cellStyle name="_CRT_VSE WFP_100708_3rd_GPS OTHER_PJ" xfId="0"/>
    <cellStyle name="_CRT_VSE WFP_100708_3rd_LCD" xfId="0"/>
    <cellStyle name="_CRT_VSE WFP_100708_3rd_LCD 2" xfId="0"/>
    <cellStyle name="_CRT_VSE WFP_100708_3rd_LCD 3" xfId="0"/>
    <cellStyle name="_CRT_VSE WFP_100708_3rd_LCD 4" xfId="0"/>
    <cellStyle name="_CRT_VSE WFP_100708_3rd_LCD_By Region" xfId="0"/>
    <cellStyle name="_CRT_VSE WFP_100708_3rd_LCD_CORP SG&amp;A" xfId="0"/>
    <cellStyle name="_CRT_VSE WFP_100708_3rd_LCD_LCD" xfId="0"/>
    <cellStyle name="_CRT_VSE WFP_100708_3rd_LCD_PJ" xfId="0"/>
    <cellStyle name="_CRT_VSE WFP_100708_3rd_lightling" xfId="0"/>
    <cellStyle name="_CRT_VSE WFP_100708_3rd_lightling 2" xfId="0"/>
    <cellStyle name="_CRT_VSE WFP_100708_3rd_lightling_By Region" xfId="0"/>
    <cellStyle name="_CRT_VSE WFP_100708_3rd_lightling_CORP SG&amp;A" xfId="0"/>
    <cellStyle name="_CRT_VSE WFP_100708_3rd_PC Products" xfId="0"/>
    <cellStyle name="_CRT_VSE WFP_100708_3rd_PC Products 2" xfId="0"/>
    <cellStyle name="_CRT_VSE WFP_100708_3rd_PC Products 3" xfId="0"/>
    <cellStyle name="_CRT_VSE WFP_100708_3rd_PC Products 4" xfId="0"/>
    <cellStyle name="_CRT_VSE WFP_100708_3rd_PC Products 4 2" xfId="0"/>
    <cellStyle name="_CRT_VSE WFP_100708_3rd_PC Products_By Region" xfId="0"/>
    <cellStyle name="_CRT_VSE WFP_100708_3rd_PC Products_CORP SG&amp;A" xfId="0"/>
    <cellStyle name="_CRT_VSE WFP_100708_3rd_PC Products_LCD" xfId="0"/>
    <cellStyle name="_CRT_VSE WFP_100708_3rd_PC Products_PJ" xfId="0"/>
    <cellStyle name="_CRT_VSE WFP_100708_3rd_VSA 111014" xfId="0"/>
    <cellStyle name="_CRT_VSE WFP_100708_3rd_VSA 111014 2" xfId="0"/>
    <cellStyle name="_CRT_VSE WFP_100708_3rd_VSA 111014 3" xfId="0"/>
    <cellStyle name="_CRT_VSE WFP_100708_3rd_VSA 111014 4" xfId="0"/>
    <cellStyle name="_CRT_VSE WFP_100708_3rd_VSA 111014 4 2" xfId="0"/>
    <cellStyle name="_CRT_VSE WFP_100708_3rd_VSA 111014_By Region" xfId="0"/>
    <cellStyle name="_CRT_VSE WFP_100708_3rd_VSA 111014_CORP SG&amp;A" xfId="0"/>
    <cellStyle name="_CRT_VSE WFP_100708_3rd_VSA 111014_LCD" xfId="0"/>
    <cellStyle name="_CRT_VSE WFP_100708_3rd_VSA 111014_PJ" xfId="0"/>
    <cellStyle name="_CRT_VSE WFP_100708_3rd_VSA Roll-Up (LW)" xfId="0"/>
    <cellStyle name="_CRT_VSE WFP_100708_3rd_VSA Roll-Up (LW) 2" xfId="0"/>
    <cellStyle name="_CRT_VSE WFP_100708_3rd_VSA Roll-Up (LW) 3" xfId="0"/>
    <cellStyle name="_CRT_VSE WFP_100708_3rd_VSA Roll-Up (LW) 4" xfId="0"/>
    <cellStyle name="_CRT_VSE WFP_100708_3rd_VSA Roll-Up (LW) 4 2" xfId="0"/>
    <cellStyle name="_CRT_VSE WFP_100708_3rd_VSA Roll-Up (LW)_By Region" xfId="0"/>
    <cellStyle name="_CRT_VSE WFP_100708_3rd_VSA Roll-Up (LW)_CORP SG&amp;A" xfId="0"/>
    <cellStyle name="_CRT_VSE WFP_100708_3rd_VSA Roll-Up (LW)_LCD" xfId="0"/>
    <cellStyle name="_CRT_VSE WFP_100708_3rd_VSA Roll-Up (LW)_PJ" xfId="0"/>
    <cellStyle name="_CRT_VSE WFP_100726" xfId="0"/>
    <cellStyle name="_CRT_VSE WFP_100726 2" xfId="0"/>
    <cellStyle name="_CRT_VSE WFP_100726 3" xfId="0"/>
    <cellStyle name="_CRT_VSE WFP_100726 4" xfId="0"/>
    <cellStyle name="_CRT_VSE WFP_100726-1" xfId="0"/>
    <cellStyle name="_CRT_VSE WFP_100726-1 2" xfId="0"/>
    <cellStyle name="_CRT_VSE WFP_100726-1 3" xfId="0"/>
    <cellStyle name="_CRT_VSE WFP_100726-1 4" xfId="0"/>
    <cellStyle name="_CRT_VSE WFP_100726-1_By Region" xfId="0"/>
    <cellStyle name="_CRT_VSE WFP_100726-1_CORP SG&amp;A" xfId="0"/>
    <cellStyle name="_CRT_VSE WFP_100726-1_Digitizer" xfId="0"/>
    <cellStyle name="_CRT_VSE WFP_100726-1_GPS OTHER" xfId="0"/>
    <cellStyle name="_CRT_VSE WFP_100726-1_GPS OTHER 2" xfId="0"/>
    <cellStyle name="_CRT_VSE WFP_100726-1_GPS OTHER 3" xfId="0"/>
    <cellStyle name="_CRT_VSE WFP_100726-1_GPS OTHER 4" xfId="0"/>
    <cellStyle name="_CRT_VSE WFP_100726-1_GPS OTHER 4 2" xfId="0"/>
    <cellStyle name="_CRT_VSE WFP_100726-1_GPS OTHER_By Region" xfId="0"/>
    <cellStyle name="_CRT_VSE WFP_100726-1_GPS OTHER_CORP SG&amp;A" xfId="0"/>
    <cellStyle name="_CRT_VSE WFP_100726-1_GPS OTHER_LCD" xfId="0"/>
    <cellStyle name="_CRT_VSE WFP_100726-1_GPS OTHER_PJ" xfId="0"/>
    <cellStyle name="_CRT_VSE WFP_100726-1_LCD" xfId="0"/>
    <cellStyle name="_CRT_VSE WFP_100726-1_LCD 2" xfId="0"/>
    <cellStyle name="_CRT_VSE WFP_100726-1_LCD 3" xfId="0"/>
    <cellStyle name="_CRT_VSE WFP_100726-1_LCD 4" xfId="0"/>
    <cellStyle name="_CRT_VSE WFP_100726-1_LCD_By Region" xfId="0"/>
    <cellStyle name="_CRT_VSE WFP_100726-1_LCD_CORP SG&amp;A" xfId="0"/>
    <cellStyle name="_CRT_VSE WFP_100726-1_LCD_LCD" xfId="0"/>
    <cellStyle name="_CRT_VSE WFP_100726-1_LCD_PJ" xfId="0"/>
    <cellStyle name="_CRT_VSE WFP_100726-1_lightling" xfId="0"/>
    <cellStyle name="_CRT_VSE WFP_100726-1_lightling 2" xfId="0"/>
    <cellStyle name="_CRT_VSE WFP_100726-1_lightling_By Region" xfId="0"/>
    <cellStyle name="_CRT_VSE WFP_100726-1_lightling_CORP SG&amp;A" xfId="0"/>
    <cellStyle name="_CRT_VSE WFP_100726-1_PC Products" xfId="0"/>
    <cellStyle name="_CRT_VSE WFP_100726-1_PC Products 2" xfId="0"/>
    <cellStyle name="_CRT_VSE WFP_100726-1_PC Products 3" xfId="0"/>
    <cellStyle name="_CRT_VSE WFP_100726-1_PC Products 4" xfId="0"/>
    <cellStyle name="_CRT_VSE WFP_100726-1_PC Products 4 2" xfId="0"/>
    <cellStyle name="_CRT_VSE WFP_100726-1_PC Products_By Region" xfId="0"/>
    <cellStyle name="_CRT_VSE WFP_100726-1_PC Products_CORP SG&amp;A" xfId="0"/>
    <cellStyle name="_CRT_VSE WFP_100726-1_PC Products_LCD" xfId="0"/>
    <cellStyle name="_CRT_VSE WFP_100726-1_PC Products_PJ" xfId="0"/>
    <cellStyle name="_CRT_VSE WFP_100726-1_VSA 111014" xfId="0"/>
    <cellStyle name="_CRT_VSE WFP_100726-1_VSA 111014 2" xfId="0"/>
    <cellStyle name="_CRT_VSE WFP_100726-1_VSA 111014 3" xfId="0"/>
    <cellStyle name="_CRT_VSE WFP_100726-1_VSA 111014 4" xfId="0"/>
    <cellStyle name="_CRT_VSE WFP_100726-1_VSA 111014 4 2" xfId="0"/>
    <cellStyle name="_CRT_VSE WFP_100726-1_VSA 111014_By Region" xfId="0"/>
    <cellStyle name="_CRT_VSE WFP_100726-1_VSA 111014_CORP SG&amp;A" xfId="0"/>
    <cellStyle name="_CRT_VSE WFP_100726-1_VSA 111014_LCD" xfId="0"/>
    <cellStyle name="_CRT_VSE WFP_100726-1_VSA 111014_PJ" xfId="0"/>
    <cellStyle name="_CRT_VSE WFP_100726-1_VSA Roll-Up (LW)" xfId="0"/>
    <cellStyle name="_CRT_VSE WFP_100726-1_VSA Roll-Up (LW) 2" xfId="0"/>
    <cellStyle name="_CRT_VSE WFP_100726-1_VSA Roll-Up (LW) 3" xfId="0"/>
    <cellStyle name="_CRT_VSE WFP_100726-1_VSA Roll-Up (LW) 4" xfId="0"/>
    <cellStyle name="_CRT_VSE WFP_100726-1_VSA Roll-Up (LW) 4 2" xfId="0"/>
    <cellStyle name="_CRT_VSE WFP_100726-1_VSA Roll-Up (LW)_By Region" xfId="0"/>
    <cellStyle name="_CRT_VSE WFP_100726-1_VSA Roll-Up (LW)_CORP SG&amp;A" xfId="0"/>
    <cellStyle name="_CRT_VSE WFP_100726-1_VSA Roll-Up (LW)_LCD" xfId="0"/>
    <cellStyle name="_CRT_VSE WFP_100726-1_VSA Roll-Up (LW)_PJ" xfId="0"/>
    <cellStyle name="_CRT_VSE WFP_100726-2-yc" xfId="0"/>
    <cellStyle name="_CRT_VSE WFP_100726-2-yc 2" xfId="0"/>
    <cellStyle name="_CRT_VSE WFP_100726-2-yc 3" xfId="0"/>
    <cellStyle name="_CRT_VSE WFP_100726-2-yc 4" xfId="0"/>
    <cellStyle name="_CRT_VSE WFP_100726-2-yc_By Region" xfId="0"/>
    <cellStyle name="_CRT_VSE WFP_100726-2-yc_CORP SG&amp;A" xfId="0"/>
    <cellStyle name="_CRT_VSE WFP_100726-2-yc_Digitizer" xfId="0"/>
    <cellStyle name="_CRT_VSE WFP_100726-2-yc_GPS OTHER" xfId="0"/>
    <cellStyle name="_CRT_VSE WFP_100726-2-yc_GPS OTHER 2" xfId="0"/>
    <cellStyle name="_CRT_VSE WFP_100726-2-yc_GPS OTHER 3" xfId="0"/>
    <cellStyle name="_CRT_VSE WFP_100726-2-yc_GPS OTHER 4" xfId="0"/>
    <cellStyle name="_CRT_VSE WFP_100726-2-yc_GPS OTHER 4 2" xfId="0"/>
    <cellStyle name="_CRT_VSE WFP_100726-2-yc_GPS OTHER_By Region" xfId="0"/>
    <cellStyle name="_CRT_VSE WFP_100726-2-yc_GPS OTHER_CORP SG&amp;A" xfId="0"/>
    <cellStyle name="_CRT_VSE WFP_100726-2-yc_GPS OTHER_LCD" xfId="0"/>
    <cellStyle name="_CRT_VSE WFP_100726-2-yc_GPS OTHER_PJ" xfId="0"/>
    <cellStyle name="_CRT_VSE WFP_100726-2-yc_LCD" xfId="0"/>
    <cellStyle name="_CRT_VSE WFP_100726-2-yc_LCD 2" xfId="0"/>
    <cellStyle name="_CRT_VSE WFP_100726-2-yc_LCD 3" xfId="0"/>
    <cellStyle name="_CRT_VSE WFP_100726-2-yc_LCD 4" xfId="0"/>
    <cellStyle name="_CRT_VSE WFP_100726-2-yc_LCD_By Region" xfId="0"/>
    <cellStyle name="_CRT_VSE WFP_100726-2-yc_LCD_CORP SG&amp;A" xfId="0"/>
    <cellStyle name="_CRT_VSE WFP_100726-2-yc_LCD_LCD" xfId="0"/>
    <cellStyle name="_CRT_VSE WFP_100726-2-yc_LCD_PJ" xfId="0"/>
    <cellStyle name="_CRT_VSE WFP_100726-2-yc_lightling" xfId="0"/>
    <cellStyle name="_CRT_VSE WFP_100726-2-yc_lightling 2" xfId="0"/>
    <cellStyle name="_CRT_VSE WFP_100726-2-yc_lightling_By Region" xfId="0"/>
    <cellStyle name="_CRT_VSE WFP_100726-2-yc_lightling_CORP SG&amp;A" xfId="0"/>
    <cellStyle name="_CRT_VSE WFP_100726-2-yc_PC Products" xfId="0"/>
    <cellStyle name="_CRT_VSE WFP_100726-2-yc_PC Products 2" xfId="0"/>
    <cellStyle name="_CRT_VSE WFP_100726-2-yc_PC Products 3" xfId="0"/>
    <cellStyle name="_CRT_VSE WFP_100726-2-yc_PC Products 4" xfId="0"/>
    <cellStyle name="_CRT_VSE WFP_100726-2-yc_PC Products 4 2" xfId="0"/>
    <cellStyle name="_CRT_VSE WFP_100726-2-yc_PC Products_By Region" xfId="0"/>
    <cellStyle name="_CRT_VSE WFP_100726-2-yc_PC Products_CORP SG&amp;A" xfId="0"/>
    <cellStyle name="_CRT_VSE WFP_100726-2-yc_PC Products_LCD" xfId="0"/>
    <cellStyle name="_CRT_VSE WFP_100726-2-yc_PC Products_PJ" xfId="0"/>
    <cellStyle name="_CRT_VSE WFP_100726-2-yc_VSA 111014" xfId="0"/>
    <cellStyle name="_CRT_VSE WFP_100726-2-yc_VSA 111014 2" xfId="0"/>
    <cellStyle name="_CRT_VSE WFP_100726-2-yc_VSA 111014 3" xfId="0"/>
    <cellStyle name="_CRT_VSE WFP_100726-2-yc_VSA 111014 4" xfId="0"/>
    <cellStyle name="_CRT_VSE WFP_100726-2-yc_VSA 111014 4 2" xfId="0"/>
    <cellStyle name="_CRT_VSE WFP_100726-2-yc_VSA 111014_By Region" xfId="0"/>
    <cellStyle name="_CRT_VSE WFP_100726-2-yc_VSA 111014_CORP SG&amp;A" xfId="0"/>
    <cellStyle name="_CRT_VSE WFP_100726-2-yc_VSA 111014_LCD" xfId="0"/>
    <cellStyle name="_CRT_VSE WFP_100726-2-yc_VSA 111014_PJ" xfId="0"/>
    <cellStyle name="_CRT_VSE WFP_100726-2-yc_VSA Roll-Up (LW)" xfId="0"/>
    <cellStyle name="_CRT_VSE WFP_100726-2-yc_VSA Roll-Up (LW) 2" xfId="0"/>
    <cellStyle name="_CRT_VSE WFP_100726-2-yc_VSA Roll-Up (LW) 3" xfId="0"/>
    <cellStyle name="_CRT_VSE WFP_100726-2-yc_VSA Roll-Up (LW) 4" xfId="0"/>
    <cellStyle name="_CRT_VSE WFP_100726-2-yc_VSA Roll-Up (LW) 4 2" xfId="0"/>
    <cellStyle name="_CRT_VSE WFP_100726-2-yc_VSA Roll-Up (LW)_By Region" xfId="0"/>
    <cellStyle name="_CRT_VSE WFP_100726-2-yc_VSA Roll-Up (LW)_CORP SG&amp;A" xfId="0"/>
    <cellStyle name="_CRT_VSE WFP_100726-2-yc_VSA Roll-Up (LW)_LCD" xfId="0"/>
    <cellStyle name="_CRT_VSE WFP_100726-2-yc_VSA Roll-Up (LW)_PJ" xfId="0"/>
    <cellStyle name="_CRT_VSE WFP_100726_By Region" xfId="0"/>
    <cellStyle name="_CRT_VSE WFP_100726_CORP SG&amp;A" xfId="0"/>
    <cellStyle name="_CRT_VSE WFP_100726_Digitizer" xfId="0"/>
    <cellStyle name="_CRT_VSE WFP_100726_GPS OTHER" xfId="0"/>
    <cellStyle name="_CRT_VSE WFP_100726_GPS OTHER 2" xfId="0"/>
    <cellStyle name="_CRT_VSE WFP_100726_GPS OTHER 3" xfId="0"/>
    <cellStyle name="_CRT_VSE WFP_100726_GPS OTHER 4" xfId="0"/>
    <cellStyle name="_CRT_VSE WFP_100726_GPS OTHER 4 2" xfId="0"/>
    <cellStyle name="_CRT_VSE WFP_100726_GPS OTHER_By Region" xfId="0"/>
    <cellStyle name="_CRT_VSE WFP_100726_GPS OTHER_CORP SG&amp;A" xfId="0"/>
    <cellStyle name="_CRT_VSE WFP_100726_GPS OTHER_LCD" xfId="0"/>
    <cellStyle name="_CRT_VSE WFP_100726_GPS OTHER_PJ" xfId="0"/>
    <cellStyle name="_CRT_VSE WFP_100726_LCD" xfId="0"/>
    <cellStyle name="_CRT_VSE WFP_100726_LCD 2" xfId="0"/>
    <cellStyle name="_CRT_VSE WFP_100726_LCD 3" xfId="0"/>
    <cellStyle name="_CRT_VSE WFP_100726_LCD 4" xfId="0"/>
    <cellStyle name="_CRT_VSE WFP_100726_LCD_By Region" xfId="0"/>
    <cellStyle name="_CRT_VSE WFP_100726_LCD_CORP SG&amp;A" xfId="0"/>
    <cellStyle name="_CRT_VSE WFP_100726_LCD_LCD" xfId="0"/>
    <cellStyle name="_CRT_VSE WFP_100726_LCD_PJ" xfId="0"/>
    <cellStyle name="_CRT_VSE WFP_100726_lightling" xfId="0"/>
    <cellStyle name="_CRT_VSE WFP_100726_lightling 2" xfId="0"/>
    <cellStyle name="_CRT_VSE WFP_100726_lightling_By Region" xfId="0"/>
    <cellStyle name="_CRT_VSE WFP_100726_lightling_CORP SG&amp;A" xfId="0"/>
    <cellStyle name="_CRT_VSE WFP_100726_PC Products" xfId="0"/>
    <cellStyle name="_CRT_VSE WFP_100726_PC Products 2" xfId="0"/>
    <cellStyle name="_CRT_VSE WFP_100726_PC Products 3" xfId="0"/>
    <cellStyle name="_CRT_VSE WFP_100726_PC Products 4" xfId="0"/>
    <cellStyle name="_CRT_VSE WFP_100726_PC Products 4 2" xfId="0"/>
    <cellStyle name="_CRT_VSE WFP_100726_PC Products_By Region" xfId="0"/>
    <cellStyle name="_CRT_VSE WFP_100726_PC Products_CORP SG&amp;A" xfId="0"/>
    <cellStyle name="_CRT_VSE WFP_100726_PC Products_LCD" xfId="0"/>
    <cellStyle name="_CRT_VSE WFP_100726_PC Products_PJ" xfId="0"/>
    <cellStyle name="_CRT_VSE WFP_100726_VSA 111014" xfId="0"/>
    <cellStyle name="_CRT_VSE WFP_100726_VSA 111014 2" xfId="0"/>
    <cellStyle name="_CRT_VSE WFP_100726_VSA 111014 3" xfId="0"/>
    <cellStyle name="_CRT_VSE WFP_100726_VSA 111014 4" xfId="0"/>
    <cellStyle name="_CRT_VSE WFP_100726_VSA 111014 4 2" xfId="0"/>
    <cellStyle name="_CRT_VSE WFP_100726_VSA 111014_By Region" xfId="0"/>
    <cellStyle name="_CRT_VSE WFP_100726_VSA 111014_CORP SG&amp;A" xfId="0"/>
    <cellStyle name="_CRT_VSE WFP_100726_VSA 111014_LCD" xfId="0"/>
    <cellStyle name="_CRT_VSE WFP_100726_VSA 111014_PJ" xfId="0"/>
    <cellStyle name="_CRT_VSE WFP_100726_VSA Roll-Up (LW)" xfId="0"/>
    <cellStyle name="_CRT_VSE WFP_100726_VSA Roll-Up (LW) 2" xfId="0"/>
    <cellStyle name="_CRT_VSE WFP_100726_VSA Roll-Up (LW) 3" xfId="0"/>
    <cellStyle name="_CRT_VSE WFP_100726_VSA Roll-Up (LW) 4" xfId="0"/>
    <cellStyle name="_CRT_VSE WFP_100726_VSA Roll-Up (LW) 4 2" xfId="0"/>
    <cellStyle name="_CRT_VSE WFP_100726_VSA Roll-Up (LW)_By Region" xfId="0"/>
    <cellStyle name="_CRT_VSE WFP_100726_VSA Roll-Up (LW)_CORP SG&amp;A" xfId="0"/>
    <cellStyle name="_CRT_VSE WFP_100726_VSA Roll-Up (LW)_LCD" xfId="0"/>
    <cellStyle name="_CRT_VSE WFP_100726_VSA Roll-Up (LW)_PJ" xfId="0"/>
    <cellStyle name="_CRT_VSE WFP_100827-1" xfId="0"/>
    <cellStyle name="_CRT_VSE WFP_100827-1 2" xfId="0"/>
    <cellStyle name="_CRT_VSE WFP_100827-1 3" xfId="0"/>
    <cellStyle name="_CRT_VSE WFP_100827-1 4" xfId="0"/>
    <cellStyle name="_CRT_VSE WFP_100827-1_By Region" xfId="0"/>
    <cellStyle name="_CRT_VSE WFP_100827-1_CORP SG&amp;A" xfId="0"/>
    <cellStyle name="_CRT_VSE WFP_100827-1_Digitizer" xfId="0"/>
    <cellStyle name="_CRT_VSE WFP_100827-1_GPS OTHER" xfId="0"/>
    <cellStyle name="_CRT_VSE WFP_100827-1_GPS OTHER 2" xfId="0"/>
    <cellStyle name="_CRT_VSE WFP_100827-1_GPS OTHER 3" xfId="0"/>
    <cellStyle name="_CRT_VSE WFP_100827-1_GPS OTHER 4" xfId="0"/>
    <cellStyle name="_CRT_VSE WFP_100827-1_GPS OTHER 4 2" xfId="0"/>
    <cellStyle name="_CRT_VSE WFP_100827-1_GPS OTHER_By Region" xfId="0"/>
    <cellStyle name="_CRT_VSE WFP_100827-1_GPS OTHER_CORP SG&amp;A" xfId="0"/>
    <cellStyle name="_CRT_VSE WFP_100827-1_GPS OTHER_LCD" xfId="0"/>
    <cellStyle name="_CRT_VSE WFP_100827-1_GPS OTHER_PJ" xfId="0"/>
    <cellStyle name="_CRT_VSE WFP_100827-1_LCD" xfId="0"/>
    <cellStyle name="_CRT_VSE WFP_100827-1_LCD 2" xfId="0"/>
    <cellStyle name="_CRT_VSE WFP_100827-1_LCD 3" xfId="0"/>
    <cellStyle name="_CRT_VSE WFP_100827-1_LCD 4" xfId="0"/>
    <cellStyle name="_CRT_VSE WFP_100827-1_LCD_By Region" xfId="0"/>
    <cellStyle name="_CRT_VSE WFP_100827-1_LCD_CORP SG&amp;A" xfId="0"/>
    <cellStyle name="_CRT_VSE WFP_100827-1_LCD_LCD" xfId="0"/>
    <cellStyle name="_CRT_VSE WFP_100827-1_LCD_PJ" xfId="0"/>
    <cellStyle name="_CRT_VSE WFP_100827-1_lightling" xfId="0"/>
    <cellStyle name="_CRT_VSE WFP_100827-1_lightling 2" xfId="0"/>
    <cellStyle name="_CRT_VSE WFP_100827-1_lightling_By Region" xfId="0"/>
    <cellStyle name="_CRT_VSE WFP_100827-1_lightling_CORP SG&amp;A" xfId="0"/>
    <cellStyle name="_CRT_VSE WFP_100827-1_PC Products" xfId="0"/>
    <cellStyle name="_CRT_VSE WFP_100827-1_PC Products 2" xfId="0"/>
    <cellStyle name="_CRT_VSE WFP_100827-1_PC Products 3" xfId="0"/>
    <cellStyle name="_CRT_VSE WFP_100827-1_PC Products 4" xfId="0"/>
    <cellStyle name="_CRT_VSE WFP_100827-1_PC Products 4 2" xfId="0"/>
    <cellStyle name="_CRT_VSE WFP_100827-1_PC Products_By Region" xfId="0"/>
    <cellStyle name="_CRT_VSE WFP_100827-1_PC Products_CORP SG&amp;A" xfId="0"/>
    <cellStyle name="_CRT_VSE WFP_100827-1_PC Products_LCD" xfId="0"/>
    <cellStyle name="_CRT_VSE WFP_100827-1_PC Products_PJ" xfId="0"/>
    <cellStyle name="_CRT_VSE WFP_100827-1_VSA 111014" xfId="0"/>
    <cellStyle name="_CRT_VSE WFP_100827-1_VSA 111014 2" xfId="0"/>
    <cellStyle name="_CRT_VSE WFP_100827-1_VSA 111014 3" xfId="0"/>
    <cellStyle name="_CRT_VSE WFP_100827-1_VSA 111014 4" xfId="0"/>
    <cellStyle name="_CRT_VSE WFP_100827-1_VSA 111014 4 2" xfId="0"/>
    <cellStyle name="_CRT_VSE WFP_100827-1_VSA 111014_By Region" xfId="0"/>
    <cellStyle name="_CRT_VSE WFP_100827-1_VSA 111014_CORP SG&amp;A" xfId="0"/>
    <cellStyle name="_CRT_VSE WFP_100827-1_VSA 111014_LCD" xfId="0"/>
    <cellStyle name="_CRT_VSE WFP_100827-1_VSA 111014_PJ" xfId="0"/>
    <cellStyle name="_CRT_VSE WFP_100827-1_VSA Roll-Up (LW)" xfId="0"/>
    <cellStyle name="_CRT_VSE WFP_100827-1_VSA Roll-Up (LW) 2" xfId="0"/>
    <cellStyle name="_CRT_VSE WFP_100827-1_VSA Roll-Up (LW) 3" xfId="0"/>
    <cellStyle name="_CRT_VSE WFP_100827-1_VSA Roll-Up (LW) 4" xfId="0"/>
    <cellStyle name="_CRT_VSE WFP_100827-1_VSA Roll-Up (LW) 4 2" xfId="0"/>
    <cellStyle name="_CRT_VSE WFP_100827-1_VSA Roll-Up (LW)_By Region" xfId="0"/>
    <cellStyle name="_CRT_VSE WFP_100827-1_VSA Roll-Up (LW)_CORP SG&amp;A" xfId="0"/>
    <cellStyle name="_CRT_VSE WFP_100827-1_VSA Roll-Up (LW)_LCD" xfId="0"/>
    <cellStyle name="_CRT_VSE WFP_100827-1_VSA Roll-Up (LW)_PJ" xfId="0"/>
    <cellStyle name="_CRT_VSE WFP_101001" xfId="0"/>
    <cellStyle name="_CRT_VSE WFP_101001 2" xfId="0"/>
    <cellStyle name="_CRT_VSE WFP_101001 3" xfId="0"/>
    <cellStyle name="_CRT_VSE WFP_101001 4" xfId="0"/>
    <cellStyle name="_CRT_VSE WFP_101001_By Region" xfId="0"/>
    <cellStyle name="_CRT_VSE WFP_101001_CORP SG&amp;A" xfId="0"/>
    <cellStyle name="_CRT_VSE WFP_101001_Digitizer" xfId="0"/>
    <cellStyle name="_CRT_VSE WFP_101001_GPS OTHER" xfId="0"/>
    <cellStyle name="_CRT_VSE WFP_101001_GPS OTHER 2" xfId="0"/>
    <cellStyle name="_CRT_VSE WFP_101001_GPS OTHER 3" xfId="0"/>
    <cellStyle name="_CRT_VSE WFP_101001_GPS OTHER 4" xfId="0"/>
    <cellStyle name="_CRT_VSE WFP_101001_GPS OTHER 4 2" xfId="0"/>
    <cellStyle name="_CRT_VSE WFP_101001_GPS OTHER_By Region" xfId="0"/>
    <cellStyle name="_CRT_VSE WFP_101001_GPS OTHER_CORP SG&amp;A" xfId="0"/>
    <cellStyle name="_CRT_VSE WFP_101001_GPS OTHER_LCD" xfId="0"/>
    <cellStyle name="_CRT_VSE WFP_101001_GPS OTHER_PJ" xfId="0"/>
    <cellStyle name="_CRT_VSE WFP_101001_LCD" xfId="0"/>
    <cellStyle name="_CRT_VSE WFP_101001_LCD 2" xfId="0"/>
    <cellStyle name="_CRT_VSE WFP_101001_LCD 3" xfId="0"/>
    <cellStyle name="_CRT_VSE WFP_101001_LCD 4" xfId="0"/>
    <cellStyle name="_CRT_VSE WFP_101001_LCD_By Region" xfId="0"/>
    <cellStyle name="_CRT_VSE WFP_101001_LCD_CORP SG&amp;A" xfId="0"/>
    <cellStyle name="_CRT_VSE WFP_101001_LCD_LCD" xfId="0"/>
    <cellStyle name="_CRT_VSE WFP_101001_LCD_PJ" xfId="0"/>
    <cellStyle name="_CRT_VSE WFP_101001_lightling" xfId="0"/>
    <cellStyle name="_CRT_VSE WFP_101001_lightling 2" xfId="0"/>
    <cellStyle name="_CRT_VSE WFP_101001_lightling_By Region" xfId="0"/>
    <cellStyle name="_CRT_VSE WFP_101001_lightling_CORP SG&amp;A" xfId="0"/>
    <cellStyle name="_CRT_VSE WFP_101001_PC Products" xfId="0"/>
    <cellStyle name="_CRT_VSE WFP_101001_PC Products 2" xfId="0"/>
    <cellStyle name="_CRT_VSE WFP_101001_PC Products 3" xfId="0"/>
    <cellStyle name="_CRT_VSE WFP_101001_PC Products 4" xfId="0"/>
    <cellStyle name="_CRT_VSE WFP_101001_PC Products 4 2" xfId="0"/>
    <cellStyle name="_CRT_VSE WFP_101001_PC Products_By Region" xfId="0"/>
    <cellStyle name="_CRT_VSE WFP_101001_PC Products_CORP SG&amp;A" xfId="0"/>
    <cellStyle name="_CRT_VSE WFP_101001_PC Products_LCD" xfId="0"/>
    <cellStyle name="_CRT_VSE WFP_101001_PC Products_PJ" xfId="0"/>
    <cellStyle name="_CRT_VSE WFP_101001_VSA 111014" xfId="0"/>
    <cellStyle name="_CRT_VSE WFP_101001_VSA 111014 2" xfId="0"/>
    <cellStyle name="_CRT_VSE WFP_101001_VSA 111014 3" xfId="0"/>
    <cellStyle name="_CRT_VSE WFP_101001_VSA 111014 4" xfId="0"/>
    <cellStyle name="_CRT_VSE WFP_101001_VSA 111014 4 2" xfId="0"/>
    <cellStyle name="_CRT_VSE WFP_101001_VSA 111014_By Region" xfId="0"/>
    <cellStyle name="_CRT_VSE WFP_101001_VSA 111014_CORP SG&amp;A" xfId="0"/>
    <cellStyle name="_CRT_VSE WFP_101001_VSA 111014_LCD" xfId="0"/>
    <cellStyle name="_CRT_VSE WFP_101001_VSA 111014_PJ" xfId="0"/>
    <cellStyle name="_CRT_VSE WFP_101001_VSA Roll-Up (LW)" xfId="0"/>
    <cellStyle name="_CRT_VSE WFP_101001_VSA Roll-Up (LW) 2" xfId="0"/>
    <cellStyle name="_CRT_VSE WFP_101001_VSA Roll-Up (LW) 3" xfId="0"/>
    <cellStyle name="_CRT_VSE WFP_101001_VSA Roll-Up (LW) 4" xfId="0"/>
    <cellStyle name="_CRT_VSE WFP_101001_VSA Roll-Up (LW) 4 2" xfId="0"/>
    <cellStyle name="_CRT_VSE WFP_101001_VSA Roll-Up (LW)_By Region" xfId="0"/>
    <cellStyle name="_CRT_VSE WFP_101001_VSA Roll-Up (LW)_CORP SG&amp;A" xfId="0"/>
    <cellStyle name="_CRT_VSE WFP_101001_VSA Roll-Up (LW)_LCD" xfId="0"/>
    <cellStyle name="_CRT_VSE WFP_101001_VSA Roll-Up (LW)_PJ" xfId="0"/>
    <cellStyle name="_CRT_VSE WFP_101029-with more ViewPad 7" xfId="0"/>
    <cellStyle name="_CRT_VSE WFP_101029-with more ViewPad 7 2" xfId="0"/>
    <cellStyle name="_CRT_VSE WFP_101029-with more ViewPad 7 3" xfId="0"/>
    <cellStyle name="_CRT_VSE WFP_101029-with more ViewPad 7 4" xfId="0"/>
    <cellStyle name="_CRT_VSE WFP_101029-with more ViewPad 7_By Region" xfId="0"/>
    <cellStyle name="_CRT_VSE WFP_101029-with more ViewPad 7_CORP SG&amp;A" xfId="0"/>
    <cellStyle name="_CRT_VSE WFP_101029-with more ViewPad 7_Digitizer" xfId="0"/>
    <cellStyle name="_CRT_VSE WFP_101029-with more ViewPad 7_GPS OTHER" xfId="0"/>
    <cellStyle name="_CRT_VSE WFP_101029-with more ViewPad 7_GPS OTHER 2" xfId="0"/>
    <cellStyle name="_CRT_VSE WFP_101029-with more ViewPad 7_GPS OTHER 3" xfId="0"/>
    <cellStyle name="_CRT_VSE WFP_101029-with more ViewPad 7_GPS OTHER 4" xfId="0"/>
    <cellStyle name="_CRT_VSE WFP_101029-with more ViewPad 7_GPS OTHER 4 2" xfId="0"/>
    <cellStyle name="_CRT_VSE WFP_101029-with more ViewPad 7_GPS OTHER_By Region" xfId="0"/>
    <cellStyle name="_CRT_VSE WFP_101029-with more ViewPad 7_GPS OTHER_CORP SG&amp;A" xfId="0"/>
    <cellStyle name="_CRT_VSE WFP_101029-with more ViewPad 7_GPS OTHER_LCD" xfId="0"/>
    <cellStyle name="_CRT_VSE WFP_101029-with more ViewPad 7_GPS OTHER_PJ" xfId="0"/>
    <cellStyle name="_CRT_VSE WFP_101029-with more ViewPad 7_LCD" xfId="0"/>
    <cellStyle name="_CRT_VSE WFP_101029-with more ViewPad 7_LCD 2" xfId="0"/>
    <cellStyle name="_CRT_VSE WFP_101029-with more ViewPad 7_LCD 3" xfId="0"/>
    <cellStyle name="_CRT_VSE WFP_101029-with more ViewPad 7_LCD 4" xfId="0"/>
    <cellStyle name="_CRT_VSE WFP_101029-with more ViewPad 7_LCD_By Region" xfId="0"/>
    <cellStyle name="_CRT_VSE WFP_101029-with more ViewPad 7_LCD_CORP SG&amp;A" xfId="0"/>
    <cellStyle name="_CRT_VSE WFP_101029-with more ViewPad 7_LCD_LCD" xfId="0"/>
    <cellStyle name="_CRT_VSE WFP_101029-with more ViewPad 7_LCD_PJ" xfId="0"/>
    <cellStyle name="_CRT_VSE WFP_101029-with more ViewPad 7_lightling" xfId="0"/>
    <cellStyle name="_CRT_VSE WFP_101029-with more ViewPad 7_lightling 2" xfId="0"/>
    <cellStyle name="_CRT_VSE WFP_101029-with more ViewPad 7_lightling_By Region" xfId="0"/>
    <cellStyle name="_CRT_VSE WFP_101029-with more ViewPad 7_lightling_CORP SG&amp;A" xfId="0"/>
    <cellStyle name="_CRT_VSE WFP_101029-with more ViewPad 7_PC Products" xfId="0"/>
    <cellStyle name="_CRT_VSE WFP_101029-with more ViewPad 7_PC Products 2" xfId="0"/>
    <cellStyle name="_CRT_VSE WFP_101029-with more ViewPad 7_PC Products 3" xfId="0"/>
    <cellStyle name="_CRT_VSE WFP_101029-with more ViewPad 7_PC Products 4" xfId="0"/>
    <cellStyle name="_CRT_VSE WFP_101029-with more ViewPad 7_PC Products 4 2" xfId="0"/>
    <cellStyle name="_CRT_VSE WFP_101029-with more ViewPad 7_PC Products_By Region" xfId="0"/>
    <cellStyle name="_CRT_VSE WFP_101029-with more ViewPad 7_PC Products_CORP SG&amp;A" xfId="0"/>
    <cellStyle name="_CRT_VSE WFP_101029-with more ViewPad 7_PC Products_LCD" xfId="0"/>
    <cellStyle name="_CRT_VSE WFP_101029-with more ViewPad 7_PC Products_PJ" xfId="0"/>
    <cellStyle name="_CRT_VSE WFP_101029-with more ViewPad 7_VSA 111014" xfId="0"/>
    <cellStyle name="_CRT_VSE WFP_101029-with more ViewPad 7_VSA 111014 2" xfId="0"/>
    <cellStyle name="_CRT_VSE WFP_101029-with more ViewPad 7_VSA 111014 3" xfId="0"/>
    <cellStyle name="_CRT_VSE WFP_101029-with more ViewPad 7_VSA 111014 4" xfId="0"/>
    <cellStyle name="_CRT_VSE WFP_101029-with more ViewPad 7_VSA 111014 4 2" xfId="0"/>
    <cellStyle name="_CRT_VSE WFP_101029-with more ViewPad 7_VSA 111014_By Region" xfId="0"/>
    <cellStyle name="_CRT_VSE WFP_101029-with more ViewPad 7_VSA 111014_CORP SG&amp;A" xfId="0"/>
    <cellStyle name="_CRT_VSE WFP_101029-with more ViewPad 7_VSA 111014_LCD" xfId="0"/>
    <cellStyle name="_CRT_VSE WFP_101029-with more ViewPad 7_VSA 111014_PJ" xfId="0"/>
    <cellStyle name="_CRT_VSE WFP_101029-with more ViewPad 7_VSA Roll-Up (LW)" xfId="0"/>
    <cellStyle name="_CRT_VSE WFP_101029-with more ViewPad 7_VSA Roll-Up (LW) 2" xfId="0"/>
    <cellStyle name="_CRT_VSE WFP_101029-with more ViewPad 7_VSA Roll-Up (LW) 3" xfId="0"/>
    <cellStyle name="_CRT_VSE WFP_101029-with more ViewPad 7_VSA Roll-Up (LW) 4" xfId="0"/>
    <cellStyle name="_CRT_VSE WFP_101029-with more ViewPad 7_VSA Roll-Up (LW) 4 2" xfId="0"/>
    <cellStyle name="_CRT_VSE WFP_101029-with more ViewPad 7_VSA Roll-Up (LW)_By Region" xfId="0"/>
    <cellStyle name="_CRT_VSE WFP_101029-with more ViewPad 7_VSA Roll-Up (LW)_CORP SG&amp;A" xfId="0"/>
    <cellStyle name="_CRT_VSE WFP_101029-with more ViewPad 7_VSA Roll-Up (LW)_LCD" xfId="0"/>
    <cellStyle name="_CRT_VSE WFP_101029-with more ViewPad 7_VSA Roll-Up (LW)_PJ" xfId="0"/>
    <cellStyle name="_Datasheet" xfId="0"/>
    <cellStyle name="_Datasheet 2" xfId="0"/>
    <cellStyle name="_Delta Thailand" xfId="0"/>
    <cellStyle name="_Delta Thailand 2" xfId="0"/>
    <cellStyle name="_Digital Decade" xfId="0"/>
    <cellStyle name="_Digital Decade 2" xfId="0"/>
    <cellStyle name="_DMA DCR" xfId="0"/>
    <cellStyle name="_DMA DCR 2" xfId="0"/>
    <cellStyle name="_DMA DCR_VSE DCR Planning Model and Trend Charts 20100118" xfId="0"/>
    <cellStyle name="_DMA DCR_VSE DCR Planning Model and Trend Charts 20100118 2" xfId="0"/>
    <cellStyle name="_DMA DCR_VSE DCR Planning Model and Trend Charts 20100315" xfId="0"/>
    <cellStyle name="_DMA DCR_VSE DCR Planning Model and Trend Charts 20100315 2" xfId="0"/>
    <cellStyle name="_DPF" xfId="0"/>
    <cellStyle name="_DPF 2" xfId="0"/>
    <cellStyle name="_DPF 3" xfId="0"/>
    <cellStyle name="_DPF 4" xfId="0"/>
    <cellStyle name="_DPF 5" xfId="0"/>
    <cellStyle name="_DPF DCR" xfId="0"/>
    <cellStyle name="_DPF DCR 2" xfId="0"/>
    <cellStyle name="_DPF DCR_VSE DCR Planning Model and Trend Charts 20100118" xfId="0"/>
    <cellStyle name="_DPF DCR_VSE DCR Planning Model and Trend Charts 20100118 2" xfId="0"/>
    <cellStyle name="_DPF DCR_VSE DCR Planning Model and Trend Charts 20100315" xfId="0"/>
    <cellStyle name="_DPF DCR_VSE DCR Planning Model and Trend Charts 20100315 2" xfId="0"/>
    <cellStyle name="_DPF_By Region" xfId="0"/>
    <cellStyle name="_DPF_CIS" xfId="0"/>
    <cellStyle name="_DPF_CIS 2" xfId="0"/>
    <cellStyle name="_DPF_CIS 3" xfId="0"/>
    <cellStyle name="_DPF_CIS 4" xfId="0"/>
    <cellStyle name="_DPF_CIS_By Region" xfId="0"/>
    <cellStyle name="_DPF_CIS_CORP SG&amp;A" xfId="0"/>
    <cellStyle name="_DPF_CIS_Digitizer" xfId="0"/>
    <cellStyle name="_DPF_CIS_GPS OTHER" xfId="0"/>
    <cellStyle name="_DPF_CIS_GPS OTHER 2" xfId="0"/>
    <cellStyle name="_DPF_CIS_GPS OTHER 3" xfId="0"/>
    <cellStyle name="_DPF_CIS_GPS OTHER 4" xfId="0"/>
    <cellStyle name="_DPF_CIS_GPS OTHER 4 2" xfId="0"/>
    <cellStyle name="_DPF_CIS_GPS OTHER_By Region" xfId="0"/>
    <cellStyle name="_DPF_CIS_GPS OTHER_CORP SG&amp;A" xfId="0"/>
    <cellStyle name="_DPF_CIS_GPS OTHER_LCD" xfId="0"/>
    <cellStyle name="_DPF_CIS_GPS OTHER_PJ" xfId="0"/>
    <cellStyle name="_DPF_CIS_LCD" xfId="0"/>
    <cellStyle name="_DPF_CIS_LCD 2" xfId="0"/>
    <cellStyle name="_DPF_CIS_LCD 3" xfId="0"/>
    <cellStyle name="_DPF_CIS_LCD 4" xfId="0"/>
    <cellStyle name="_DPF_CIS_LCD_By Region" xfId="0"/>
    <cellStyle name="_DPF_CIS_LCD_CORP SG&amp;A" xfId="0"/>
    <cellStyle name="_DPF_CIS_LCD_LCD" xfId="0"/>
    <cellStyle name="_DPF_CIS_LCD_PJ" xfId="0"/>
    <cellStyle name="_DPF_CIS_lightling" xfId="0"/>
    <cellStyle name="_DPF_CIS_lightling 2" xfId="0"/>
    <cellStyle name="_DPF_CIS_lightling_By Region" xfId="0"/>
    <cellStyle name="_DPF_CIS_lightling_CORP SG&amp;A" xfId="0"/>
    <cellStyle name="_DPF_CIS_PC Products" xfId="0"/>
    <cellStyle name="_DPF_CIS_PC Products 2" xfId="0"/>
    <cellStyle name="_DPF_CIS_PC Products 3" xfId="0"/>
    <cellStyle name="_DPF_CIS_PC Products 4" xfId="0"/>
    <cellStyle name="_DPF_CIS_PC Products 4 2" xfId="0"/>
    <cellStyle name="_DPF_CIS_PC Products_By Region" xfId="0"/>
    <cellStyle name="_DPF_CIS_PC Products_CORP SG&amp;A" xfId="0"/>
    <cellStyle name="_DPF_CIS_PC Products_LCD" xfId="0"/>
    <cellStyle name="_DPF_CIS_PC Products_PJ" xfId="0"/>
    <cellStyle name="_DPF_CIS_VSA 111014" xfId="0"/>
    <cellStyle name="_DPF_CIS_VSA 111014 2" xfId="0"/>
    <cellStyle name="_DPF_CIS_VSA 111014 3" xfId="0"/>
    <cellStyle name="_DPF_CIS_VSA 111014 4" xfId="0"/>
    <cellStyle name="_DPF_CIS_VSA 111014 4 2" xfId="0"/>
    <cellStyle name="_DPF_CIS_VSA 111014_By Region" xfId="0"/>
    <cellStyle name="_DPF_CIS_VSA 111014_CORP SG&amp;A" xfId="0"/>
    <cellStyle name="_DPF_CIS_VSA 111014_LCD" xfId="0"/>
    <cellStyle name="_DPF_CIS_VSA 111014_PJ" xfId="0"/>
    <cellStyle name="_DPF_CIS_VSA Roll-Up (LW)" xfId="0"/>
    <cellStyle name="_DPF_CIS_VSA Roll-Up (LW) 2" xfId="0"/>
    <cellStyle name="_DPF_CIS_VSA Roll-Up (LW) 3" xfId="0"/>
    <cellStyle name="_DPF_CIS_VSA Roll-Up (LW) 4" xfId="0"/>
    <cellStyle name="_DPF_CIS_VSA Roll-Up (LW) 4 2" xfId="0"/>
    <cellStyle name="_DPF_CIS_VSA Roll-Up (LW)_By Region" xfId="0"/>
    <cellStyle name="_DPF_CIS_VSA Roll-Up (LW)_CORP SG&amp;A" xfId="0"/>
    <cellStyle name="_DPF_CIS_VSA Roll-Up (LW)_LCD" xfId="0"/>
    <cellStyle name="_DPF_CIS_VSA Roll-Up (LW)_PJ" xfId="0"/>
    <cellStyle name="_DPF_CORP SG&amp;A" xfId="0"/>
    <cellStyle name="_DPF_CRT" xfId="0"/>
    <cellStyle name="_DPF_CRT 2" xfId="0"/>
    <cellStyle name="_DPF_CRT 3" xfId="0"/>
    <cellStyle name="_DPF_CRT 4" xfId="0"/>
    <cellStyle name="_DPF_CRT_By Region" xfId="0"/>
    <cellStyle name="_DPF_CRT_CORP SG&amp;A" xfId="0"/>
    <cellStyle name="_DPF_CRT_Digitizer" xfId="0"/>
    <cellStyle name="_DPF_CRT_GPS OTHER" xfId="0"/>
    <cellStyle name="_DPF_CRT_GPS OTHER 2" xfId="0"/>
    <cellStyle name="_DPF_CRT_GPS OTHER 3" xfId="0"/>
    <cellStyle name="_DPF_CRT_GPS OTHER 4" xfId="0"/>
    <cellStyle name="_DPF_CRT_GPS OTHER 4 2" xfId="0"/>
    <cellStyle name="_DPF_CRT_GPS OTHER_By Region" xfId="0"/>
    <cellStyle name="_DPF_CRT_GPS OTHER_CORP SG&amp;A" xfId="0"/>
    <cellStyle name="_DPF_CRT_GPS OTHER_LCD" xfId="0"/>
    <cellStyle name="_DPF_CRT_GPS OTHER_PJ" xfId="0"/>
    <cellStyle name="_DPF_CRT_LCD" xfId="0"/>
    <cellStyle name="_DPF_CRT_LCD 2" xfId="0"/>
    <cellStyle name="_DPF_CRT_LCD 3" xfId="0"/>
    <cellStyle name="_DPF_CRT_LCD 4" xfId="0"/>
    <cellStyle name="_DPF_CRT_LCD_By Region" xfId="0"/>
    <cellStyle name="_DPF_CRT_LCD_CORP SG&amp;A" xfId="0"/>
    <cellStyle name="_DPF_CRT_LCD_LCD" xfId="0"/>
    <cellStyle name="_DPF_CRT_LCD_PJ" xfId="0"/>
    <cellStyle name="_DPF_CRT_lightling" xfId="0"/>
    <cellStyle name="_DPF_CRT_lightling 2" xfId="0"/>
    <cellStyle name="_DPF_CRT_lightling_By Region" xfId="0"/>
    <cellStyle name="_DPF_CRT_lightling_CORP SG&amp;A" xfId="0"/>
    <cellStyle name="_DPF_CRT_PC Products" xfId="0"/>
    <cellStyle name="_DPF_CRT_PC Products 2" xfId="0"/>
    <cellStyle name="_DPF_CRT_PC Products 3" xfId="0"/>
    <cellStyle name="_DPF_CRT_PC Products 4" xfId="0"/>
    <cellStyle name="_DPF_CRT_PC Products 4 2" xfId="0"/>
    <cellStyle name="_DPF_CRT_PC Products_By Region" xfId="0"/>
    <cellStyle name="_DPF_CRT_PC Products_CORP SG&amp;A" xfId="0"/>
    <cellStyle name="_DPF_CRT_PC Products_LCD" xfId="0"/>
    <cellStyle name="_DPF_CRT_PC Products_PJ" xfId="0"/>
    <cellStyle name="_DPF_CRT_VSA 111014" xfId="0"/>
    <cellStyle name="_DPF_CRT_VSA 111014 2" xfId="0"/>
    <cellStyle name="_DPF_CRT_VSA 111014 3" xfId="0"/>
    <cellStyle name="_DPF_CRT_VSA 111014 4" xfId="0"/>
    <cellStyle name="_DPF_CRT_VSA 111014 4 2" xfId="0"/>
    <cellStyle name="_DPF_CRT_VSA 111014_By Region" xfId="0"/>
    <cellStyle name="_DPF_CRT_VSA 111014_CORP SG&amp;A" xfId="0"/>
    <cellStyle name="_DPF_CRT_VSA 111014_LCD" xfId="0"/>
    <cellStyle name="_DPF_CRT_VSA 111014_PJ" xfId="0"/>
    <cellStyle name="_DPF_CRT_VSA Roll-Up (LW)" xfId="0"/>
    <cellStyle name="_DPF_CRT_VSA Roll-Up (LW) 2" xfId="0"/>
    <cellStyle name="_DPF_CRT_VSA Roll-Up (LW) 3" xfId="0"/>
    <cellStyle name="_DPF_CRT_VSA Roll-Up (LW) 4" xfId="0"/>
    <cellStyle name="_DPF_CRT_VSA Roll-Up (LW) 4 2" xfId="0"/>
    <cellStyle name="_DPF_CRT_VSA Roll-Up (LW)_By Region" xfId="0"/>
    <cellStyle name="_DPF_CRT_VSA Roll-Up (LW)_CORP SG&amp;A" xfId="0"/>
    <cellStyle name="_DPF_CRT_VSA Roll-Up (LW)_LCD" xfId="0"/>
    <cellStyle name="_DPF_CRT_VSA Roll-Up (LW)_PJ" xfId="0"/>
    <cellStyle name="_DPF_Diff" xfId="0"/>
    <cellStyle name="_DPF_Diff 2" xfId="0"/>
    <cellStyle name="_DPF_Diff 3" xfId="0"/>
    <cellStyle name="_DPF_Diff 4" xfId="0"/>
    <cellStyle name="_DPF_Diff_By Region" xfId="0"/>
    <cellStyle name="_DPF_Diff_CORP SG&amp;A" xfId="0"/>
    <cellStyle name="_DPF_Diff_Digitizer" xfId="0"/>
    <cellStyle name="_DPF_Diff_GPS OTHER" xfId="0"/>
    <cellStyle name="_DPF_Diff_GPS OTHER 2" xfId="0"/>
    <cellStyle name="_DPF_Diff_GPS OTHER 3" xfId="0"/>
    <cellStyle name="_DPF_Diff_GPS OTHER 4" xfId="0"/>
    <cellStyle name="_DPF_Diff_GPS OTHER 4 2" xfId="0"/>
    <cellStyle name="_DPF_Diff_GPS OTHER_By Region" xfId="0"/>
    <cellStyle name="_DPF_Diff_GPS OTHER_CORP SG&amp;A" xfId="0"/>
    <cellStyle name="_DPF_Diff_GPS OTHER_LCD" xfId="0"/>
    <cellStyle name="_DPF_Diff_GPS OTHER_PJ" xfId="0"/>
    <cellStyle name="_DPF_Diff_LCD" xfId="0"/>
    <cellStyle name="_DPF_Diff_LCD 2" xfId="0"/>
    <cellStyle name="_DPF_Diff_LCD 3" xfId="0"/>
    <cellStyle name="_DPF_Diff_LCD 4" xfId="0"/>
    <cellStyle name="_DPF_Diff_LCD_By Region" xfId="0"/>
    <cellStyle name="_DPF_Diff_LCD_CORP SG&amp;A" xfId="0"/>
    <cellStyle name="_DPF_Diff_LCD_LCD" xfId="0"/>
    <cellStyle name="_DPF_Diff_LCD_PJ" xfId="0"/>
    <cellStyle name="_DPF_Diff_lightling" xfId="0"/>
    <cellStyle name="_DPF_Diff_lightling 2" xfId="0"/>
    <cellStyle name="_DPF_Diff_lightling_By Region" xfId="0"/>
    <cellStyle name="_DPF_Diff_lightling_CORP SG&amp;A" xfId="0"/>
    <cellStyle name="_DPF_Diff_PC Products" xfId="0"/>
    <cellStyle name="_DPF_Diff_PC Products 2" xfId="0"/>
    <cellStyle name="_DPF_Diff_PC Products 3" xfId="0"/>
    <cellStyle name="_DPF_Diff_PC Products 4" xfId="0"/>
    <cellStyle name="_DPF_Diff_PC Products 4 2" xfId="0"/>
    <cellStyle name="_DPF_Diff_PC Products_By Region" xfId="0"/>
    <cellStyle name="_DPF_Diff_PC Products_CORP SG&amp;A" xfId="0"/>
    <cellStyle name="_DPF_Diff_PC Products_LCD" xfId="0"/>
    <cellStyle name="_DPF_Diff_PC Products_PJ" xfId="0"/>
    <cellStyle name="_DPF_Diff_VSA 111014" xfId="0"/>
    <cellStyle name="_DPF_Diff_VSA 111014 2" xfId="0"/>
    <cellStyle name="_DPF_Diff_VSA 111014 3" xfId="0"/>
    <cellStyle name="_DPF_Diff_VSA 111014 4" xfId="0"/>
    <cellStyle name="_DPF_Diff_VSA 111014 4 2" xfId="0"/>
    <cellStyle name="_DPF_Diff_VSA 111014_By Region" xfId="0"/>
    <cellStyle name="_DPF_Diff_VSA 111014_CORP SG&amp;A" xfId="0"/>
    <cellStyle name="_DPF_Diff_VSA 111014_LCD" xfId="0"/>
    <cellStyle name="_DPF_Diff_VSA 111014_PJ" xfId="0"/>
    <cellStyle name="_DPF_Diff_VSA Roll-Up (LW)" xfId="0"/>
    <cellStyle name="_DPF_Diff_VSA Roll-Up (LW) 2" xfId="0"/>
    <cellStyle name="_DPF_Diff_VSA Roll-Up (LW) 3" xfId="0"/>
    <cellStyle name="_DPF_Diff_VSA Roll-Up (LW) 4" xfId="0"/>
    <cellStyle name="_DPF_Diff_VSA Roll-Up (LW) 4 2" xfId="0"/>
    <cellStyle name="_DPF_Diff_VSA Roll-Up (LW)_By Region" xfId="0"/>
    <cellStyle name="_DPF_Diff_VSA Roll-Up (LW)_CORP SG&amp;A" xfId="0"/>
    <cellStyle name="_DPF_Diff_VSA Roll-Up (LW)_LCD" xfId="0"/>
    <cellStyle name="_DPF_Diff_VSA Roll-Up (LW)_PJ" xfId="0"/>
    <cellStyle name="_DPF_Digital Product" xfId="0"/>
    <cellStyle name="_DPF_Digital Product 2" xfId="0"/>
    <cellStyle name="_DPF_Digital Product 3" xfId="0"/>
    <cellStyle name="_DPF_Digital Product 4" xfId="0"/>
    <cellStyle name="_DPF_Digital Product_By Region" xfId="0"/>
    <cellStyle name="_DPF_Digital Product_CORP SG&amp;A" xfId="0"/>
    <cellStyle name="_DPF_Digital Product_Digitizer" xfId="0"/>
    <cellStyle name="_DPF_Digital Product_GPS OTHER" xfId="0"/>
    <cellStyle name="_DPF_Digital Product_GPS OTHER 2" xfId="0"/>
    <cellStyle name="_DPF_Digital Product_GPS OTHER 3" xfId="0"/>
    <cellStyle name="_DPF_Digital Product_GPS OTHER 4" xfId="0"/>
    <cellStyle name="_DPF_Digital Product_GPS OTHER 4 2" xfId="0"/>
    <cellStyle name="_DPF_Digital Product_GPS OTHER_By Region" xfId="0"/>
    <cellStyle name="_DPF_Digital Product_GPS OTHER_CORP SG&amp;A" xfId="0"/>
    <cellStyle name="_DPF_Digital Product_GPS OTHER_LCD" xfId="0"/>
    <cellStyle name="_DPF_Digital Product_GPS OTHER_PJ" xfId="0"/>
    <cellStyle name="_DPF_Digital Product_LCD" xfId="0"/>
    <cellStyle name="_DPF_Digital Product_LCD 2" xfId="0"/>
    <cellStyle name="_DPF_Digital Product_LCD 3" xfId="0"/>
    <cellStyle name="_DPF_Digital Product_LCD 4" xfId="0"/>
    <cellStyle name="_DPF_Digital Product_LCD_By Region" xfId="0"/>
    <cellStyle name="_DPF_Digital Product_LCD_CORP SG&amp;A" xfId="0"/>
    <cellStyle name="_DPF_Digital Product_LCD_LCD" xfId="0"/>
    <cellStyle name="_DPF_Digital Product_LCD_PJ" xfId="0"/>
    <cellStyle name="_DPF_Digital Product_lightling" xfId="0"/>
    <cellStyle name="_DPF_Digital Product_lightling 2" xfId="0"/>
    <cellStyle name="_DPF_Digital Product_lightling_By Region" xfId="0"/>
    <cellStyle name="_DPF_Digital Product_lightling_CORP SG&amp;A" xfId="0"/>
    <cellStyle name="_DPF_Digital Product_PC Products" xfId="0"/>
    <cellStyle name="_DPF_Digital Product_PC Products 2" xfId="0"/>
    <cellStyle name="_DPF_Digital Product_PC Products 3" xfId="0"/>
    <cellStyle name="_DPF_Digital Product_PC Products 4" xfId="0"/>
    <cellStyle name="_DPF_Digital Product_PC Products 4 2" xfId="0"/>
    <cellStyle name="_DPF_Digital Product_PC Products_By Region" xfId="0"/>
    <cellStyle name="_DPF_Digital Product_PC Products_CORP SG&amp;A" xfId="0"/>
    <cellStyle name="_DPF_Digital Product_PC Products_LCD" xfId="0"/>
    <cellStyle name="_DPF_Digital Product_PC Products_PJ" xfId="0"/>
    <cellStyle name="_DPF_Digital Product_VSA 111014" xfId="0"/>
    <cellStyle name="_DPF_Digital Product_VSA 111014 2" xfId="0"/>
    <cellStyle name="_DPF_Digital Product_VSA 111014 3" xfId="0"/>
    <cellStyle name="_DPF_Digital Product_VSA 111014 4" xfId="0"/>
    <cellStyle name="_DPF_Digital Product_VSA 111014 4 2" xfId="0"/>
    <cellStyle name="_DPF_Digital Product_VSA 111014_By Region" xfId="0"/>
    <cellStyle name="_DPF_Digital Product_VSA 111014_CORP SG&amp;A" xfId="0"/>
    <cellStyle name="_DPF_Digital Product_VSA 111014_LCD" xfId="0"/>
    <cellStyle name="_DPF_Digital Product_VSA 111014_PJ" xfId="0"/>
    <cellStyle name="_DPF_Digital Product_VSA Roll-Up (LW)" xfId="0"/>
    <cellStyle name="_DPF_Digital Product_VSA Roll-Up (LW) 2" xfId="0"/>
    <cellStyle name="_DPF_Digital Product_VSA Roll-Up (LW) 3" xfId="0"/>
    <cellStyle name="_DPF_Digital Product_VSA Roll-Up (LW) 4" xfId="0"/>
    <cellStyle name="_DPF_Digital Product_VSA Roll-Up (LW) 4 2" xfId="0"/>
    <cellStyle name="_DPF_Digital Product_VSA Roll-Up (LW)_By Region" xfId="0"/>
    <cellStyle name="_DPF_Digital Product_VSA Roll-Up (LW)_CORP SG&amp;A" xfId="0"/>
    <cellStyle name="_DPF_Digital Product_VSA Roll-Up (LW)_LCD" xfId="0"/>
    <cellStyle name="_DPF_Digital Product_VSA Roll-Up (LW)_PJ" xfId="0"/>
    <cellStyle name="_DPF_Digital Signage" xfId="0"/>
    <cellStyle name="_DPF_Digital Signage 2" xfId="0"/>
    <cellStyle name="_DPF_Digital Signage 3" xfId="0"/>
    <cellStyle name="_DPF_Digital Signage 4" xfId="0"/>
    <cellStyle name="_DPF_Digital Signage_By Region" xfId="0"/>
    <cellStyle name="_DPF_Digital Signage_CORP SG&amp;A" xfId="0"/>
    <cellStyle name="_DPF_Digital Signage_Digitizer" xfId="0"/>
    <cellStyle name="_DPF_Digital Signage_GPS OTHER" xfId="0"/>
    <cellStyle name="_DPF_Digital Signage_GPS OTHER 2" xfId="0"/>
    <cellStyle name="_DPF_Digital Signage_GPS OTHER 3" xfId="0"/>
    <cellStyle name="_DPF_Digital Signage_GPS OTHER 4" xfId="0"/>
    <cellStyle name="_DPF_Digital Signage_GPS OTHER 4 2" xfId="0"/>
    <cellStyle name="_DPF_Digital Signage_GPS OTHER_By Region" xfId="0"/>
    <cellStyle name="_DPF_Digital Signage_GPS OTHER_CORP SG&amp;A" xfId="0"/>
    <cellStyle name="_DPF_Digital Signage_GPS OTHER_LCD" xfId="0"/>
    <cellStyle name="_DPF_Digital Signage_GPS OTHER_PJ" xfId="0"/>
    <cellStyle name="_DPF_Digital Signage_LCD" xfId="0"/>
    <cellStyle name="_DPF_Digital Signage_LCD 2" xfId="0"/>
    <cellStyle name="_DPF_Digital Signage_LCD 3" xfId="0"/>
    <cellStyle name="_DPF_Digital Signage_LCD 4" xfId="0"/>
    <cellStyle name="_DPF_Digital Signage_LCD_By Region" xfId="0"/>
    <cellStyle name="_DPF_Digital Signage_LCD_CORP SG&amp;A" xfId="0"/>
    <cellStyle name="_DPF_Digital Signage_LCD_LCD" xfId="0"/>
    <cellStyle name="_DPF_Digital Signage_LCD_PJ" xfId="0"/>
    <cellStyle name="_DPF_Digital Signage_lightling" xfId="0"/>
    <cellStyle name="_DPF_Digital Signage_lightling 2" xfId="0"/>
    <cellStyle name="_DPF_Digital Signage_lightling_By Region" xfId="0"/>
    <cellStyle name="_DPF_Digital Signage_lightling_CORP SG&amp;A" xfId="0"/>
    <cellStyle name="_DPF_Digital Signage_PC Products" xfId="0"/>
    <cellStyle name="_DPF_Digital Signage_PC Products 2" xfId="0"/>
    <cellStyle name="_DPF_Digital Signage_PC Products 3" xfId="0"/>
    <cellStyle name="_DPF_Digital Signage_PC Products 4" xfId="0"/>
    <cellStyle name="_DPF_Digital Signage_PC Products 4 2" xfId="0"/>
    <cellStyle name="_DPF_Digital Signage_PC Products_By Region" xfId="0"/>
    <cellStyle name="_DPF_Digital Signage_PC Products_CORP SG&amp;A" xfId="0"/>
    <cellStyle name="_DPF_Digital Signage_PC Products_LCD" xfId="0"/>
    <cellStyle name="_DPF_Digital Signage_PC Products_PJ" xfId="0"/>
    <cellStyle name="_DPF_Digital Signage_VSA 111014" xfId="0"/>
    <cellStyle name="_DPF_Digital Signage_VSA 111014 2" xfId="0"/>
    <cellStyle name="_DPF_Digital Signage_VSA 111014 3" xfId="0"/>
    <cellStyle name="_DPF_Digital Signage_VSA 111014 4" xfId="0"/>
    <cellStyle name="_DPF_Digital Signage_VSA 111014 4 2" xfId="0"/>
    <cellStyle name="_DPF_Digital Signage_VSA 111014_By Region" xfId="0"/>
    <cellStyle name="_DPF_Digital Signage_VSA 111014_CORP SG&amp;A" xfId="0"/>
    <cellStyle name="_DPF_Digital Signage_VSA 111014_LCD" xfId="0"/>
    <cellStyle name="_DPF_Digital Signage_VSA 111014_PJ" xfId="0"/>
    <cellStyle name="_DPF_Digital Signage_VSA Roll-Up (LW)" xfId="0"/>
    <cellStyle name="_DPF_Digital Signage_VSA Roll-Up (LW) 2" xfId="0"/>
    <cellStyle name="_DPF_Digital Signage_VSA Roll-Up (LW) 3" xfId="0"/>
    <cellStyle name="_DPF_Digital Signage_VSA Roll-Up (LW) 4" xfId="0"/>
    <cellStyle name="_DPF_Digital Signage_VSA Roll-Up (LW) 4 2" xfId="0"/>
    <cellStyle name="_DPF_Digital Signage_VSA Roll-Up (LW)_By Region" xfId="0"/>
    <cellStyle name="_DPF_Digital Signage_VSA Roll-Up (LW)_CORP SG&amp;A" xfId="0"/>
    <cellStyle name="_DPF_Digital Signage_VSA Roll-Up (LW)_LCD" xfId="0"/>
    <cellStyle name="_DPF_Digital Signage_VSA Roll-Up (LW)_PJ" xfId="0"/>
    <cellStyle name="_DPF_Digitizer" xfId="0"/>
    <cellStyle name="_DPF_DMA(VMP)" xfId="0"/>
    <cellStyle name="_DPF_DMA(VMP) 2" xfId="0"/>
    <cellStyle name="_DPF_DMA(VMP) 3" xfId="0"/>
    <cellStyle name="_DPF_DMA(VMP) 4" xfId="0"/>
    <cellStyle name="_DPF_DMA(VMP)_By Region" xfId="0"/>
    <cellStyle name="_DPF_DMA(VMP)_CORP SG&amp;A" xfId="0"/>
    <cellStyle name="_DPF_DMA(VMP)_Digitizer" xfId="0"/>
    <cellStyle name="_DPF_DMA(VMP)_GPS OTHER" xfId="0"/>
    <cellStyle name="_DPF_DMA(VMP)_GPS OTHER 2" xfId="0"/>
    <cellStyle name="_DPF_DMA(VMP)_GPS OTHER 3" xfId="0"/>
    <cellStyle name="_DPF_DMA(VMP)_GPS OTHER 4" xfId="0"/>
    <cellStyle name="_DPF_DMA(VMP)_GPS OTHER 4 2" xfId="0"/>
    <cellStyle name="_DPF_DMA(VMP)_GPS OTHER_By Region" xfId="0"/>
    <cellStyle name="_DPF_DMA(VMP)_GPS OTHER_CORP SG&amp;A" xfId="0"/>
    <cellStyle name="_DPF_DMA(VMP)_GPS OTHER_LCD" xfId="0"/>
    <cellStyle name="_DPF_DMA(VMP)_GPS OTHER_PJ" xfId="0"/>
    <cellStyle name="_DPF_DMA(VMP)_LCD" xfId="0"/>
    <cellStyle name="_DPF_DMA(VMP)_LCD 2" xfId="0"/>
    <cellStyle name="_DPF_DMA(VMP)_LCD 3" xfId="0"/>
    <cellStyle name="_DPF_DMA(VMP)_LCD 4" xfId="0"/>
    <cellStyle name="_DPF_DMA(VMP)_LCD_By Region" xfId="0"/>
    <cellStyle name="_DPF_DMA(VMP)_LCD_CORP SG&amp;A" xfId="0"/>
    <cellStyle name="_DPF_DMA(VMP)_LCD_LCD" xfId="0"/>
    <cellStyle name="_DPF_DMA(VMP)_LCD_PJ" xfId="0"/>
    <cellStyle name="_DPF_DMA(VMP)_lightling" xfId="0"/>
    <cellStyle name="_DPF_DMA(VMP)_lightling 2" xfId="0"/>
    <cellStyle name="_DPF_DMA(VMP)_lightling_By Region" xfId="0"/>
    <cellStyle name="_DPF_DMA(VMP)_lightling_CORP SG&amp;A" xfId="0"/>
    <cellStyle name="_DPF_DMA(VMP)_PC Products" xfId="0"/>
    <cellStyle name="_DPF_DMA(VMP)_PC Products 2" xfId="0"/>
    <cellStyle name="_DPF_DMA(VMP)_PC Products 3" xfId="0"/>
    <cellStyle name="_DPF_DMA(VMP)_PC Products 4" xfId="0"/>
    <cellStyle name="_DPF_DMA(VMP)_PC Products 4 2" xfId="0"/>
    <cellStyle name="_DPF_DMA(VMP)_PC Products_By Region" xfId="0"/>
    <cellStyle name="_DPF_DMA(VMP)_PC Products_CORP SG&amp;A" xfId="0"/>
    <cellStyle name="_DPF_DMA(VMP)_PC Products_LCD" xfId="0"/>
    <cellStyle name="_DPF_DMA(VMP)_PC Products_PJ" xfId="0"/>
    <cellStyle name="_DPF_DMA(VMP)_VSA 111014" xfId="0"/>
    <cellStyle name="_DPF_DMA(VMP)_VSA 111014 2" xfId="0"/>
    <cellStyle name="_DPF_DMA(VMP)_VSA 111014 3" xfId="0"/>
    <cellStyle name="_DPF_DMA(VMP)_VSA 111014 4" xfId="0"/>
    <cellStyle name="_DPF_DMA(VMP)_VSA 111014 4 2" xfId="0"/>
    <cellStyle name="_DPF_DMA(VMP)_VSA 111014_By Region" xfId="0"/>
    <cellStyle name="_DPF_DMA(VMP)_VSA 111014_CORP SG&amp;A" xfId="0"/>
    <cellStyle name="_DPF_DMA(VMP)_VSA 111014_LCD" xfId="0"/>
    <cellStyle name="_DPF_DMA(VMP)_VSA 111014_PJ" xfId="0"/>
    <cellStyle name="_DPF_DMA(VMP)_VSA Roll-Up (LW)" xfId="0"/>
    <cellStyle name="_DPF_DMA(VMP)_VSA Roll-Up (LW) 2" xfId="0"/>
    <cellStyle name="_DPF_DMA(VMP)_VSA Roll-Up (LW) 3" xfId="0"/>
    <cellStyle name="_DPF_DMA(VMP)_VSA Roll-Up (LW) 4" xfId="0"/>
    <cellStyle name="_DPF_DMA(VMP)_VSA Roll-Up (LW) 4 2" xfId="0"/>
    <cellStyle name="_DPF_DMA(VMP)_VSA Roll-Up (LW)_By Region" xfId="0"/>
    <cellStyle name="_DPF_DMA(VMP)_VSA Roll-Up (LW)_CORP SG&amp;A" xfId="0"/>
    <cellStyle name="_DPF_DMA(VMP)_VSA Roll-Up (LW)_LCD" xfId="0"/>
    <cellStyle name="_DPF_DMA(VMP)_VSA Roll-Up (LW)_PJ" xfId="0"/>
    <cellStyle name="_DPF_DPF" xfId="0"/>
    <cellStyle name="_DPF_DPF 2" xfId="0"/>
    <cellStyle name="_DPF_DPF 3" xfId="0"/>
    <cellStyle name="_DPF_DPF 4" xfId="0"/>
    <cellStyle name="_DPF_DPF_By Region" xfId="0"/>
    <cellStyle name="_DPF_DPF_CORP SG&amp;A" xfId="0"/>
    <cellStyle name="_DPF_DPF_Digitizer" xfId="0"/>
    <cellStyle name="_DPF_DPF_GPS OTHER" xfId="0"/>
    <cellStyle name="_DPF_DPF_GPS OTHER 2" xfId="0"/>
    <cellStyle name="_DPF_DPF_GPS OTHER 3" xfId="0"/>
    <cellStyle name="_DPF_DPF_GPS OTHER 4" xfId="0"/>
    <cellStyle name="_DPF_DPF_GPS OTHER 4 2" xfId="0"/>
    <cellStyle name="_DPF_DPF_GPS OTHER_By Region" xfId="0"/>
    <cellStyle name="_DPF_DPF_GPS OTHER_CORP SG&amp;A" xfId="0"/>
    <cellStyle name="_DPF_DPF_GPS OTHER_LCD" xfId="0"/>
    <cellStyle name="_DPF_DPF_GPS OTHER_PJ" xfId="0"/>
    <cellStyle name="_DPF_DPF_LCD" xfId="0"/>
    <cellStyle name="_DPF_DPF_LCD 2" xfId="0"/>
    <cellStyle name="_DPF_DPF_LCD 3" xfId="0"/>
    <cellStyle name="_DPF_DPF_LCD 4" xfId="0"/>
    <cellStyle name="_DPF_DPF_LCD_By Region" xfId="0"/>
    <cellStyle name="_DPF_DPF_LCD_CORP SG&amp;A" xfId="0"/>
    <cellStyle name="_DPF_DPF_LCD_LCD" xfId="0"/>
    <cellStyle name="_DPF_DPF_LCD_PJ" xfId="0"/>
    <cellStyle name="_DPF_DPF_lightling" xfId="0"/>
    <cellStyle name="_DPF_DPF_lightling 2" xfId="0"/>
    <cellStyle name="_DPF_DPF_lightling_By Region" xfId="0"/>
    <cellStyle name="_DPF_DPF_lightling_CORP SG&amp;A" xfId="0"/>
    <cellStyle name="_DPF_DPF_PC Products" xfId="0"/>
    <cellStyle name="_DPF_DPF_PC Products 2" xfId="0"/>
    <cellStyle name="_DPF_DPF_PC Products 3" xfId="0"/>
    <cellStyle name="_DPF_DPF_PC Products 4" xfId="0"/>
    <cellStyle name="_DPF_DPF_PC Products 4 2" xfId="0"/>
    <cellStyle name="_DPF_DPF_PC Products_By Region" xfId="0"/>
    <cellStyle name="_DPF_DPF_PC Products_CORP SG&amp;A" xfId="0"/>
    <cellStyle name="_DPF_DPF_PC Products_LCD" xfId="0"/>
    <cellStyle name="_DPF_DPF_PC Products_PJ" xfId="0"/>
    <cellStyle name="_DPF_DPF_VSA 111014" xfId="0"/>
    <cellStyle name="_DPF_DPF_VSA 111014 2" xfId="0"/>
    <cellStyle name="_DPF_DPF_VSA 111014 3" xfId="0"/>
    <cellStyle name="_DPF_DPF_VSA 111014 4" xfId="0"/>
    <cellStyle name="_DPF_DPF_VSA 111014 4 2" xfId="0"/>
    <cellStyle name="_DPF_DPF_VSA 111014_By Region" xfId="0"/>
    <cellStyle name="_DPF_DPF_VSA 111014_CORP SG&amp;A" xfId="0"/>
    <cellStyle name="_DPF_DPF_VSA 111014_LCD" xfId="0"/>
    <cellStyle name="_DPF_DPF_VSA 111014_PJ" xfId="0"/>
    <cellStyle name="_DPF_DPF_VSA Roll-Up (LW)" xfId="0"/>
    <cellStyle name="_DPF_DPF_VSA Roll-Up (LW) 2" xfId="0"/>
    <cellStyle name="_DPF_DPF_VSA Roll-Up (LW) 3" xfId="0"/>
    <cellStyle name="_DPF_DPF_VSA Roll-Up (LW) 4" xfId="0"/>
    <cellStyle name="_DPF_DPF_VSA Roll-Up (LW) 4 2" xfId="0"/>
    <cellStyle name="_DPF_DPF_VSA Roll-Up (LW)_By Region" xfId="0"/>
    <cellStyle name="_DPF_DPF_VSA Roll-Up (LW)_CORP SG&amp;A" xfId="0"/>
    <cellStyle name="_DPF_DPF_VSA Roll-Up (LW)_LCD" xfId="0"/>
    <cellStyle name="_DPF_DPF_VSA Roll-Up (LW)_PJ" xfId="0"/>
    <cellStyle name="_DPF_DS" xfId="0"/>
    <cellStyle name="_DPF_DS 2" xfId="0"/>
    <cellStyle name="_DPF_DS 3" xfId="0"/>
    <cellStyle name="_DPF_DS 4" xfId="0"/>
    <cellStyle name="_DPF_DS_By Region" xfId="0"/>
    <cellStyle name="_DPF_DS_CORP SG&amp;A" xfId="0"/>
    <cellStyle name="_DPF_DS_Digitizer" xfId="0"/>
    <cellStyle name="_DPF_DS_GPS OTHER" xfId="0"/>
    <cellStyle name="_DPF_DS_GPS OTHER 2" xfId="0"/>
    <cellStyle name="_DPF_DS_GPS OTHER 3" xfId="0"/>
    <cellStyle name="_DPF_DS_GPS OTHER 4" xfId="0"/>
    <cellStyle name="_DPF_DS_GPS OTHER 4 2" xfId="0"/>
    <cellStyle name="_DPF_DS_GPS OTHER_By Region" xfId="0"/>
    <cellStyle name="_DPF_DS_GPS OTHER_CORP SG&amp;A" xfId="0"/>
    <cellStyle name="_DPF_DS_GPS OTHER_LCD" xfId="0"/>
    <cellStyle name="_DPF_DS_GPS OTHER_PJ" xfId="0"/>
    <cellStyle name="_DPF_DS_LCD" xfId="0"/>
    <cellStyle name="_DPF_DS_LCD 2" xfId="0"/>
    <cellStyle name="_DPF_DS_LCD 3" xfId="0"/>
    <cellStyle name="_DPF_DS_LCD 4" xfId="0"/>
    <cellStyle name="_DPF_DS_LCD_By Region" xfId="0"/>
    <cellStyle name="_DPF_DS_LCD_CORP SG&amp;A" xfId="0"/>
    <cellStyle name="_DPF_DS_LCD_LCD" xfId="0"/>
    <cellStyle name="_DPF_DS_LCD_PJ" xfId="0"/>
    <cellStyle name="_DPF_DS_lightling" xfId="0"/>
    <cellStyle name="_DPF_DS_lightling 2" xfId="0"/>
    <cellStyle name="_DPF_DS_lightling_By Region" xfId="0"/>
    <cellStyle name="_DPF_DS_lightling_CORP SG&amp;A" xfId="0"/>
    <cellStyle name="_DPF_DS_PC Products" xfId="0"/>
    <cellStyle name="_DPF_DS_PC Products 2" xfId="0"/>
    <cellStyle name="_DPF_DS_PC Products 3" xfId="0"/>
    <cellStyle name="_DPF_DS_PC Products 4" xfId="0"/>
    <cellStyle name="_DPF_DS_PC Products 4 2" xfId="0"/>
    <cellStyle name="_DPF_DS_PC Products_By Region" xfId="0"/>
    <cellStyle name="_DPF_DS_PC Products_CORP SG&amp;A" xfId="0"/>
    <cellStyle name="_DPF_DS_PC Products_LCD" xfId="0"/>
    <cellStyle name="_DPF_DS_PC Products_PJ" xfId="0"/>
    <cellStyle name="_DPF_DS_VSA 111014" xfId="0"/>
    <cellStyle name="_DPF_DS_VSA 111014 2" xfId="0"/>
    <cellStyle name="_DPF_DS_VSA 111014 3" xfId="0"/>
    <cellStyle name="_DPF_DS_VSA 111014 4" xfId="0"/>
    <cellStyle name="_DPF_DS_VSA 111014 4 2" xfId="0"/>
    <cellStyle name="_DPF_DS_VSA 111014_By Region" xfId="0"/>
    <cellStyle name="_DPF_DS_VSA 111014_CORP SG&amp;A" xfId="0"/>
    <cellStyle name="_DPF_DS_VSA 111014_LCD" xfId="0"/>
    <cellStyle name="_DPF_DS_VSA 111014_PJ" xfId="0"/>
    <cellStyle name="_DPF_DS_VSA Roll-Up (LW)" xfId="0"/>
    <cellStyle name="_DPF_DS_VSA Roll-Up (LW) 2" xfId="0"/>
    <cellStyle name="_DPF_DS_VSA Roll-Up (LW) 3" xfId="0"/>
    <cellStyle name="_DPF_DS_VSA Roll-Up (LW) 4" xfId="0"/>
    <cellStyle name="_DPF_DS_VSA Roll-Up (LW) 4 2" xfId="0"/>
    <cellStyle name="_DPF_DS_VSA Roll-Up (LW)_By Region" xfId="0"/>
    <cellStyle name="_DPF_DS_VSA Roll-Up (LW)_CORP SG&amp;A" xfId="0"/>
    <cellStyle name="_DPF_DS_VSA Roll-Up (LW)_LCD" xfId="0"/>
    <cellStyle name="_DPF_DS_VSA Roll-Up (LW)_PJ" xfId="0"/>
    <cellStyle name="_DPF_DVD_TV" xfId="0"/>
    <cellStyle name="_DPF_DVD_TV 2" xfId="0"/>
    <cellStyle name="_DPF_DVD_TV 3" xfId="0"/>
    <cellStyle name="_DPF_DVD_TV 4" xfId="0"/>
    <cellStyle name="_DPF_DVD_TV_By Region" xfId="0"/>
    <cellStyle name="_DPF_DVD_TV_CORP SG&amp;A" xfId="0"/>
    <cellStyle name="_DPF_DVD_TV_Digitizer" xfId="0"/>
    <cellStyle name="_DPF_DVD_TV_GPS OTHER" xfId="0"/>
    <cellStyle name="_DPF_DVD_TV_GPS OTHER 2" xfId="0"/>
    <cellStyle name="_DPF_DVD_TV_GPS OTHER 3" xfId="0"/>
    <cellStyle name="_DPF_DVD_TV_GPS OTHER 4" xfId="0"/>
    <cellStyle name="_DPF_DVD_TV_GPS OTHER 4 2" xfId="0"/>
    <cellStyle name="_DPF_DVD_TV_GPS OTHER_By Region" xfId="0"/>
    <cellStyle name="_DPF_DVD_TV_GPS OTHER_CORP SG&amp;A" xfId="0"/>
    <cellStyle name="_DPF_DVD_TV_GPS OTHER_LCD" xfId="0"/>
    <cellStyle name="_DPF_DVD_TV_GPS OTHER_PJ" xfId="0"/>
    <cellStyle name="_DPF_DVD_TV_LCD" xfId="0"/>
    <cellStyle name="_DPF_DVD_TV_LCD 2" xfId="0"/>
    <cellStyle name="_DPF_DVD_TV_LCD 3" xfId="0"/>
    <cellStyle name="_DPF_DVD_TV_LCD 4" xfId="0"/>
    <cellStyle name="_DPF_DVD_TV_LCD_By Region" xfId="0"/>
    <cellStyle name="_DPF_DVD_TV_LCD_CORP SG&amp;A" xfId="0"/>
    <cellStyle name="_DPF_DVD_TV_LCD_LCD" xfId="0"/>
    <cellStyle name="_DPF_DVD_TV_LCD_PJ" xfId="0"/>
    <cellStyle name="_DPF_DVD_TV_lightling" xfId="0"/>
    <cellStyle name="_DPF_DVD_TV_lightling 2" xfId="0"/>
    <cellStyle name="_DPF_DVD_TV_lightling_By Region" xfId="0"/>
    <cellStyle name="_DPF_DVD_TV_lightling_CORP SG&amp;A" xfId="0"/>
    <cellStyle name="_DPF_DVD_TV_PC Products" xfId="0"/>
    <cellStyle name="_DPF_DVD_TV_PC Products 2" xfId="0"/>
    <cellStyle name="_DPF_DVD_TV_PC Products 3" xfId="0"/>
    <cellStyle name="_DPF_DVD_TV_PC Products 4" xfId="0"/>
    <cellStyle name="_DPF_DVD_TV_PC Products 4 2" xfId="0"/>
    <cellStyle name="_DPF_DVD_TV_PC Products_By Region" xfId="0"/>
    <cellStyle name="_DPF_DVD_TV_PC Products_CORP SG&amp;A" xfId="0"/>
    <cellStyle name="_DPF_DVD_TV_PC Products_LCD" xfId="0"/>
    <cellStyle name="_DPF_DVD_TV_PC Products_PJ" xfId="0"/>
    <cellStyle name="_DPF_DVD_TV_VSA 111014" xfId="0"/>
    <cellStyle name="_DPF_DVD_TV_VSA 111014 2" xfId="0"/>
    <cellStyle name="_DPF_DVD_TV_VSA 111014 3" xfId="0"/>
    <cellStyle name="_DPF_DVD_TV_VSA 111014 4" xfId="0"/>
    <cellStyle name="_DPF_DVD_TV_VSA 111014 4 2" xfId="0"/>
    <cellStyle name="_DPF_DVD_TV_VSA 111014_By Region" xfId="0"/>
    <cellStyle name="_DPF_DVD_TV_VSA 111014_CORP SG&amp;A" xfId="0"/>
    <cellStyle name="_DPF_DVD_TV_VSA 111014_LCD" xfId="0"/>
    <cellStyle name="_DPF_DVD_TV_VSA 111014_PJ" xfId="0"/>
    <cellStyle name="_DPF_DVD_TV_VSA Roll-Up (LW)" xfId="0"/>
    <cellStyle name="_DPF_DVD_TV_VSA Roll-Up (LW) 2" xfId="0"/>
    <cellStyle name="_DPF_DVD_TV_VSA Roll-Up (LW) 3" xfId="0"/>
    <cellStyle name="_DPF_DVD_TV_VSA Roll-Up (LW) 4" xfId="0"/>
    <cellStyle name="_DPF_DVD_TV_VSA Roll-Up (LW) 4 2" xfId="0"/>
    <cellStyle name="_DPF_DVD_TV_VSA Roll-Up (LW)_By Region" xfId="0"/>
    <cellStyle name="_DPF_DVD_TV_VSA Roll-Up (LW)_CORP SG&amp;A" xfId="0"/>
    <cellStyle name="_DPF_DVD_TV_VSA Roll-Up (LW)_LCD" xfId="0"/>
    <cellStyle name="_DPF_DVD_TV_VSA Roll-Up (LW)_PJ" xfId="0"/>
    <cellStyle name="_DPF_GPS OTHER" xfId="0"/>
    <cellStyle name="_DPF_GPS OTHER 2" xfId="0"/>
    <cellStyle name="_DPF_GPS OTHER 3" xfId="0"/>
    <cellStyle name="_DPF_GPS OTHER 4" xfId="0"/>
    <cellStyle name="_DPF_GPS OTHER 4 2" xfId="0"/>
    <cellStyle name="_DPF_GPS OTHER_By Region" xfId="0"/>
    <cellStyle name="_DPF_GPS OTHER_CORP SG&amp;A" xfId="0"/>
    <cellStyle name="_DPF_GPS OTHER_LCD" xfId="0"/>
    <cellStyle name="_DPF_GPS OTHER_PJ" xfId="0"/>
    <cellStyle name="_DPF_LCD" xfId="0"/>
    <cellStyle name="_DPF_LCD 2" xfId="0"/>
    <cellStyle name="_DPF_LCD 3" xfId="0"/>
    <cellStyle name="_DPF_LCD 4" xfId="0"/>
    <cellStyle name="_DPF_LCD_1" xfId="0"/>
    <cellStyle name="_DPF_LCD_1 2" xfId="0"/>
    <cellStyle name="_DPF_LCD_1 3" xfId="0"/>
    <cellStyle name="_DPF_LCD_1 4" xfId="0"/>
    <cellStyle name="_DPF_LCD_1_By Region" xfId="0"/>
    <cellStyle name="_DPF_LCD_1_CORP SG&amp;A" xfId="0"/>
    <cellStyle name="_DPF_LCD_1_LCD" xfId="0"/>
    <cellStyle name="_DPF_LCD_1_PJ" xfId="0"/>
    <cellStyle name="_DPF_LCD_By Region" xfId="0"/>
    <cellStyle name="_DPF_LCD_CORP SG&amp;A" xfId="0"/>
    <cellStyle name="_DPF_LCD_Digitizer" xfId="0"/>
    <cellStyle name="_DPF_LCD_GPS OTHER" xfId="0"/>
    <cellStyle name="_DPF_LCD_GPS OTHER 2" xfId="0"/>
    <cellStyle name="_DPF_LCD_GPS OTHER 3" xfId="0"/>
    <cellStyle name="_DPF_LCD_GPS OTHER 4" xfId="0"/>
    <cellStyle name="_DPF_LCD_GPS OTHER 4 2" xfId="0"/>
    <cellStyle name="_DPF_LCD_GPS OTHER_By Region" xfId="0"/>
    <cellStyle name="_DPF_LCD_GPS OTHER_CORP SG&amp;A" xfId="0"/>
    <cellStyle name="_DPF_LCD_GPS OTHER_LCD" xfId="0"/>
    <cellStyle name="_DPF_LCD_GPS OTHER_PJ" xfId="0"/>
    <cellStyle name="_DPF_LCD_LCD" xfId="0"/>
    <cellStyle name="_DPF_LCD_LCD 2" xfId="0"/>
    <cellStyle name="_DPF_LCD_LCD 3" xfId="0"/>
    <cellStyle name="_DPF_LCD_LCD 4" xfId="0"/>
    <cellStyle name="_DPF_LCD_LCD_By Region" xfId="0"/>
    <cellStyle name="_DPF_LCD_LCD_CORP SG&amp;A" xfId="0"/>
    <cellStyle name="_DPF_LCD_LCD_LCD" xfId="0"/>
    <cellStyle name="_DPF_LCD_LCD_PJ" xfId="0"/>
    <cellStyle name="_DPF_LCD_lightling" xfId="0"/>
    <cellStyle name="_DPF_LCD_lightling 2" xfId="0"/>
    <cellStyle name="_DPF_LCD_lightling_By Region" xfId="0"/>
    <cellStyle name="_DPF_LCD_lightling_CORP SG&amp;A" xfId="0"/>
    <cellStyle name="_DPF_LCD_PC Products" xfId="0"/>
    <cellStyle name="_DPF_LCD_PC Products 2" xfId="0"/>
    <cellStyle name="_DPF_LCD_PC Products 3" xfId="0"/>
    <cellStyle name="_DPF_LCD_PC Products 4" xfId="0"/>
    <cellStyle name="_DPF_LCD_PC Products 4 2" xfId="0"/>
    <cellStyle name="_DPF_LCD_PC Products_By Region" xfId="0"/>
    <cellStyle name="_DPF_LCD_PC Products_CORP SG&amp;A" xfId="0"/>
    <cellStyle name="_DPF_LCD_PC Products_LCD" xfId="0"/>
    <cellStyle name="_DPF_LCD_PC Products_PJ" xfId="0"/>
    <cellStyle name="_DPF_LCD_VSA 111014" xfId="0"/>
    <cellStyle name="_DPF_LCD_VSA 111014 2" xfId="0"/>
    <cellStyle name="_DPF_LCD_VSA 111014 3" xfId="0"/>
    <cellStyle name="_DPF_LCD_VSA 111014 4" xfId="0"/>
    <cellStyle name="_DPF_LCD_VSA 111014 4 2" xfId="0"/>
    <cellStyle name="_DPF_LCD_VSA 111014_By Region" xfId="0"/>
    <cellStyle name="_DPF_LCD_VSA 111014_CORP SG&amp;A" xfId="0"/>
    <cellStyle name="_DPF_LCD_VSA 111014_LCD" xfId="0"/>
    <cellStyle name="_DPF_LCD_VSA 111014_PJ" xfId="0"/>
    <cellStyle name="_DPF_LCD_VSA Roll-Up (LW)" xfId="0"/>
    <cellStyle name="_DPF_LCD_VSA Roll-Up (LW) 2" xfId="0"/>
    <cellStyle name="_DPF_LCD_VSA Roll-Up (LW) 3" xfId="0"/>
    <cellStyle name="_DPF_LCD_VSA Roll-Up (LW) 4" xfId="0"/>
    <cellStyle name="_DPF_LCD_VSA Roll-Up (LW) 4 2" xfId="0"/>
    <cellStyle name="_DPF_LCD_VSA Roll-Up (LW)_By Region" xfId="0"/>
    <cellStyle name="_DPF_LCD_VSA Roll-Up (LW)_CORP SG&amp;A" xfId="0"/>
    <cellStyle name="_DPF_LCD_VSA Roll-Up (LW)_LCD" xfId="0"/>
    <cellStyle name="_DPF_LCD_VSA Roll-Up (LW)_PJ" xfId="0"/>
    <cellStyle name="_DPF_LCDTV" xfId="0"/>
    <cellStyle name="_DPF_LCDTV 2" xfId="0"/>
    <cellStyle name="_DPF_LCDTV 3" xfId="0"/>
    <cellStyle name="_DPF_LCDTV 4" xfId="0"/>
    <cellStyle name="_DPF_LCDTV_By Region" xfId="0"/>
    <cellStyle name="_DPF_LCDTV_CORP SG&amp;A" xfId="0"/>
    <cellStyle name="_DPF_LCDTV_Digitizer" xfId="0"/>
    <cellStyle name="_DPF_LCDTV_GPS OTHER" xfId="0"/>
    <cellStyle name="_DPF_LCDTV_GPS OTHER 2" xfId="0"/>
    <cellStyle name="_DPF_LCDTV_GPS OTHER 3" xfId="0"/>
    <cellStyle name="_DPF_LCDTV_GPS OTHER 4" xfId="0"/>
    <cellStyle name="_DPF_LCDTV_GPS OTHER 4 2" xfId="0"/>
    <cellStyle name="_DPF_LCDTV_GPS OTHER_By Region" xfId="0"/>
    <cellStyle name="_DPF_LCDTV_GPS OTHER_CORP SG&amp;A" xfId="0"/>
    <cellStyle name="_DPF_LCDTV_GPS OTHER_LCD" xfId="0"/>
    <cellStyle name="_DPF_LCDTV_GPS OTHER_PJ" xfId="0"/>
    <cellStyle name="_DPF_LCDTV_LCD" xfId="0"/>
    <cellStyle name="_DPF_LCDTV_LCD 2" xfId="0"/>
    <cellStyle name="_DPF_LCDTV_LCD 3" xfId="0"/>
    <cellStyle name="_DPF_LCDTV_LCD 4" xfId="0"/>
    <cellStyle name="_DPF_LCDTV_LCD_By Region" xfId="0"/>
    <cellStyle name="_DPF_LCDTV_LCD_CORP SG&amp;A" xfId="0"/>
    <cellStyle name="_DPF_LCDTV_LCD_LCD" xfId="0"/>
    <cellStyle name="_DPF_LCDTV_LCD_PJ" xfId="0"/>
    <cellStyle name="_DPF_LCDTV_lightling" xfId="0"/>
    <cellStyle name="_DPF_LCDTV_lightling 2" xfId="0"/>
    <cellStyle name="_DPF_LCDTV_lightling_By Region" xfId="0"/>
    <cellStyle name="_DPF_LCDTV_lightling_CORP SG&amp;A" xfId="0"/>
    <cellStyle name="_DPF_LCDTV_PC Products" xfId="0"/>
    <cellStyle name="_DPF_LCDTV_PC Products 2" xfId="0"/>
    <cellStyle name="_DPF_LCDTV_PC Products 3" xfId="0"/>
    <cellStyle name="_DPF_LCDTV_PC Products 4" xfId="0"/>
    <cellStyle name="_DPF_LCDTV_PC Products 4 2" xfId="0"/>
    <cellStyle name="_DPF_LCDTV_PC Products_By Region" xfId="0"/>
    <cellStyle name="_DPF_LCDTV_PC Products_CORP SG&amp;A" xfId="0"/>
    <cellStyle name="_DPF_LCDTV_PC Products_LCD" xfId="0"/>
    <cellStyle name="_DPF_LCDTV_PC Products_PJ" xfId="0"/>
    <cellStyle name="_DPF_LCDTV_VSA 111014" xfId="0"/>
    <cellStyle name="_DPF_LCDTV_VSA 111014 2" xfId="0"/>
    <cellStyle name="_DPF_LCDTV_VSA 111014 3" xfId="0"/>
    <cellStyle name="_DPF_LCDTV_VSA 111014 4" xfId="0"/>
    <cellStyle name="_DPF_LCDTV_VSA 111014 4 2" xfId="0"/>
    <cellStyle name="_DPF_LCDTV_VSA 111014_By Region" xfId="0"/>
    <cellStyle name="_DPF_LCDTV_VSA 111014_CORP SG&amp;A" xfId="0"/>
    <cellStyle name="_DPF_LCDTV_VSA 111014_LCD" xfId="0"/>
    <cellStyle name="_DPF_LCDTV_VSA 111014_PJ" xfId="0"/>
    <cellStyle name="_DPF_LCDTV_VSA Roll-Up (LW)" xfId="0"/>
    <cellStyle name="_DPF_LCDTV_VSA Roll-Up (LW) 2" xfId="0"/>
    <cellStyle name="_DPF_LCDTV_VSA Roll-Up (LW) 3" xfId="0"/>
    <cellStyle name="_DPF_LCDTV_VSA Roll-Up (LW) 4" xfId="0"/>
    <cellStyle name="_DPF_LCDTV_VSA Roll-Up (LW) 4 2" xfId="0"/>
    <cellStyle name="_DPF_LCDTV_VSA Roll-Up (LW)_By Region" xfId="0"/>
    <cellStyle name="_DPF_LCDTV_VSA Roll-Up (LW)_CORP SG&amp;A" xfId="0"/>
    <cellStyle name="_DPF_LCDTV_VSA Roll-Up (LW)_LCD" xfId="0"/>
    <cellStyle name="_DPF_LCDTV_VSA Roll-Up (LW)_PJ" xfId="0"/>
    <cellStyle name="_DPF_lightling" xfId="0"/>
    <cellStyle name="_DPF_lightling 2" xfId="0"/>
    <cellStyle name="_DPF_lightling_By Region" xfId="0"/>
    <cellStyle name="_DPF_lightling_CORP SG&amp;A" xfId="0"/>
    <cellStyle name="_DPF_MNT" xfId="0"/>
    <cellStyle name="_DPF_MNT 2" xfId="0"/>
    <cellStyle name="_DPF_MNT 3" xfId="0"/>
    <cellStyle name="_DPF_MNT 4" xfId="0"/>
    <cellStyle name="_DPF_MNT_By Region" xfId="0"/>
    <cellStyle name="_DPF_MNT_CORP SG&amp;A" xfId="0"/>
    <cellStyle name="_DPF_MNT_Digitizer" xfId="0"/>
    <cellStyle name="_DPF_MNT_GPS OTHER" xfId="0"/>
    <cellStyle name="_DPF_MNT_GPS OTHER 2" xfId="0"/>
    <cellStyle name="_DPF_MNT_GPS OTHER 3" xfId="0"/>
    <cellStyle name="_DPF_MNT_GPS OTHER 4" xfId="0"/>
    <cellStyle name="_DPF_MNT_GPS OTHER 4 2" xfId="0"/>
    <cellStyle name="_DPF_MNT_GPS OTHER_By Region" xfId="0"/>
    <cellStyle name="_DPF_MNT_GPS OTHER_CORP SG&amp;A" xfId="0"/>
    <cellStyle name="_DPF_MNT_GPS OTHER_LCD" xfId="0"/>
    <cellStyle name="_DPF_MNT_GPS OTHER_PJ" xfId="0"/>
    <cellStyle name="_DPF_MNT_LCD" xfId="0"/>
    <cellStyle name="_DPF_MNT_LCD 2" xfId="0"/>
    <cellStyle name="_DPF_MNT_LCD 3" xfId="0"/>
    <cellStyle name="_DPF_MNT_LCD 4" xfId="0"/>
    <cellStyle name="_DPF_MNT_LCD_By Region" xfId="0"/>
    <cellStyle name="_DPF_MNT_LCD_CORP SG&amp;A" xfId="0"/>
    <cellStyle name="_DPF_MNT_LCD_LCD" xfId="0"/>
    <cellStyle name="_DPF_MNT_LCD_PJ" xfId="0"/>
    <cellStyle name="_DPF_MNT_lightling" xfId="0"/>
    <cellStyle name="_DPF_MNT_lightling 2" xfId="0"/>
    <cellStyle name="_DPF_MNT_lightling_By Region" xfId="0"/>
    <cellStyle name="_DPF_MNT_lightling_CORP SG&amp;A" xfId="0"/>
    <cellStyle name="_DPF_MNT_PC Products" xfId="0"/>
    <cellStyle name="_DPF_MNT_PC Products 2" xfId="0"/>
    <cellStyle name="_DPF_MNT_PC Products 3" xfId="0"/>
    <cellStyle name="_DPF_MNT_PC Products 4" xfId="0"/>
    <cellStyle name="_DPF_MNT_PC Products 4 2" xfId="0"/>
    <cellStyle name="_DPF_MNT_PC Products_By Region" xfId="0"/>
    <cellStyle name="_DPF_MNT_PC Products_CORP SG&amp;A" xfId="0"/>
    <cellStyle name="_DPF_MNT_PC Products_LCD" xfId="0"/>
    <cellStyle name="_DPF_MNT_PC Products_PJ" xfId="0"/>
    <cellStyle name="_DPF_MNT_VSA 111014" xfId="0"/>
    <cellStyle name="_DPF_MNT_VSA 111014 2" xfId="0"/>
    <cellStyle name="_DPF_MNT_VSA 111014 3" xfId="0"/>
    <cellStyle name="_DPF_MNT_VSA 111014 4" xfId="0"/>
    <cellStyle name="_DPF_MNT_VSA 111014 4 2" xfId="0"/>
    <cellStyle name="_DPF_MNT_VSA 111014_By Region" xfId="0"/>
    <cellStyle name="_DPF_MNT_VSA 111014_CORP SG&amp;A" xfId="0"/>
    <cellStyle name="_DPF_MNT_VSA 111014_LCD" xfId="0"/>
    <cellStyle name="_DPF_MNT_VSA 111014_PJ" xfId="0"/>
    <cellStyle name="_DPF_MNT_VSA Roll-Up (LW)" xfId="0"/>
    <cellStyle name="_DPF_MNT_VSA Roll-Up (LW) 2" xfId="0"/>
    <cellStyle name="_DPF_MNT_VSA Roll-Up (LW) 3" xfId="0"/>
    <cellStyle name="_DPF_MNT_VSA Roll-Up (LW) 4" xfId="0"/>
    <cellStyle name="_DPF_MNT_VSA Roll-Up (LW) 4 2" xfId="0"/>
    <cellStyle name="_DPF_MNT_VSA Roll-Up (LW)_By Region" xfId="0"/>
    <cellStyle name="_DPF_MNT_VSA Roll-Up (LW)_CORP SG&amp;A" xfId="0"/>
    <cellStyle name="_DPF_MNT_VSA Roll-Up (LW)_LCD" xfId="0"/>
    <cellStyle name="_DPF_MNT_VSA Roll-Up (LW)_PJ" xfId="0"/>
    <cellStyle name="_DPF_Other" xfId="0"/>
    <cellStyle name="_DPF_Other 2" xfId="0"/>
    <cellStyle name="_DPF_Other 3" xfId="0"/>
    <cellStyle name="_DPF_Other 4" xfId="0"/>
    <cellStyle name="_DPF_Other_By Region" xfId="0"/>
    <cellStyle name="_DPF_Other_CORP SG&amp;A" xfId="0"/>
    <cellStyle name="_DPF_Other_Digitizer" xfId="0"/>
    <cellStyle name="_DPF_Other_GPS OTHER" xfId="0"/>
    <cellStyle name="_DPF_Other_GPS OTHER 2" xfId="0"/>
    <cellStyle name="_DPF_Other_GPS OTHER 3" xfId="0"/>
    <cellStyle name="_DPF_Other_GPS OTHER 4" xfId="0"/>
    <cellStyle name="_DPF_Other_GPS OTHER 4 2" xfId="0"/>
    <cellStyle name="_DPF_Other_GPS OTHER_By Region" xfId="0"/>
    <cellStyle name="_DPF_Other_GPS OTHER_CORP SG&amp;A" xfId="0"/>
    <cellStyle name="_DPF_Other_GPS OTHER_LCD" xfId="0"/>
    <cellStyle name="_DPF_Other_GPS OTHER_PJ" xfId="0"/>
    <cellStyle name="_DPF_Other_LCD" xfId="0"/>
    <cellStyle name="_DPF_Other_LCD 2" xfId="0"/>
    <cellStyle name="_DPF_Other_LCD 3" xfId="0"/>
    <cellStyle name="_DPF_Other_LCD 4" xfId="0"/>
    <cellStyle name="_DPF_Other_LCD_By Region" xfId="0"/>
    <cellStyle name="_DPF_Other_LCD_CORP SG&amp;A" xfId="0"/>
    <cellStyle name="_DPF_Other_LCD_LCD" xfId="0"/>
    <cellStyle name="_DPF_Other_LCD_PJ" xfId="0"/>
    <cellStyle name="_DPF_Other_lightling" xfId="0"/>
    <cellStyle name="_DPF_Other_lightling 2" xfId="0"/>
    <cellStyle name="_DPF_Other_lightling_By Region" xfId="0"/>
    <cellStyle name="_DPF_Other_lightling_CORP SG&amp;A" xfId="0"/>
    <cellStyle name="_DPF_Other_PC Products" xfId="0"/>
    <cellStyle name="_DPF_Other_PC Products 2" xfId="0"/>
    <cellStyle name="_DPF_Other_PC Products 3" xfId="0"/>
    <cellStyle name="_DPF_Other_PC Products 4" xfId="0"/>
    <cellStyle name="_DPF_Other_PC Products 4 2" xfId="0"/>
    <cellStyle name="_DPF_Other_PC Products_By Region" xfId="0"/>
    <cellStyle name="_DPF_Other_PC Products_CORP SG&amp;A" xfId="0"/>
    <cellStyle name="_DPF_Other_PC Products_LCD" xfId="0"/>
    <cellStyle name="_DPF_Other_PC Products_PJ" xfId="0"/>
    <cellStyle name="_DPF_Other_VSA 111014" xfId="0"/>
    <cellStyle name="_DPF_Other_VSA 111014 2" xfId="0"/>
    <cellStyle name="_DPF_Other_VSA 111014 3" xfId="0"/>
    <cellStyle name="_DPF_Other_VSA 111014 4" xfId="0"/>
    <cellStyle name="_DPF_Other_VSA 111014 4 2" xfId="0"/>
    <cellStyle name="_DPF_Other_VSA 111014_By Region" xfId="0"/>
    <cellStyle name="_DPF_Other_VSA 111014_CORP SG&amp;A" xfId="0"/>
    <cellStyle name="_DPF_Other_VSA 111014_LCD" xfId="0"/>
    <cellStyle name="_DPF_Other_VSA 111014_PJ" xfId="0"/>
    <cellStyle name="_DPF_Other_VSA Roll-Up (LW)" xfId="0"/>
    <cellStyle name="_DPF_Other_VSA Roll-Up (LW) 2" xfId="0"/>
    <cellStyle name="_DPF_Other_VSA Roll-Up (LW) 3" xfId="0"/>
    <cellStyle name="_DPF_Other_VSA Roll-Up (LW) 4" xfId="0"/>
    <cellStyle name="_DPF_Other_VSA Roll-Up (LW) 4 2" xfId="0"/>
    <cellStyle name="_DPF_Other_VSA Roll-Up (LW)_By Region" xfId="0"/>
    <cellStyle name="_DPF_Other_VSA Roll-Up (LW)_CORP SG&amp;A" xfId="0"/>
    <cellStyle name="_DPF_Other_VSA Roll-Up (LW)_LCD" xfId="0"/>
    <cellStyle name="_DPF_Other_VSA Roll-Up (LW)_PJ" xfId="0"/>
    <cellStyle name="_DPF_PC" xfId="0"/>
    <cellStyle name="_DPF_PC 2" xfId="0"/>
    <cellStyle name="_DPF_PC 3" xfId="0"/>
    <cellStyle name="_DPF_PC 4" xfId="0"/>
    <cellStyle name="_DPF_PC Products" xfId="0"/>
    <cellStyle name="_DPF_PC Products 2" xfId="0"/>
    <cellStyle name="_DPF_PC Products 3" xfId="0"/>
    <cellStyle name="_DPF_PC Products 4" xfId="0"/>
    <cellStyle name="_DPF_PC Products 4 2" xfId="0"/>
    <cellStyle name="_DPF_PC Products_By Region" xfId="0"/>
    <cellStyle name="_DPF_PC Products_CORP SG&amp;A" xfId="0"/>
    <cellStyle name="_DPF_PC Products_LCD" xfId="0"/>
    <cellStyle name="_DPF_PC Products_PJ" xfId="0"/>
    <cellStyle name="_DPF_PC_By Region" xfId="0"/>
    <cellStyle name="_DPF_PC_CORP SG&amp;A" xfId="0"/>
    <cellStyle name="_DPF_PC_Digitizer" xfId="0"/>
    <cellStyle name="_DPF_PC_DT" xfId="0"/>
    <cellStyle name="_DPF_PC_DT 2" xfId="0"/>
    <cellStyle name="_DPF_PC_DT_By Region" xfId="0"/>
    <cellStyle name="_DPF_PC_DT_CORP SG&amp;A" xfId="0"/>
    <cellStyle name="_DPF_PC_GPS OTHER" xfId="0"/>
    <cellStyle name="_DPF_PC_GPS OTHER 2" xfId="0"/>
    <cellStyle name="_DPF_PC_GPS OTHER 3" xfId="0"/>
    <cellStyle name="_DPF_PC_GPS OTHER 4" xfId="0"/>
    <cellStyle name="_DPF_PC_GPS OTHER 4 2" xfId="0"/>
    <cellStyle name="_DPF_PC_GPS OTHER_By Region" xfId="0"/>
    <cellStyle name="_DPF_PC_GPS OTHER_CORP SG&amp;A" xfId="0"/>
    <cellStyle name="_DPF_PC_GPS OTHER_LCD" xfId="0"/>
    <cellStyle name="_DPF_PC_GPS OTHER_PJ" xfId="0"/>
    <cellStyle name="_DPF_PC_LCD" xfId="0"/>
    <cellStyle name="_DPF_PC_LCD 2" xfId="0"/>
    <cellStyle name="_DPF_PC_LCD 3" xfId="0"/>
    <cellStyle name="_DPF_PC_LCD 4" xfId="0"/>
    <cellStyle name="_DPF_PC_LCD_By Region" xfId="0"/>
    <cellStyle name="_DPF_PC_LCD_CORP SG&amp;A" xfId="0"/>
    <cellStyle name="_DPF_PC_LCD_LCD" xfId="0"/>
    <cellStyle name="_DPF_PC_LCD_PJ" xfId="0"/>
    <cellStyle name="_DPF_PC_lightling" xfId="0"/>
    <cellStyle name="_DPF_PC_lightling 2" xfId="0"/>
    <cellStyle name="_DPF_PC_lightling_By Region" xfId="0"/>
    <cellStyle name="_DPF_PC_lightling_CORP SG&amp;A" xfId="0"/>
    <cellStyle name="_DPF_PC_PC Products" xfId="0"/>
    <cellStyle name="_DPF_PC_PC Products 2" xfId="0"/>
    <cellStyle name="_DPF_PC_PC Products 3" xfId="0"/>
    <cellStyle name="_DPF_PC_PC Products 4" xfId="0"/>
    <cellStyle name="_DPF_PC_PC Products 4 2" xfId="0"/>
    <cellStyle name="_DPF_PC_PC Products_By Region" xfId="0"/>
    <cellStyle name="_DPF_PC_PC Products_CORP SG&amp;A" xfId="0"/>
    <cellStyle name="_DPF_PC_PC Products_LCD" xfId="0"/>
    <cellStyle name="_DPF_PC_PC Products_PJ" xfId="0"/>
    <cellStyle name="_DPF_PC_TV" xfId="0"/>
    <cellStyle name="_DPF_PC_TV 2" xfId="0"/>
    <cellStyle name="_DPF_PC_TV 3" xfId="0"/>
    <cellStyle name="_DPF_PC_TV 4" xfId="0"/>
    <cellStyle name="_DPF_PC_TV_By Region" xfId="0"/>
    <cellStyle name="_DPF_PC_TV_CORP SG&amp;A" xfId="0"/>
    <cellStyle name="_DPF_PC_TV_Digitizer" xfId="0"/>
    <cellStyle name="_DPF_PC_TV_GPS OTHER" xfId="0"/>
    <cellStyle name="_DPF_PC_TV_GPS OTHER 2" xfId="0"/>
    <cellStyle name="_DPF_PC_TV_GPS OTHER 3" xfId="0"/>
    <cellStyle name="_DPF_PC_TV_GPS OTHER 4" xfId="0"/>
    <cellStyle name="_DPF_PC_TV_GPS OTHER 4 2" xfId="0"/>
    <cellStyle name="_DPF_PC_TV_GPS OTHER_By Region" xfId="0"/>
    <cellStyle name="_DPF_PC_TV_GPS OTHER_CORP SG&amp;A" xfId="0"/>
    <cellStyle name="_DPF_PC_TV_GPS OTHER_LCD" xfId="0"/>
    <cellStyle name="_DPF_PC_TV_GPS OTHER_PJ" xfId="0"/>
    <cellStyle name="_DPF_PC_TV_LCD" xfId="0"/>
    <cellStyle name="_DPF_PC_TV_LCD 2" xfId="0"/>
    <cellStyle name="_DPF_PC_TV_LCD 3" xfId="0"/>
    <cellStyle name="_DPF_PC_TV_LCD 4" xfId="0"/>
    <cellStyle name="_DPF_PC_TV_LCD_By Region" xfId="0"/>
    <cellStyle name="_DPF_PC_TV_LCD_CORP SG&amp;A" xfId="0"/>
    <cellStyle name="_DPF_PC_TV_LCD_LCD" xfId="0"/>
    <cellStyle name="_DPF_PC_TV_LCD_PJ" xfId="0"/>
    <cellStyle name="_DPF_PC_TV_lightling" xfId="0"/>
    <cellStyle name="_DPF_PC_TV_lightling 2" xfId="0"/>
    <cellStyle name="_DPF_PC_TV_lightling_By Region" xfId="0"/>
    <cellStyle name="_DPF_PC_TV_lightling_CORP SG&amp;A" xfId="0"/>
    <cellStyle name="_DPF_PC_TV_PC Products" xfId="0"/>
    <cellStyle name="_DPF_PC_TV_PC Products 2" xfId="0"/>
    <cellStyle name="_DPF_PC_TV_PC Products 3" xfId="0"/>
    <cellStyle name="_DPF_PC_TV_PC Products 4" xfId="0"/>
    <cellStyle name="_DPF_PC_TV_PC Products 4 2" xfId="0"/>
    <cellStyle name="_DPF_PC_TV_PC Products_By Region" xfId="0"/>
    <cellStyle name="_DPF_PC_TV_PC Products_CORP SG&amp;A" xfId="0"/>
    <cellStyle name="_DPF_PC_TV_PC Products_LCD" xfId="0"/>
    <cellStyle name="_DPF_PC_TV_PC Products_PJ" xfId="0"/>
    <cellStyle name="_DPF_PC_TV_VSA 111014" xfId="0"/>
    <cellStyle name="_DPF_PC_TV_VSA 111014 2" xfId="0"/>
    <cellStyle name="_DPF_PC_TV_VSA 111014 3" xfId="0"/>
    <cellStyle name="_DPF_PC_TV_VSA 111014 4" xfId="0"/>
    <cellStyle name="_DPF_PC_TV_VSA 111014 4 2" xfId="0"/>
    <cellStyle name="_DPF_PC_TV_VSA 111014_By Region" xfId="0"/>
    <cellStyle name="_DPF_PC_TV_VSA 111014_CORP SG&amp;A" xfId="0"/>
    <cellStyle name="_DPF_PC_TV_VSA 111014_LCD" xfId="0"/>
    <cellStyle name="_DPF_PC_TV_VSA 111014_PJ" xfId="0"/>
    <cellStyle name="_DPF_PC_TV_VSA Roll-Up (LW)" xfId="0"/>
    <cellStyle name="_DPF_PC_TV_VSA Roll-Up (LW) 2" xfId="0"/>
    <cellStyle name="_DPF_PC_TV_VSA Roll-Up (LW) 3" xfId="0"/>
    <cellStyle name="_DPF_PC_TV_VSA Roll-Up (LW) 4" xfId="0"/>
    <cellStyle name="_DPF_PC_TV_VSA Roll-Up (LW) 4 2" xfId="0"/>
    <cellStyle name="_DPF_PC_TV_VSA Roll-Up (LW)_By Region" xfId="0"/>
    <cellStyle name="_DPF_PC_TV_VSA Roll-Up (LW)_CORP SG&amp;A" xfId="0"/>
    <cellStyle name="_DPF_PC_TV_VSA Roll-Up (LW)_LCD" xfId="0"/>
    <cellStyle name="_DPF_PC_TV_VSA Roll-Up (LW)_PJ" xfId="0"/>
    <cellStyle name="_DPF_PC_VSA 111014" xfId="0"/>
    <cellStyle name="_DPF_PC_VSA 111014 2" xfId="0"/>
    <cellStyle name="_DPF_PC_VSA 111014 3" xfId="0"/>
    <cellStyle name="_DPF_PC_VSA 111014 4" xfId="0"/>
    <cellStyle name="_DPF_PC_VSA 111014 4 2" xfId="0"/>
    <cellStyle name="_DPF_PC_VSA 111014_By Region" xfId="0"/>
    <cellStyle name="_DPF_PC_VSA 111014_CORP SG&amp;A" xfId="0"/>
    <cellStyle name="_DPF_PC_VSA 111014_LCD" xfId="0"/>
    <cellStyle name="_DPF_PC_VSA 111014_PJ" xfId="0"/>
    <cellStyle name="_DPF_PC_VSA Roll-Up (LW)" xfId="0"/>
    <cellStyle name="_DPF_PC_VSA Roll-Up (LW) 2" xfId="0"/>
    <cellStyle name="_DPF_PC_VSA Roll-Up (LW) 3" xfId="0"/>
    <cellStyle name="_DPF_PC_VSA Roll-Up (LW) 4" xfId="0"/>
    <cellStyle name="_DPF_PC_VSA Roll-Up (LW) 4 2" xfId="0"/>
    <cellStyle name="_DPF_PC_VSA Roll-Up (LW)_By Region" xfId="0"/>
    <cellStyle name="_DPF_PC_VSA Roll-Up (LW)_CORP SG&amp;A" xfId="0"/>
    <cellStyle name="_DPF_PC_VSA Roll-Up (LW)_LCD" xfId="0"/>
    <cellStyle name="_DPF_PC_VSA Roll-Up (LW)_PJ" xfId="0"/>
    <cellStyle name="_DPF_PJ" xfId="0"/>
    <cellStyle name="_DPF_PJ 2" xfId="0"/>
    <cellStyle name="_DPF_PJ 3" xfId="0"/>
    <cellStyle name="_DPF_PJ 4" xfId="0"/>
    <cellStyle name="_DPF_PJ_By Region" xfId="0"/>
    <cellStyle name="_DPF_PJ_CORP SG&amp;A" xfId="0"/>
    <cellStyle name="_DPF_PJ_Digitizer" xfId="0"/>
    <cellStyle name="_DPF_PJ_GPS OTHER" xfId="0"/>
    <cellStyle name="_DPF_PJ_GPS OTHER 2" xfId="0"/>
    <cellStyle name="_DPF_PJ_GPS OTHER 3" xfId="0"/>
    <cellStyle name="_DPF_PJ_GPS OTHER 4" xfId="0"/>
    <cellStyle name="_DPF_PJ_GPS OTHER 4 2" xfId="0"/>
    <cellStyle name="_DPF_PJ_GPS OTHER_By Region" xfId="0"/>
    <cellStyle name="_DPF_PJ_GPS OTHER_CORP SG&amp;A" xfId="0"/>
    <cellStyle name="_DPF_PJ_GPS OTHER_LCD" xfId="0"/>
    <cellStyle name="_DPF_PJ_GPS OTHER_PJ" xfId="0"/>
    <cellStyle name="_DPF_PJ_LCD" xfId="0"/>
    <cellStyle name="_DPF_PJ_LCD 2" xfId="0"/>
    <cellStyle name="_DPF_PJ_LCD 3" xfId="0"/>
    <cellStyle name="_DPF_PJ_LCD 4" xfId="0"/>
    <cellStyle name="_DPF_PJ_LCD_By Region" xfId="0"/>
    <cellStyle name="_DPF_PJ_LCD_CORP SG&amp;A" xfId="0"/>
    <cellStyle name="_DPF_PJ_LCD_LCD" xfId="0"/>
    <cellStyle name="_DPF_PJ_LCD_PJ" xfId="0"/>
    <cellStyle name="_DPF_PJ_lightling" xfId="0"/>
    <cellStyle name="_DPF_PJ_lightling 2" xfId="0"/>
    <cellStyle name="_DPF_PJ_lightling_By Region" xfId="0"/>
    <cellStyle name="_DPF_PJ_lightling_CORP SG&amp;A" xfId="0"/>
    <cellStyle name="_DPF_PJ_PC Products" xfId="0"/>
    <cellStyle name="_DPF_PJ_PC Products 2" xfId="0"/>
    <cellStyle name="_DPF_PJ_PC Products 3" xfId="0"/>
    <cellStyle name="_DPF_PJ_PC Products 4" xfId="0"/>
    <cellStyle name="_DPF_PJ_PC Products 4 2" xfId="0"/>
    <cellStyle name="_DPF_PJ_PC Products_By Region" xfId="0"/>
    <cellStyle name="_DPF_PJ_PC Products_CORP SG&amp;A" xfId="0"/>
    <cellStyle name="_DPF_PJ_PC Products_LCD" xfId="0"/>
    <cellStyle name="_DPF_PJ_PC Products_PJ" xfId="0"/>
    <cellStyle name="_DPF_PJ_VSA 111014" xfId="0"/>
    <cellStyle name="_DPF_PJ_VSA 111014 2" xfId="0"/>
    <cellStyle name="_DPF_PJ_VSA 111014 3" xfId="0"/>
    <cellStyle name="_DPF_PJ_VSA 111014 4" xfId="0"/>
    <cellStyle name="_DPF_PJ_VSA 111014 4 2" xfId="0"/>
    <cellStyle name="_DPF_PJ_VSA 111014_By Region" xfId="0"/>
    <cellStyle name="_DPF_PJ_VSA 111014_CORP SG&amp;A" xfId="0"/>
    <cellStyle name="_DPF_PJ_VSA 111014_LCD" xfId="0"/>
    <cellStyle name="_DPF_PJ_VSA 111014_PJ" xfId="0"/>
    <cellStyle name="_DPF_PJ_VSA Roll-Up (LW)" xfId="0"/>
    <cellStyle name="_DPF_PJ_VSA Roll-Up (LW) 2" xfId="0"/>
    <cellStyle name="_DPF_PJ_VSA Roll-Up (LW) 3" xfId="0"/>
    <cellStyle name="_DPF_PJ_VSA Roll-Up (LW) 4" xfId="0"/>
    <cellStyle name="_DPF_PJ_VSA Roll-Up (LW) 4 2" xfId="0"/>
    <cellStyle name="_DPF_PJ_VSA Roll-Up (LW)_By Region" xfId="0"/>
    <cellStyle name="_DPF_PJ_VSA Roll-Up (LW)_CORP SG&amp;A" xfId="0"/>
    <cellStyle name="_DPF_PJ_VSA Roll-Up (LW)_LCD" xfId="0"/>
    <cellStyle name="_DPF_PJ_VSA Roll-Up (LW)_PJ" xfId="0"/>
    <cellStyle name="_DPF_PMP(VPD)" xfId="0"/>
    <cellStyle name="_DPF_PMP(VPD) 2" xfId="0"/>
    <cellStyle name="_DPF_PMP(VPD) 3" xfId="0"/>
    <cellStyle name="_DPF_PMP(VPD) 4" xfId="0"/>
    <cellStyle name="_DPF_PMP(VPD)_By Region" xfId="0"/>
    <cellStyle name="_DPF_PMP(VPD)_CORP SG&amp;A" xfId="0"/>
    <cellStyle name="_DPF_PMP(VPD)_Digitizer" xfId="0"/>
    <cellStyle name="_DPF_PMP(VPD)_GPS OTHER" xfId="0"/>
    <cellStyle name="_DPF_PMP(VPD)_GPS OTHER 2" xfId="0"/>
    <cellStyle name="_DPF_PMP(VPD)_GPS OTHER 3" xfId="0"/>
    <cellStyle name="_DPF_PMP(VPD)_GPS OTHER 4" xfId="0"/>
    <cellStyle name="_DPF_PMP(VPD)_GPS OTHER 4 2" xfId="0"/>
    <cellStyle name="_DPF_PMP(VPD)_GPS OTHER_By Region" xfId="0"/>
    <cellStyle name="_DPF_PMP(VPD)_GPS OTHER_CORP SG&amp;A" xfId="0"/>
    <cellStyle name="_DPF_PMP(VPD)_GPS OTHER_LCD" xfId="0"/>
    <cellStyle name="_DPF_PMP(VPD)_GPS OTHER_PJ" xfId="0"/>
    <cellStyle name="_DPF_PMP(VPD)_LCD" xfId="0"/>
    <cellStyle name="_DPF_PMP(VPD)_LCD 2" xfId="0"/>
    <cellStyle name="_DPF_PMP(VPD)_LCD 3" xfId="0"/>
    <cellStyle name="_DPF_PMP(VPD)_LCD 4" xfId="0"/>
    <cellStyle name="_DPF_PMP(VPD)_LCD_By Region" xfId="0"/>
    <cellStyle name="_DPF_PMP(VPD)_LCD_CORP SG&amp;A" xfId="0"/>
    <cellStyle name="_DPF_PMP(VPD)_LCD_LCD" xfId="0"/>
    <cellStyle name="_DPF_PMP(VPD)_LCD_PJ" xfId="0"/>
    <cellStyle name="_DPF_PMP(VPD)_lightling" xfId="0"/>
    <cellStyle name="_DPF_PMP(VPD)_lightling 2" xfId="0"/>
    <cellStyle name="_DPF_PMP(VPD)_lightling_By Region" xfId="0"/>
    <cellStyle name="_DPF_PMP(VPD)_lightling_CORP SG&amp;A" xfId="0"/>
    <cellStyle name="_DPF_PMP(VPD)_PC Products" xfId="0"/>
    <cellStyle name="_DPF_PMP(VPD)_PC Products 2" xfId="0"/>
    <cellStyle name="_DPF_PMP(VPD)_PC Products 3" xfId="0"/>
    <cellStyle name="_DPF_PMP(VPD)_PC Products 4" xfId="0"/>
    <cellStyle name="_DPF_PMP(VPD)_PC Products 4 2" xfId="0"/>
    <cellStyle name="_DPF_PMP(VPD)_PC Products_By Region" xfId="0"/>
    <cellStyle name="_DPF_PMP(VPD)_PC Products_CORP SG&amp;A" xfId="0"/>
    <cellStyle name="_DPF_PMP(VPD)_PC Products_LCD" xfId="0"/>
    <cellStyle name="_DPF_PMP(VPD)_PC Products_PJ" xfId="0"/>
    <cellStyle name="_DPF_PMP(VPD)_VSA 111014" xfId="0"/>
    <cellStyle name="_DPF_PMP(VPD)_VSA 111014 2" xfId="0"/>
    <cellStyle name="_DPF_PMP(VPD)_VSA 111014 3" xfId="0"/>
    <cellStyle name="_DPF_PMP(VPD)_VSA 111014 4" xfId="0"/>
    <cellStyle name="_DPF_PMP(VPD)_VSA 111014 4 2" xfId="0"/>
    <cellStyle name="_DPF_PMP(VPD)_VSA 111014_By Region" xfId="0"/>
    <cellStyle name="_DPF_PMP(VPD)_VSA 111014_CORP SG&amp;A" xfId="0"/>
    <cellStyle name="_DPF_PMP(VPD)_VSA 111014_LCD" xfId="0"/>
    <cellStyle name="_DPF_PMP(VPD)_VSA 111014_PJ" xfId="0"/>
    <cellStyle name="_DPF_PMP(VPD)_VSA Roll-Up (LW)" xfId="0"/>
    <cellStyle name="_DPF_PMP(VPD)_VSA Roll-Up (LW) 2" xfId="0"/>
    <cellStyle name="_DPF_PMP(VPD)_VSA Roll-Up (LW) 3" xfId="0"/>
    <cellStyle name="_DPF_PMP(VPD)_VSA Roll-Up (LW) 4" xfId="0"/>
    <cellStyle name="_DPF_PMP(VPD)_VSA Roll-Up (LW) 4 2" xfId="0"/>
    <cellStyle name="_DPF_PMP(VPD)_VSA Roll-Up (LW)_By Region" xfId="0"/>
    <cellStyle name="_DPF_PMP(VPD)_VSA Roll-Up (LW)_CORP SG&amp;A" xfId="0"/>
    <cellStyle name="_DPF_PMP(VPD)_VSA Roll-Up (LW)_LCD" xfId="0"/>
    <cellStyle name="_DPF_PMP(VPD)_VSA Roll-Up (LW)_PJ" xfId="0"/>
    <cellStyle name="_DPF_Pocket TV" xfId="0"/>
    <cellStyle name="_DPF_Pocket TV 2" xfId="0"/>
    <cellStyle name="_DPF_Pocket TV 3" xfId="0"/>
    <cellStyle name="_DPF_Pocket TV 4" xfId="0"/>
    <cellStyle name="_DPF_Pocket TV_By Region" xfId="0"/>
    <cellStyle name="_DPF_Pocket TV_CORP SG&amp;A" xfId="0"/>
    <cellStyle name="_DPF_Pocket TV_Digitizer" xfId="0"/>
    <cellStyle name="_DPF_Pocket TV_GPS OTHER" xfId="0"/>
    <cellStyle name="_DPF_Pocket TV_GPS OTHER 2" xfId="0"/>
    <cellStyle name="_DPF_Pocket TV_GPS OTHER 3" xfId="0"/>
    <cellStyle name="_DPF_Pocket TV_GPS OTHER 4" xfId="0"/>
    <cellStyle name="_DPF_Pocket TV_GPS OTHER 4 2" xfId="0"/>
    <cellStyle name="_DPF_Pocket TV_GPS OTHER_By Region" xfId="0"/>
    <cellStyle name="_DPF_Pocket TV_GPS OTHER_CORP SG&amp;A" xfId="0"/>
    <cellStyle name="_DPF_Pocket TV_GPS OTHER_LCD" xfId="0"/>
    <cellStyle name="_DPF_Pocket TV_GPS OTHER_PJ" xfId="0"/>
    <cellStyle name="_DPF_Pocket TV_LCD" xfId="0"/>
    <cellStyle name="_DPF_Pocket TV_LCD 2" xfId="0"/>
    <cellStyle name="_DPF_Pocket TV_LCD 3" xfId="0"/>
    <cellStyle name="_DPF_Pocket TV_LCD 4" xfId="0"/>
    <cellStyle name="_DPF_Pocket TV_LCD_By Region" xfId="0"/>
    <cellStyle name="_DPF_Pocket TV_LCD_CORP SG&amp;A" xfId="0"/>
    <cellStyle name="_DPF_Pocket TV_LCD_LCD" xfId="0"/>
    <cellStyle name="_DPF_Pocket TV_LCD_PJ" xfId="0"/>
    <cellStyle name="_DPF_Pocket TV_lightling" xfId="0"/>
    <cellStyle name="_DPF_Pocket TV_lightling 2" xfId="0"/>
    <cellStyle name="_DPF_Pocket TV_lightling_By Region" xfId="0"/>
    <cellStyle name="_DPF_Pocket TV_lightling_CORP SG&amp;A" xfId="0"/>
    <cellStyle name="_DPF_Pocket TV_PC Products" xfId="0"/>
    <cellStyle name="_DPF_Pocket TV_PC Products 2" xfId="0"/>
    <cellStyle name="_DPF_Pocket TV_PC Products 3" xfId="0"/>
    <cellStyle name="_DPF_Pocket TV_PC Products 4" xfId="0"/>
    <cellStyle name="_DPF_Pocket TV_PC Products 4 2" xfId="0"/>
    <cellStyle name="_DPF_Pocket TV_PC Products_By Region" xfId="0"/>
    <cellStyle name="_DPF_Pocket TV_PC Products_CORP SG&amp;A" xfId="0"/>
    <cellStyle name="_DPF_Pocket TV_PC Products_LCD" xfId="0"/>
    <cellStyle name="_DPF_Pocket TV_PC Products_PJ" xfId="0"/>
    <cellStyle name="_DPF_Pocket TV_VSA 111014" xfId="0"/>
    <cellStyle name="_DPF_Pocket TV_VSA 111014 2" xfId="0"/>
    <cellStyle name="_DPF_Pocket TV_VSA 111014 3" xfId="0"/>
    <cellStyle name="_DPF_Pocket TV_VSA 111014 4" xfId="0"/>
    <cellStyle name="_DPF_Pocket TV_VSA 111014 4 2" xfId="0"/>
    <cellStyle name="_DPF_Pocket TV_VSA 111014_By Region" xfId="0"/>
    <cellStyle name="_DPF_Pocket TV_VSA 111014_CORP SG&amp;A" xfId="0"/>
    <cellStyle name="_DPF_Pocket TV_VSA 111014_LCD" xfId="0"/>
    <cellStyle name="_DPF_Pocket TV_VSA 111014_PJ" xfId="0"/>
    <cellStyle name="_DPF_Pocket TV_VSA Roll-Up (LW)" xfId="0"/>
    <cellStyle name="_DPF_Pocket TV_VSA Roll-Up (LW) 2" xfId="0"/>
    <cellStyle name="_DPF_Pocket TV_VSA Roll-Up (LW) 3" xfId="0"/>
    <cellStyle name="_DPF_Pocket TV_VSA Roll-Up (LW) 4" xfId="0"/>
    <cellStyle name="_DPF_Pocket TV_VSA Roll-Up (LW) 4 2" xfId="0"/>
    <cellStyle name="_DPF_Pocket TV_VSA Roll-Up (LW)_By Region" xfId="0"/>
    <cellStyle name="_DPF_Pocket TV_VSA Roll-Up (LW)_CORP SG&amp;A" xfId="0"/>
    <cellStyle name="_DPF_Pocket TV_VSA Roll-Up (LW)_LCD" xfId="0"/>
    <cellStyle name="_DPF_Pocket TV_VSA Roll-Up (LW)_PJ" xfId="0"/>
    <cellStyle name="_DPF_Pocket_TV" xfId="0"/>
    <cellStyle name="_DPF_Pocket_TV 2" xfId="0"/>
    <cellStyle name="_DPF_Pocket_TV 3" xfId="0"/>
    <cellStyle name="_DPF_Pocket_TV 4" xfId="0"/>
    <cellStyle name="_DPF_Pocket_TV_By Region" xfId="0"/>
    <cellStyle name="_DPF_Pocket_TV_CORP SG&amp;A" xfId="0"/>
    <cellStyle name="_DPF_Pocket_TV_Digitizer" xfId="0"/>
    <cellStyle name="_DPF_Pocket_TV_GPS OTHER" xfId="0"/>
    <cellStyle name="_DPF_Pocket_TV_GPS OTHER 2" xfId="0"/>
    <cellStyle name="_DPF_Pocket_TV_GPS OTHER 3" xfId="0"/>
    <cellStyle name="_DPF_Pocket_TV_GPS OTHER 4" xfId="0"/>
    <cellStyle name="_DPF_Pocket_TV_GPS OTHER 4 2" xfId="0"/>
    <cellStyle name="_DPF_Pocket_TV_GPS OTHER_By Region" xfId="0"/>
    <cellStyle name="_DPF_Pocket_TV_GPS OTHER_CORP SG&amp;A" xfId="0"/>
    <cellStyle name="_DPF_Pocket_TV_GPS OTHER_LCD" xfId="0"/>
    <cellStyle name="_DPF_Pocket_TV_GPS OTHER_PJ" xfId="0"/>
    <cellStyle name="_DPF_Pocket_TV_LCD" xfId="0"/>
    <cellStyle name="_DPF_Pocket_TV_LCD 2" xfId="0"/>
    <cellStyle name="_DPF_Pocket_TV_LCD 3" xfId="0"/>
    <cellStyle name="_DPF_Pocket_TV_LCD 4" xfId="0"/>
    <cellStyle name="_DPF_Pocket_TV_LCD_By Region" xfId="0"/>
    <cellStyle name="_DPF_Pocket_TV_LCD_CORP SG&amp;A" xfId="0"/>
    <cellStyle name="_DPF_Pocket_TV_LCD_LCD" xfId="0"/>
    <cellStyle name="_DPF_Pocket_TV_LCD_PJ" xfId="0"/>
    <cellStyle name="_DPF_Pocket_TV_lightling" xfId="0"/>
    <cellStyle name="_DPF_Pocket_TV_lightling 2" xfId="0"/>
    <cellStyle name="_DPF_Pocket_TV_lightling_By Region" xfId="0"/>
    <cellStyle name="_DPF_Pocket_TV_lightling_CORP SG&amp;A" xfId="0"/>
    <cellStyle name="_DPF_Pocket_TV_PC Products" xfId="0"/>
    <cellStyle name="_DPF_Pocket_TV_PC Products 2" xfId="0"/>
    <cellStyle name="_DPF_Pocket_TV_PC Products 3" xfId="0"/>
    <cellStyle name="_DPF_Pocket_TV_PC Products 4" xfId="0"/>
    <cellStyle name="_DPF_Pocket_TV_PC Products 4 2" xfId="0"/>
    <cellStyle name="_DPF_Pocket_TV_PC Products_By Region" xfId="0"/>
    <cellStyle name="_DPF_Pocket_TV_PC Products_CORP SG&amp;A" xfId="0"/>
    <cellStyle name="_DPF_Pocket_TV_PC Products_LCD" xfId="0"/>
    <cellStyle name="_DPF_Pocket_TV_PC Products_PJ" xfId="0"/>
    <cellStyle name="_DPF_Pocket_TV_VSA 111014" xfId="0"/>
    <cellStyle name="_DPF_Pocket_TV_VSA 111014 2" xfId="0"/>
    <cellStyle name="_DPF_Pocket_TV_VSA 111014 3" xfId="0"/>
    <cellStyle name="_DPF_Pocket_TV_VSA 111014 4" xfId="0"/>
    <cellStyle name="_DPF_Pocket_TV_VSA 111014 4 2" xfId="0"/>
    <cellStyle name="_DPF_Pocket_TV_VSA 111014_By Region" xfId="0"/>
    <cellStyle name="_DPF_Pocket_TV_VSA 111014_CORP SG&amp;A" xfId="0"/>
    <cellStyle name="_DPF_Pocket_TV_VSA 111014_LCD" xfId="0"/>
    <cellStyle name="_DPF_Pocket_TV_VSA 111014_PJ" xfId="0"/>
    <cellStyle name="_DPF_Pocket_TV_VSA Roll-Up (LW)" xfId="0"/>
    <cellStyle name="_DPF_Pocket_TV_VSA Roll-Up (LW) 2" xfId="0"/>
    <cellStyle name="_DPF_Pocket_TV_VSA Roll-Up (LW) 3" xfId="0"/>
    <cellStyle name="_DPF_Pocket_TV_VSA Roll-Up (LW) 4" xfId="0"/>
    <cellStyle name="_DPF_Pocket_TV_VSA Roll-Up (LW) 4 2" xfId="0"/>
    <cellStyle name="_DPF_Pocket_TV_VSA Roll-Up (LW)_By Region" xfId="0"/>
    <cellStyle name="_DPF_Pocket_TV_VSA Roll-Up (LW)_CORP SG&amp;A" xfId="0"/>
    <cellStyle name="_DPF_Pocket_TV_VSA Roll-Up (LW)_LCD" xfId="0"/>
    <cellStyle name="_DPF_Pocket_TV_VSA Roll-Up (LW)_PJ" xfId="0"/>
    <cellStyle name="_DPF_TV" xfId="0"/>
    <cellStyle name="_DPF_TV 2" xfId="0"/>
    <cellStyle name="_DPF_TV 3" xfId="0"/>
    <cellStyle name="_DPF_TV 4" xfId="0"/>
    <cellStyle name="_DPF_TV_By Region" xfId="0"/>
    <cellStyle name="_DPF_TV_CORP SG&amp;A" xfId="0"/>
    <cellStyle name="_DPF_TV_Digitizer" xfId="0"/>
    <cellStyle name="_DPF_TV_GPS OTHER" xfId="0"/>
    <cellStyle name="_DPF_TV_GPS OTHER 2" xfId="0"/>
    <cellStyle name="_DPF_TV_GPS OTHER 3" xfId="0"/>
    <cellStyle name="_DPF_TV_GPS OTHER 4" xfId="0"/>
    <cellStyle name="_DPF_TV_GPS OTHER 4 2" xfId="0"/>
    <cellStyle name="_DPF_TV_GPS OTHER_By Region" xfId="0"/>
    <cellStyle name="_DPF_TV_GPS OTHER_CORP SG&amp;A" xfId="0"/>
    <cellStyle name="_DPF_TV_GPS OTHER_LCD" xfId="0"/>
    <cellStyle name="_DPF_TV_GPS OTHER_PJ" xfId="0"/>
    <cellStyle name="_DPF_TV_LCD" xfId="0"/>
    <cellStyle name="_DPF_TV_LCD 2" xfId="0"/>
    <cellStyle name="_DPF_TV_LCD 3" xfId="0"/>
    <cellStyle name="_DPF_TV_LCD 4" xfId="0"/>
    <cellStyle name="_DPF_TV_LCD_By Region" xfId="0"/>
    <cellStyle name="_DPF_TV_LCD_CORP SG&amp;A" xfId="0"/>
    <cellStyle name="_DPF_TV_LCD_LCD" xfId="0"/>
    <cellStyle name="_DPF_TV_LCD_PJ" xfId="0"/>
    <cellStyle name="_DPF_TV_lightling" xfId="0"/>
    <cellStyle name="_DPF_TV_lightling 2" xfId="0"/>
    <cellStyle name="_DPF_TV_lightling_By Region" xfId="0"/>
    <cellStyle name="_DPF_TV_lightling_CORP SG&amp;A" xfId="0"/>
    <cellStyle name="_DPF_TV_PC Products" xfId="0"/>
    <cellStyle name="_DPF_TV_PC Products 2" xfId="0"/>
    <cellStyle name="_DPF_TV_PC Products 3" xfId="0"/>
    <cellStyle name="_DPF_TV_PC Products 4" xfId="0"/>
    <cellStyle name="_DPF_TV_PC Products 4 2" xfId="0"/>
    <cellStyle name="_DPF_TV_PC Products_By Region" xfId="0"/>
    <cellStyle name="_DPF_TV_PC Products_CORP SG&amp;A" xfId="0"/>
    <cellStyle name="_DPF_TV_PC Products_LCD" xfId="0"/>
    <cellStyle name="_DPF_TV_PC Products_PJ" xfId="0"/>
    <cellStyle name="_DPF_TV_VSA 111014" xfId="0"/>
    <cellStyle name="_DPF_TV_VSA 111014 2" xfId="0"/>
    <cellStyle name="_DPF_TV_VSA 111014 3" xfId="0"/>
    <cellStyle name="_DPF_TV_VSA 111014 4" xfId="0"/>
    <cellStyle name="_DPF_TV_VSA 111014 4 2" xfId="0"/>
    <cellStyle name="_DPF_TV_VSA 111014_By Region" xfId="0"/>
    <cellStyle name="_DPF_TV_VSA 111014_CORP SG&amp;A" xfId="0"/>
    <cellStyle name="_DPF_TV_VSA 111014_LCD" xfId="0"/>
    <cellStyle name="_DPF_TV_VSA 111014_PJ" xfId="0"/>
    <cellStyle name="_DPF_TV_VSA Roll-Up (LW)" xfId="0"/>
    <cellStyle name="_DPF_TV_VSA Roll-Up (LW) 2" xfId="0"/>
    <cellStyle name="_DPF_TV_VSA Roll-Up (LW) 3" xfId="0"/>
    <cellStyle name="_DPF_TV_VSA Roll-Up (LW) 4" xfId="0"/>
    <cellStyle name="_DPF_TV_VSA Roll-Up (LW) 4 2" xfId="0"/>
    <cellStyle name="_DPF_TV_VSA Roll-Up (LW)_By Region" xfId="0"/>
    <cellStyle name="_DPF_TV_VSA Roll-Up (LW)_CORP SG&amp;A" xfId="0"/>
    <cellStyle name="_DPF_TV_VSA Roll-Up (LW)_LCD" xfId="0"/>
    <cellStyle name="_DPF_TV_VSA Roll-Up (LW)_PJ" xfId="0"/>
    <cellStyle name="_DPF_VD" xfId="0"/>
    <cellStyle name="_DPF_VD 2" xfId="0"/>
    <cellStyle name="_DPF_VD 3" xfId="0"/>
    <cellStyle name="_DPF_VD 4" xfId="0"/>
    <cellStyle name="_DPF_VD_By Region" xfId="0"/>
    <cellStyle name="_DPF_VD_CORP SG&amp;A" xfId="0"/>
    <cellStyle name="_DPF_VD_Digitizer" xfId="0"/>
    <cellStyle name="_DPF_VD_GPS OTHER" xfId="0"/>
    <cellStyle name="_DPF_VD_GPS OTHER 2" xfId="0"/>
    <cellStyle name="_DPF_VD_GPS OTHER 3" xfId="0"/>
    <cellStyle name="_DPF_VD_GPS OTHER 4" xfId="0"/>
    <cellStyle name="_DPF_VD_GPS OTHER 4 2" xfId="0"/>
    <cellStyle name="_DPF_VD_GPS OTHER_By Region" xfId="0"/>
    <cellStyle name="_DPF_VD_GPS OTHER_CORP SG&amp;A" xfId="0"/>
    <cellStyle name="_DPF_VD_GPS OTHER_LCD" xfId="0"/>
    <cellStyle name="_DPF_VD_GPS OTHER_PJ" xfId="0"/>
    <cellStyle name="_DPF_VD_LCD" xfId="0"/>
    <cellStyle name="_DPF_VD_LCD 2" xfId="0"/>
    <cellStyle name="_DPF_VD_LCD 3" xfId="0"/>
    <cellStyle name="_DPF_VD_LCD 4" xfId="0"/>
    <cellStyle name="_DPF_VD_LCD_By Region" xfId="0"/>
    <cellStyle name="_DPF_VD_LCD_CORP SG&amp;A" xfId="0"/>
    <cellStyle name="_DPF_VD_LCD_LCD" xfId="0"/>
    <cellStyle name="_DPF_VD_LCD_PJ" xfId="0"/>
    <cellStyle name="_DPF_VD_lightling" xfId="0"/>
    <cellStyle name="_DPF_VD_lightling 2" xfId="0"/>
    <cellStyle name="_DPF_VD_lightling_By Region" xfId="0"/>
    <cellStyle name="_DPF_VD_lightling_CORP SG&amp;A" xfId="0"/>
    <cellStyle name="_DPF_VD_PC Products" xfId="0"/>
    <cellStyle name="_DPF_VD_PC Products 2" xfId="0"/>
    <cellStyle name="_DPF_VD_PC Products 3" xfId="0"/>
    <cellStyle name="_DPF_VD_PC Products 4" xfId="0"/>
    <cellStyle name="_DPF_VD_PC Products 4 2" xfId="0"/>
    <cellStyle name="_DPF_VD_PC Products_By Region" xfId="0"/>
    <cellStyle name="_DPF_VD_PC Products_CORP SG&amp;A" xfId="0"/>
    <cellStyle name="_DPF_VD_PC Products_LCD" xfId="0"/>
    <cellStyle name="_DPF_VD_PC Products_PJ" xfId="0"/>
    <cellStyle name="_DPF_VD_VSA 111014" xfId="0"/>
    <cellStyle name="_DPF_VD_VSA 111014 2" xfId="0"/>
    <cellStyle name="_DPF_VD_VSA 111014 3" xfId="0"/>
    <cellStyle name="_DPF_VD_VSA 111014 4" xfId="0"/>
    <cellStyle name="_DPF_VD_VSA 111014 4 2" xfId="0"/>
    <cellStyle name="_DPF_VD_VSA 111014_By Region" xfId="0"/>
    <cellStyle name="_DPF_VD_VSA 111014_CORP SG&amp;A" xfId="0"/>
    <cellStyle name="_DPF_VD_VSA 111014_LCD" xfId="0"/>
    <cellStyle name="_DPF_VD_VSA 111014_PJ" xfId="0"/>
    <cellStyle name="_DPF_VD_VSA Roll-Up (LW)" xfId="0"/>
    <cellStyle name="_DPF_VD_VSA Roll-Up (LW) 2" xfId="0"/>
    <cellStyle name="_DPF_VD_VSA Roll-Up (LW) 3" xfId="0"/>
    <cellStyle name="_DPF_VD_VSA Roll-Up (LW) 4" xfId="0"/>
    <cellStyle name="_DPF_VD_VSA Roll-Up (LW) 4 2" xfId="0"/>
    <cellStyle name="_DPF_VD_VSA Roll-Up (LW)_By Region" xfId="0"/>
    <cellStyle name="_DPF_VD_VSA Roll-Up (LW)_CORP SG&amp;A" xfId="0"/>
    <cellStyle name="_DPF_VD_VSA Roll-Up (LW)_LCD" xfId="0"/>
    <cellStyle name="_DPF_VD_VSA Roll-Up (LW)_PJ" xfId="0"/>
    <cellStyle name="_DPF_VSA 111014" xfId="0"/>
    <cellStyle name="_DPF_VSA 111014 2" xfId="0"/>
    <cellStyle name="_DPF_VSA 111014 3" xfId="0"/>
    <cellStyle name="_DPF_VSA 111014 4" xfId="0"/>
    <cellStyle name="_DPF_VSA 111014 4 2" xfId="0"/>
    <cellStyle name="_DPF_VSA 111014_By Region" xfId="0"/>
    <cellStyle name="_DPF_VSA 111014_CORP SG&amp;A" xfId="0"/>
    <cellStyle name="_DPF_VSA 111014_LCD" xfId="0"/>
    <cellStyle name="_DPF_VSA 111014_PJ" xfId="0"/>
    <cellStyle name="_DPF_VSA Roll-Up (LW)" xfId="0"/>
    <cellStyle name="_DPF_VSA Roll-Up (LW) 2" xfId="0"/>
    <cellStyle name="_DPF_VSA Roll-Up (LW) 3" xfId="0"/>
    <cellStyle name="_DPF_VSA Roll-Up (LW) 4" xfId="0"/>
    <cellStyle name="_DPF_VSA Roll-Up (LW) 4 2" xfId="0"/>
    <cellStyle name="_DPF_VSA Roll-Up (LW)_By Region" xfId="0"/>
    <cellStyle name="_DPF_VSA Roll-Up (LW)_CORP SG&amp;A" xfId="0"/>
    <cellStyle name="_DPF_VSA Roll-Up (LW)_LCD" xfId="0"/>
    <cellStyle name="_DPF_VSA Roll-Up (LW)_PJ" xfId="0"/>
    <cellStyle name="_DPF_VSE 2011 Budget" xfId="0"/>
    <cellStyle name="_DPF_VSE 2011 Budget 2" xfId="0"/>
    <cellStyle name="_DPF_VSE 2011 Budget 3" xfId="0"/>
    <cellStyle name="_DPF_VSE 2011 Budget 4" xfId="0"/>
    <cellStyle name="_DPF_VSE 2011 Budget_By Region" xfId="0"/>
    <cellStyle name="_DPF_VSE 2011 Budget_CORP SG&amp;A" xfId="0"/>
    <cellStyle name="_DPF_VSE 2011 Budget_Digitizer" xfId="0"/>
    <cellStyle name="_DPF_VSE 2011 Budget_GPS OTHER" xfId="0"/>
    <cellStyle name="_DPF_VSE 2011 Budget_GPS OTHER 2" xfId="0"/>
    <cellStyle name="_DPF_VSE 2011 Budget_GPS OTHER 3" xfId="0"/>
    <cellStyle name="_DPF_VSE 2011 Budget_GPS OTHER 4" xfId="0"/>
    <cellStyle name="_DPF_VSE 2011 Budget_GPS OTHER 4 2" xfId="0"/>
    <cellStyle name="_DPF_VSE 2011 Budget_GPS OTHER_By Region" xfId="0"/>
    <cellStyle name="_DPF_VSE 2011 Budget_GPS OTHER_CORP SG&amp;A" xfId="0"/>
    <cellStyle name="_DPF_VSE 2011 Budget_GPS OTHER_LCD" xfId="0"/>
    <cellStyle name="_DPF_VSE 2011 Budget_GPS OTHER_PJ" xfId="0"/>
    <cellStyle name="_DPF_VSE 2011 Budget_LCD" xfId="0"/>
    <cellStyle name="_DPF_VSE 2011 Budget_LCD 2" xfId="0"/>
    <cellStyle name="_DPF_VSE 2011 Budget_LCD 3" xfId="0"/>
    <cellStyle name="_DPF_VSE 2011 Budget_LCD 4" xfId="0"/>
    <cellStyle name="_DPF_VSE 2011 Budget_LCD_By Region" xfId="0"/>
    <cellStyle name="_DPF_VSE 2011 Budget_LCD_CORP SG&amp;A" xfId="0"/>
    <cellStyle name="_DPF_VSE 2011 Budget_LCD_LCD" xfId="0"/>
    <cellStyle name="_DPF_VSE 2011 Budget_LCD_PJ" xfId="0"/>
    <cellStyle name="_DPF_VSE 2011 Budget_lightling" xfId="0"/>
    <cellStyle name="_DPF_VSE 2011 Budget_lightling 2" xfId="0"/>
    <cellStyle name="_DPF_VSE 2011 Budget_lightling_By Region" xfId="0"/>
    <cellStyle name="_DPF_VSE 2011 Budget_lightling_CORP SG&amp;A" xfId="0"/>
    <cellStyle name="_DPF_VSE 2011 Budget_PC Products" xfId="0"/>
    <cellStyle name="_DPF_VSE 2011 Budget_PC Products 2" xfId="0"/>
    <cellStyle name="_DPF_VSE 2011 Budget_PC Products 3" xfId="0"/>
    <cellStyle name="_DPF_VSE 2011 Budget_PC Products 4" xfId="0"/>
    <cellStyle name="_DPF_VSE 2011 Budget_PC Products 4 2" xfId="0"/>
    <cellStyle name="_DPF_VSE 2011 Budget_PC Products_By Region" xfId="0"/>
    <cellStyle name="_DPF_VSE 2011 Budget_PC Products_CORP SG&amp;A" xfId="0"/>
    <cellStyle name="_DPF_VSE 2011 Budget_PC Products_LCD" xfId="0"/>
    <cellStyle name="_DPF_VSE 2011 Budget_PC Products_PJ" xfId="0"/>
    <cellStyle name="_DPF_VSE 2011 Budget_VSA 111014" xfId="0"/>
    <cellStyle name="_DPF_VSE 2011 Budget_VSA 111014 2" xfId="0"/>
    <cellStyle name="_DPF_VSE 2011 Budget_VSA 111014 3" xfId="0"/>
    <cellStyle name="_DPF_VSE 2011 Budget_VSA 111014 4" xfId="0"/>
    <cellStyle name="_DPF_VSE 2011 Budget_VSA 111014 4 2" xfId="0"/>
    <cellStyle name="_DPF_VSE 2011 Budget_VSA 111014_By Region" xfId="0"/>
    <cellStyle name="_DPF_VSE 2011 Budget_VSA 111014_CORP SG&amp;A" xfId="0"/>
    <cellStyle name="_DPF_VSE 2011 Budget_VSA 111014_LCD" xfId="0"/>
    <cellStyle name="_DPF_VSE 2011 Budget_VSA 111014_PJ" xfId="0"/>
    <cellStyle name="_DPF_VSE 2011 Budget_VSA Roll-Up (LW)" xfId="0"/>
    <cellStyle name="_DPF_VSE 2011 Budget_VSA Roll-Up (LW) 2" xfId="0"/>
    <cellStyle name="_DPF_VSE 2011 Budget_VSA Roll-Up (LW) 3" xfId="0"/>
    <cellStyle name="_DPF_VSE 2011 Budget_VSA Roll-Up (LW) 4" xfId="0"/>
    <cellStyle name="_DPF_VSE 2011 Budget_VSA Roll-Up (LW) 4 2" xfId="0"/>
    <cellStyle name="_DPF_VSE 2011 Budget_VSA Roll-Up (LW)_By Region" xfId="0"/>
    <cellStyle name="_DPF_VSE 2011 Budget_VSA Roll-Up (LW)_CORP SG&amp;A" xfId="0"/>
    <cellStyle name="_DPF_VSE 2011 Budget_VSA Roll-Up (LW)_LCD" xfId="0"/>
    <cellStyle name="_DPF_VSE 2011 Budget_VSA Roll-Up (LW)_PJ" xfId="0"/>
    <cellStyle name="_DPF_VSE 2H  WFP review (Spring Global meeting)-conservative Adam working v3" xfId="0"/>
    <cellStyle name="_DPF_VSE 2H  WFP review (Spring Global meeting)-conservative Adam working v3 2" xfId="0"/>
    <cellStyle name="_DPF_VSE 2H  WFP review (Spring Global meeting)-conservative Adam working v3 3" xfId="0"/>
    <cellStyle name="_DPF_VSE 2H Rebalance 110712" xfId="0"/>
    <cellStyle name="_DPF_VSE 2H Rebalance 110712 2" xfId="0"/>
    <cellStyle name="_DPF_VSE 2H Rebalance 110712 3" xfId="0"/>
    <cellStyle name="_DPF_VSE 2H Rebalance 110712 4" xfId="0"/>
    <cellStyle name="_DPF_VSE 2H Rebalance 110712_By Region" xfId="0"/>
    <cellStyle name="_DPF_VSE 2H Rebalance 110712_CORP SG&amp;A" xfId="0"/>
    <cellStyle name="_DPF_VSE WFP 101203" xfId="0"/>
    <cellStyle name="_DPF_VSE WFP 101203 2" xfId="0"/>
    <cellStyle name="_DPF_VSE WFP 101203 3" xfId="0"/>
    <cellStyle name="_DPF_VSE WFP 101203 4" xfId="0"/>
    <cellStyle name="_DPF_VSE WFP 101203_By Region" xfId="0"/>
    <cellStyle name="_DPF_VSE WFP 101203_CORP SG&amp;A" xfId="0"/>
    <cellStyle name="_DPF_VSE WFP 110311" xfId="0"/>
    <cellStyle name="_DPF_VSE WFP 110311 2" xfId="0"/>
    <cellStyle name="_DPF_VSE WFP 110311 3" xfId="0"/>
    <cellStyle name="_DPF_VSE WFP 110311 4" xfId="0"/>
    <cellStyle name="_DPF_VSE WFP 110311_By Region" xfId="0"/>
    <cellStyle name="_DPF_VSE WFP 110311_CORP SG&amp;A" xfId="0"/>
    <cellStyle name="_DPF_VSE WFP 110415" xfId="0"/>
    <cellStyle name="_DPF_VSE WFP 110415 2" xfId="0"/>
    <cellStyle name="_DPF_VSE WFP 110415 3" xfId="0"/>
    <cellStyle name="_DPF_VSE WFP 110415 4" xfId="0"/>
    <cellStyle name="_DPF_VSE WFP 110415_By Region" xfId="0"/>
    <cellStyle name="_DPF_VSE WFP 110415_CORP SG&amp;A" xfId="0"/>
    <cellStyle name="_DPF_VSE WFP_100409" xfId="0"/>
    <cellStyle name="_DPF_VSE WFP_100409 2" xfId="0"/>
    <cellStyle name="_DPF_VSE WFP_100409 3" xfId="0"/>
    <cellStyle name="_DPF_VSE WFP_100409 4" xfId="0"/>
    <cellStyle name="_DPF_VSE WFP_100409_By Region" xfId="0"/>
    <cellStyle name="_DPF_VSE WFP_100409_CORP SG&amp;A" xfId="0"/>
    <cellStyle name="_DPF_VSE WFP_100409_Digitizer" xfId="0"/>
    <cellStyle name="_DPF_VSE WFP_100409_GPS OTHER" xfId="0"/>
    <cellStyle name="_DPF_VSE WFP_100409_GPS OTHER 2" xfId="0"/>
    <cellStyle name="_DPF_VSE WFP_100409_GPS OTHER 3" xfId="0"/>
    <cellStyle name="_DPF_VSE WFP_100409_GPS OTHER 4" xfId="0"/>
    <cellStyle name="_DPF_VSE WFP_100409_GPS OTHER 4 2" xfId="0"/>
    <cellStyle name="_DPF_VSE WFP_100409_GPS OTHER_By Region" xfId="0"/>
    <cellStyle name="_DPF_VSE WFP_100409_GPS OTHER_CORP SG&amp;A" xfId="0"/>
    <cellStyle name="_DPF_VSE WFP_100409_GPS OTHER_LCD" xfId="0"/>
    <cellStyle name="_DPF_VSE WFP_100409_GPS OTHER_PJ" xfId="0"/>
    <cellStyle name="_DPF_VSE WFP_100409_LCD" xfId="0"/>
    <cellStyle name="_DPF_VSE WFP_100409_LCD 2" xfId="0"/>
    <cellStyle name="_DPF_VSE WFP_100409_LCD 3" xfId="0"/>
    <cellStyle name="_DPF_VSE WFP_100409_LCD 4" xfId="0"/>
    <cellStyle name="_DPF_VSE WFP_100409_LCD_By Region" xfId="0"/>
    <cellStyle name="_DPF_VSE WFP_100409_LCD_CORP SG&amp;A" xfId="0"/>
    <cellStyle name="_DPF_VSE WFP_100409_LCD_LCD" xfId="0"/>
    <cellStyle name="_DPF_VSE WFP_100409_LCD_PJ" xfId="0"/>
    <cellStyle name="_DPF_VSE WFP_100409_lightling" xfId="0"/>
    <cellStyle name="_DPF_VSE WFP_100409_lightling 2" xfId="0"/>
    <cellStyle name="_DPF_VSE WFP_100409_lightling_By Region" xfId="0"/>
    <cellStyle name="_DPF_VSE WFP_100409_lightling_CORP SG&amp;A" xfId="0"/>
    <cellStyle name="_DPF_VSE WFP_100409_PC Products" xfId="0"/>
    <cellStyle name="_DPF_VSE WFP_100409_PC Products 2" xfId="0"/>
    <cellStyle name="_DPF_VSE WFP_100409_PC Products 3" xfId="0"/>
    <cellStyle name="_DPF_VSE WFP_100409_PC Products 4" xfId="0"/>
    <cellStyle name="_DPF_VSE WFP_100409_PC Products 4 2" xfId="0"/>
    <cellStyle name="_DPF_VSE WFP_100409_PC Products_By Region" xfId="0"/>
    <cellStyle name="_DPF_VSE WFP_100409_PC Products_CORP SG&amp;A" xfId="0"/>
    <cellStyle name="_DPF_VSE WFP_100409_PC Products_LCD" xfId="0"/>
    <cellStyle name="_DPF_VSE WFP_100409_PC Products_PJ" xfId="0"/>
    <cellStyle name="_DPF_VSE WFP_100409_VSA 111014" xfId="0"/>
    <cellStyle name="_DPF_VSE WFP_100409_VSA 111014 2" xfId="0"/>
    <cellStyle name="_DPF_VSE WFP_100409_VSA 111014 3" xfId="0"/>
    <cellStyle name="_DPF_VSE WFP_100409_VSA 111014 4" xfId="0"/>
    <cellStyle name="_DPF_VSE WFP_100409_VSA 111014 4 2" xfId="0"/>
    <cellStyle name="_DPF_VSE WFP_100409_VSA 111014_By Region" xfId="0"/>
    <cellStyle name="_DPF_VSE WFP_100409_VSA 111014_CORP SG&amp;A" xfId="0"/>
    <cellStyle name="_DPF_VSE WFP_100409_VSA 111014_LCD" xfId="0"/>
    <cellStyle name="_DPF_VSE WFP_100409_VSA 111014_PJ" xfId="0"/>
    <cellStyle name="_DPF_VSE WFP_100409_VSA Roll-Up (LW)" xfId="0"/>
    <cellStyle name="_DPF_VSE WFP_100409_VSA Roll-Up (LW) 2" xfId="0"/>
    <cellStyle name="_DPF_VSE WFP_100409_VSA Roll-Up (LW) 3" xfId="0"/>
    <cellStyle name="_DPF_VSE WFP_100409_VSA Roll-Up (LW) 4" xfId="0"/>
    <cellStyle name="_DPF_VSE WFP_100409_VSA Roll-Up (LW) 4 2" xfId="0"/>
    <cellStyle name="_DPF_VSE WFP_100409_VSA Roll-Up (LW)_By Region" xfId="0"/>
    <cellStyle name="_DPF_VSE WFP_100409_VSA Roll-Up (LW)_CORP SG&amp;A" xfId="0"/>
    <cellStyle name="_DPF_VSE WFP_100409_VSA Roll-Up (LW)_LCD" xfId="0"/>
    <cellStyle name="_DPF_VSE WFP_100409_VSA Roll-Up (LW)_PJ" xfId="0"/>
    <cellStyle name="_DPF_VSE WFP_100421 v2" xfId="0"/>
    <cellStyle name="_DPF_VSE WFP_100421 v2 2" xfId="0"/>
    <cellStyle name="_DPF_VSE WFP_100421 v2 3" xfId="0"/>
    <cellStyle name="_DPF_VSE WFP_100421 v2 4" xfId="0"/>
    <cellStyle name="_DPF_VSE WFP_100421 v2_By Region" xfId="0"/>
    <cellStyle name="_DPF_VSE WFP_100421 v2_CORP SG&amp;A" xfId="0"/>
    <cellStyle name="_DPF_VSE WFP_100421 v2_Digitizer" xfId="0"/>
    <cellStyle name="_DPF_VSE WFP_100421 v2_GPS OTHER" xfId="0"/>
    <cellStyle name="_DPF_VSE WFP_100421 v2_GPS OTHER 2" xfId="0"/>
    <cellStyle name="_DPF_VSE WFP_100421 v2_GPS OTHER 3" xfId="0"/>
    <cellStyle name="_DPF_VSE WFP_100421 v2_GPS OTHER 4" xfId="0"/>
    <cellStyle name="_DPF_VSE WFP_100421 v2_GPS OTHER 4 2" xfId="0"/>
    <cellStyle name="_DPF_VSE WFP_100421 v2_GPS OTHER_By Region" xfId="0"/>
    <cellStyle name="_DPF_VSE WFP_100421 v2_GPS OTHER_CORP SG&amp;A" xfId="0"/>
    <cellStyle name="_DPF_VSE WFP_100421 v2_GPS OTHER_LCD" xfId="0"/>
    <cellStyle name="_DPF_VSE WFP_100421 v2_GPS OTHER_PJ" xfId="0"/>
    <cellStyle name="_DPF_VSE WFP_100421 v2_LCD" xfId="0"/>
    <cellStyle name="_DPF_VSE WFP_100421 v2_LCD 2" xfId="0"/>
    <cellStyle name="_DPF_VSE WFP_100421 v2_LCD 3" xfId="0"/>
    <cellStyle name="_DPF_VSE WFP_100421 v2_LCD 4" xfId="0"/>
    <cellStyle name="_DPF_VSE WFP_100421 v2_LCD_By Region" xfId="0"/>
    <cellStyle name="_DPF_VSE WFP_100421 v2_LCD_CORP SG&amp;A" xfId="0"/>
    <cellStyle name="_DPF_VSE WFP_100421 v2_LCD_LCD" xfId="0"/>
    <cellStyle name="_DPF_VSE WFP_100421 v2_LCD_PJ" xfId="0"/>
    <cellStyle name="_DPF_VSE WFP_100421 v2_lightling" xfId="0"/>
    <cellStyle name="_DPF_VSE WFP_100421 v2_lightling 2" xfId="0"/>
    <cellStyle name="_DPF_VSE WFP_100421 v2_lightling_By Region" xfId="0"/>
    <cellStyle name="_DPF_VSE WFP_100421 v2_lightling_CORP SG&amp;A" xfId="0"/>
    <cellStyle name="_DPF_VSE WFP_100421 v2_PC Products" xfId="0"/>
    <cellStyle name="_DPF_VSE WFP_100421 v2_PC Products 2" xfId="0"/>
    <cellStyle name="_DPF_VSE WFP_100421 v2_PC Products 3" xfId="0"/>
    <cellStyle name="_DPF_VSE WFP_100421 v2_PC Products 4" xfId="0"/>
    <cellStyle name="_DPF_VSE WFP_100421 v2_PC Products 4 2" xfId="0"/>
    <cellStyle name="_DPF_VSE WFP_100421 v2_PC Products_By Region" xfId="0"/>
    <cellStyle name="_DPF_VSE WFP_100421 v2_PC Products_CORP SG&amp;A" xfId="0"/>
    <cellStyle name="_DPF_VSE WFP_100421 v2_PC Products_LCD" xfId="0"/>
    <cellStyle name="_DPF_VSE WFP_100421 v2_PC Products_PJ" xfId="0"/>
    <cellStyle name="_DPF_VSE WFP_100421 v2_VSA 111014" xfId="0"/>
    <cellStyle name="_DPF_VSE WFP_100421 v2_VSA 111014 2" xfId="0"/>
    <cellStyle name="_DPF_VSE WFP_100421 v2_VSA 111014 3" xfId="0"/>
    <cellStyle name="_DPF_VSE WFP_100421 v2_VSA 111014 4" xfId="0"/>
    <cellStyle name="_DPF_VSE WFP_100421 v2_VSA 111014 4 2" xfId="0"/>
    <cellStyle name="_DPF_VSE WFP_100421 v2_VSA 111014_By Region" xfId="0"/>
    <cellStyle name="_DPF_VSE WFP_100421 v2_VSA 111014_CORP SG&amp;A" xfId="0"/>
    <cellStyle name="_DPF_VSE WFP_100421 v2_VSA 111014_LCD" xfId="0"/>
    <cellStyle name="_DPF_VSE WFP_100421 v2_VSA 111014_PJ" xfId="0"/>
    <cellStyle name="_DPF_VSE WFP_100421 v2_VSA Roll-Up (LW)" xfId="0"/>
    <cellStyle name="_DPF_VSE WFP_100421 v2_VSA Roll-Up (LW) 2" xfId="0"/>
    <cellStyle name="_DPF_VSE WFP_100421 v2_VSA Roll-Up (LW) 3" xfId="0"/>
    <cellStyle name="_DPF_VSE WFP_100421 v2_VSA Roll-Up (LW) 4" xfId="0"/>
    <cellStyle name="_DPF_VSE WFP_100421 v2_VSA Roll-Up (LW) 4 2" xfId="0"/>
    <cellStyle name="_DPF_VSE WFP_100421 v2_VSA Roll-Up (LW)_By Region" xfId="0"/>
    <cellStyle name="_DPF_VSE WFP_100421 v2_VSA Roll-Up (LW)_CORP SG&amp;A" xfId="0"/>
    <cellStyle name="_DPF_VSE WFP_100421 v2_VSA Roll-Up (LW)_LCD" xfId="0"/>
    <cellStyle name="_DPF_VSE WFP_100421 v2_VSA Roll-Up (LW)_PJ" xfId="0"/>
    <cellStyle name="_DPF_VSE WFP_100507" xfId="0"/>
    <cellStyle name="_DPF_VSE WFP_100507 2" xfId="0"/>
    <cellStyle name="_DPF_VSE WFP_100507 3" xfId="0"/>
    <cellStyle name="_DPF_VSE WFP_100507 4" xfId="0"/>
    <cellStyle name="_DPF_VSE WFP_100507_By Region" xfId="0"/>
    <cellStyle name="_DPF_VSE WFP_100507_CORP SG&amp;A" xfId="0"/>
    <cellStyle name="_DPF_VSE WFP_100507_Digitizer" xfId="0"/>
    <cellStyle name="_DPF_VSE WFP_100507_GPS OTHER" xfId="0"/>
    <cellStyle name="_DPF_VSE WFP_100507_GPS OTHER 2" xfId="0"/>
    <cellStyle name="_DPF_VSE WFP_100507_GPS OTHER 3" xfId="0"/>
    <cellStyle name="_DPF_VSE WFP_100507_GPS OTHER 4" xfId="0"/>
    <cellStyle name="_DPF_VSE WFP_100507_GPS OTHER 4 2" xfId="0"/>
    <cellStyle name="_DPF_VSE WFP_100507_GPS OTHER_By Region" xfId="0"/>
    <cellStyle name="_DPF_VSE WFP_100507_GPS OTHER_CORP SG&amp;A" xfId="0"/>
    <cellStyle name="_DPF_VSE WFP_100507_GPS OTHER_LCD" xfId="0"/>
    <cellStyle name="_DPF_VSE WFP_100507_GPS OTHER_PJ" xfId="0"/>
    <cellStyle name="_DPF_VSE WFP_100507_LCD" xfId="0"/>
    <cellStyle name="_DPF_VSE WFP_100507_LCD 2" xfId="0"/>
    <cellStyle name="_DPF_VSE WFP_100507_LCD 3" xfId="0"/>
    <cellStyle name="_DPF_VSE WFP_100507_LCD 4" xfId="0"/>
    <cellStyle name="_DPF_VSE WFP_100507_LCD_By Region" xfId="0"/>
    <cellStyle name="_DPF_VSE WFP_100507_LCD_CORP SG&amp;A" xfId="0"/>
    <cellStyle name="_DPF_VSE WFP_100507_LCD_LCD" xfId="0"/>
    <cellStyle name="_DPF_VSE WFP_100507_LCD_PJ" xfId="0"/>
    <cellStyle name="_DPF_VSE WFP_100507_lightling" xfId="0"/>
    <cellStyle name="_DPF_VSE WFP_100507_lightling 2" xfId="0"/>
    <cellStyle name="_DPF_VSE WFP_100507_lightling_By Region" xfId="0"/>
    <cellStyle name="_DPF_VSE WFP_100507_lightling_CORP SG&amp;A" xfId="0"/>
    <cellStyle name="_DPF_VSE WFP_100507_PC Products" xfId="0"/>
    <cellStyle name="_DPF_VSE WFP_100507_PC Products 2" xfId="0"/>
    <cellStyle name="_DPF_VSE WFP_100507_PC Products 3" xfId="0"/>
    <cellStyle name="_DPF_VSE WFP_100507_PC Products 4" xfId="0"/>
    <cellStyle name="_DPF_VSE WFP_100507_PC Products 4 2" xfId="0"/>
    <cellStyle name="_DPF_VSE WFP_100507_PC Products_By Region" xfId="0"/>
    <cellStyle name="_DPF_VSE WFP_100507_PC Products_CORP SG&amp;A" xfId="0"/>
    <cellStyle name="_DPF_VSE WFP_100507_PC Products_LCD" xfId="0"/>
    <cellStyle name="_DPF_VSE WFP_100507_PC Products_PJ" xfId="0"/>
    <cellStyle name="_DPF_VSE WFP_100507_VSA 111014" xfId="0"/>
    <cellStyle name="_DPF_VSE WFP_100507_VSA 111014 2" xfId="0"/>
    <cellStyle name="_DPF_VSE WFP_100507_VSA 111014 3" xfId="0"/>
    <cellStyle name="_DPF_VSE WFP_100507_VSA 111014 4" xfId="0"/>
    <cellStyle name="_DPF_VSE WFP_100507_VSA 111014 4 2" xfId="0"/>
    <cellStyle name="_DPF_VSE WFP_100507_VSA 111014_By Region" xfId="0"/>
    <cellStyle name="_DPF_VSE WFP_100507_VSA 111014_CORP SG&amp;A" xfId="0"/>
    <cellStyle name="_DPF_VSE WFP_100507_VSA 111014_LCD" xfId="0"/>
    <cellStyle name="_DPF_VSE WFP_100507_VSA 111014_PJ" xfId="0"/>
    <cellStyle name="_DPF_VSE WFP_100507_VSA Roll-Up (LW)" xfId="0"/>
    <cellStyle name="_DPF_VSE WFP_100507_VSA Roll-Up (LW) 2" xfId="0"/>
    <cellStyle name="_DPF_VSE WFP_100507_VSA Roll-Up (LW) 3" xfId="0"/>
    <cellStyle name="_DPF_VSE WFP_100507_VSA Roll-Up (LW) 4" xfId="0"/>
    <cellStyle name="_DPF_VSE WFP_100507_VSA Roll-Up (LW) 4 2" xfId="0"/>
    <cellStyle name="_DPF_VSE WFP_100507_VSA Roll-Up (LW)_By Region" xfId="0"/>
    <cellStyle name="_DPF_VSE WFP_100507_VSA Roll-Up (LW)_CORP SG&amp;A" xfId="0"/>
    <cellStyle name="_DPF_VSE WFP_100507_VSA Roll-Up (LW)_LCD" xfId="0"/>
    <cellStyle name="_DPF_VSE WFP_100507_VSA Roll-Up (LW)_PJ" xfId="0"/>
    <cellStyle name="_DPF_VSE WFP_100608" xfId="0"/>
    <cellStyle name="_DPF_VSE WFP_100608 2" xfId="0"/>
    <cellStyle name="_DPF_VSE WFP_100608 3" xfId="0"/>
    <cellStyle name="_DPF_VSE WFP_100608 4" xfId="0"/>
    <cellStyle name="_DPF_VSE WFP_100608_By Region" xfId="0"/>
    <cellStyle name="_DPF_VSE WFP_100608_CORP SG&amp;A" xfId="0"/>
    <cellStyle name="_DPF_VSE WFP_100608_Digitizer" xfId="0"/>
    <cellStyle name="_DPF_VSE WFP_100608_GPS OTHER" xfId="0"/>
    <cellStyle name="_DPF_VSE WFP_100608_GPS OTHER 2" xfId="0"/>
    <cellStyle name="_DPF_VSE WFP_100608_GPS OTHER 3" xfId="0"/>
    <cellStyle name="_DPF_VSE WFP_100608_GPS OTHER 4" xfId="0"/>
    <cellStyle name="_DPF_VSE WFP_100608_GPS OTHER 4 2" xfId="0"/>
    <cellStyle name="_DPF_VSE WFP_100608_GPS OTHER_By Region" xfId="0"/>
    <cellStyle name="_DPF_VSE WFP_100608_GPS OTHER_CORP SG&amp;A" xfId="0"/>
    <cellStyle name="_DPF_VSE WFP_100608_GPS OTHER_LCD" xfId="0"/>
    <cellStyle name="_DPF_VSE WFP_100608_GPS OTHER_PJ" xfId="0"/>
    <cellStyle name="_DPF_VSE WFP_100608_LCD" xfId="0"/>
    <cellStyle name="_DPF_VSE WFP_100608_LCD 2" xfId="0"/>
    <cellStyle name="_DPF_VSE WFP_100608_LCD 3" xfId="0"/>
    <cellStyle name="_DPF_VSE WFP_100608_LCD 4" xfId="0"/>
    <cellStyle name="_DPF_VSE WFP_100608_LCD_By Region" xfId="0"/>
    <cellStyle name="_DPF_VSE WFP_100608_LCD_CORP SG&amp;A" xfId="0"/>
    <cellStyle name="_DPF_VSE WFP_100608_LCD_LCD" xfId="0"/>
    <cellStyle name="_DPF_VSE WFP_100608_LCD_PJ" xfId="0"/>
    <cellStyle name="_DPF_VSE WFP_100608_lightling" xfId="0"/>
    <cellStyle name="_DPF_VSE WFP_100608_lightling 2" xfId="0"/>
    <cellStyle name="_DPF_VSE WFP_100608_lightling_By Region" xfId="0"/>
    <cellStyle name="_DPF_VSE WFP_100608_lightling_CORP SG&amp;A" xfId="0"/>
    <cellStyle name="_DPF_VSE WFP_100608_PC Products" xfId="0"/>
    <cellStyle name="_DPF_VSE WFP_100608_PC Products 2" xfId="0"/>
    <cellStyle name="_DPF_VSE WFP_100608_PC Products 3" xfId="0"/>
    <cellStyle name="_DPF_VSE WFP_100608_PC Products 4" xfId="0"/>
    <cellStyle name="_DPF_VSE WFP_100608_PC Products 4 2" xfId="0"/>
    <cellStyle name="_DPF_VSE WFP_100608_PC Products_By Region" xfId="0"/>
    <cellStyle name="_DPF_VSE WFP_100608_PC Products_CORP SG&amp;A" xfId="0"/>
    <cellStyle name="_DPF_VSE WFP_100608_PC Products_LCD" xfId="0"/>
    <cellStyle name="_DPF_VSE WFP_100608_PC Products_PJ" xfId="0"/>
    <cellStyle name="_DPF_VSE WFP_100608_VSA 111014" xfId="0"/>
    <cellStyle name="_DPF_VSE WFP_100608_VSA 111014 2" xfId="0"/>
    <cellStyle name="_DPF_VSE WFP_100608_VSA 111014 3" xfId="0"/>
    <cellStyle name="_DPF_VSE WFP_100608_VSA 111014 4" xfId="0"/>
    <cellStyle name="_DPF_VSE WFP_100608_VSA 111014 4 2" xfId="0"/>
    <cellStyle name="_DPF_VSE WFP_100608_VSA 111014_By Region" xfId="0"/>
    <cellStyle name="_DPF_VSE WFP_100608_VSA 111014_CORP SG&amp;A" xfId="0"/>
    <cellStyle name="_DPF_VSE WFP_100608_VSA 111014_LCD" xfId="0"/>
    <cellStyle name="_DPF_VSE WFP_100608_VSA 111014_PJ" xfId="0"/>
    <cellStyle name="_DPF_VSE WFP_100608_VSA Roll-Up (LW)" xfId="0"/>
    <cellStyle name="_DPF_VSE WFP_100608_VSA Roll-Up (LW) 2" xfId="0"/>
    <cellStyle name="_DPF_VSE WFP_100608_VSA Roll-Up (LW) 3" xfId="0"/>
    <cellStyle name="_DPF_VSE WFP_100608_VSA Roll-Up (LW) 4" xfId="0"/>
    <cellStyle name="_DPF_VSE WFP_100608_VSA Roll-Up (LW) 4 2" xfId="0"/>
    <cellStyle name="_DPF_VSE WFP_100608_VSA Roll-Up (LW)_By Region" xfId="0"/>
    <cellStyle name="_DPF_VSE WFP_100608_VSA Roll-Up (LW)_CORP SG&amp;A" xfId="0"/>
    <cellStyle name="_DPF_VSE WFP_100608_VSA Roll-Up (LW)_LCD" xfId="0"/>
    <cellStyle name="_DPF_VSE WFP_100608_VSA Roll-Up (LW)_PJ" xfId="0"/>
    <cellStyle name="_DPF_VSE WFP_100625" xfId="0"/>
    <cellStyle name="_DPF_VSE WFP_100625 2" xfId="0"/>
    <cellStyle name="_DPF_VSE WFP_100625 3" xfId="0"/>
    <cellStyle name="_DPF_VSE WFP_100625 4" xfId="0"/>
    <cellStyle name="_DPF_VSE WFP_100625_By Region" xfId="0"/>
    <cellStyle name="_DPF_VSE WFP_100625_CORP SG&amp;A" xfId="0"/>
    <cellStyle name="_DPF_VSE WFP_100625_Digitizer" xfId="0"/>
    <cellStyle name="_DPF_VSE WFP_100625_GPS OTHER" xfId="0"/>
    <cellStyle name="_DPF_VSE WFP_100625_GPS OTHER 2" xfId="0"/>
    <cellStyle name="_DPF_VSE WFP_100625_GPS OTHER 3" xfId="0"/>
    <cellStyle name="_DPF_VSE WFP_100625_GPS OTHER 4" xfId="0"/>
    <cellStyle name="_DPF_VSE WFP_100625_GPS OTHER 4 2" xfId="0"/>
    <cellStyle name="_DPF_VSE WFP_100625_GPS OTHER_By Region" xfId="0"/>
    <cellStyle name="_DPF_VSE WFP_100625_GPS OTHER_CORP SG&amp;A" xfId="0"/>
    <cellStyle name="_DPF_VSE WFP_100625_GPS OTHER_LCD" xfId="0"/>
    <cellStyle name="_DPF_VSE WFP_100625_GPS OTHER_PJ" xfId="0"/>
    <cellStyle name="_DPF_VSE WFP_100625_LCD" xfId="0"/>
    <cellStyle name="_DPF_VSE WFP_100625_LCD 2" xfId="0"/>
    <cellStyle name="_DPF_VSE WFP_100625_LCD 3" xfId="0"/>
    <cellStyle name="_DPF_VSE WFP_100625_LCD 4" xfId="0"/>
    <cellStyle name="_DPF_VSE WFP_100625_LCD_By Region" xfId="0"/>
    <cellStyle name="_DPF_VSE WFP_100625_LCD_CORP SG&amp;A" xfId="0"/>
    <cellStyle name="_DPF_VSE WFP_100625_LCD_LCD" xfId="0"/>
    <cellStyle name="_DPF_VSE WFP_100625_LCD_PJ" xfId="0"/>
    <cellStyle name="_DPF_VSE WFP_100625_lightling" xfId="0"/>
    <cellStyle name="_DPF_VSE WFP_100625_lightling 2" xfId="0"/>
    <cellStyle name="_DPF_VSE WFP_100625_lightling_By Region" xfId="0"/>
    <cellStyle name="_DPF_VSE WFP_100625_lightling_CORP SG&amp;A" xfId="0"/>
    <cellStyle name="_DPF_VSE WFP_100625_PC Products" xfId="0"/>
    <cellStyle name="_DPF_VSE WFP_100625_PC Products 2" xfId="0"/>
    <cellStyle name="_DPF_VSE WFP_100625_PC Products 3" xfId="0"/>
    <cellStyle name="_DPF_VSE WFP_100625_PC Products 4" xfId="0"/>
    <cellStyle name="_DPF_VSE WFP_100625_PC Products 4 2" xfId="0"/>
    <cellStyle name="_DPF_VSE WFP_100625_PC Products_By Region" xfId="0"/>
    <cellStyle name="_DPF_VSE WFP_100625_PC Products_CORP SG&amp;A" xfId="0"/>
    <cellStyle name="_DPF_VSE WFP_100625_PC Products_LCD" xfId="0"/>
    <cellStyle name="_DPF_VSE WFP_100625_PC Products_PJ" xfId="0"/>
    <cellStyle name="_DPF_VSE WFP_100625_VSA 111014" xfId="0"/>
    <cellStyle name="_DPF_VSE WFP_100625_VSA 111014 2" xfId="0"/>
    <cellStyle name="_DPF_VSE WFP_100625_VSA 111014 3" xfId="0"/>
    <cellStyle name="_DPF_VSE WFP_100625_VSA 111014 4" xfId="0"/>
    <cellStyle name="_DPF_VSE WFP_100625_VSA 111014 4 2" xfId="0"/>
    <cellStyle name="_DPF_VSE WFP_100625_VSA 111014_By Region" xfId="0"/>
    <cellStyle name="_DPF_VSE WFP_100625_VSA 111014_CORP SG&amp;A" xfId="0"/>
    <cellStyle name="_DPF_VSE WFP_100625_VSA 111014_LCD" xfId="0"/>
    <cellStyle name="_DPF_VSE WFP_100625_VSA 111014_PJ" xfId="0"/>
    <cellStyle name="_DPF_VSE WFP_100625_VSA Roll-Up (LW)" xfId="0"/>
    <cellStyle name="_DPF_VSE WFP_100625_VSA Roll-Up (LW) 2" xfId="0"/>
    <cellStyle name="_DPF_VSE WFP_100625_VSA Roll-Up (LW) 3" xfId="0"/>
    <cellStyle name="_DPF_VSE WFP_100625_VSA Roll-Up (LW) 4" xfId="0"/>
    <cellStyle name="_DPF_VSE WFP_100625_VSA Roll-Up (LW) 4 2" xfId="0"/>
    <cellStyle name="_DPF_VSE WFP_100625_VSA Roll-Up (LW)_By Region" xfId="0"/>
    <cellStyle name="_DPF_VSE WFP_100625_VSA Roll-Up (LW)_CORP SG&amp;A" xfId="0"/>
    <cellStyle name="_DPF_VSE WFP_100625_VSA Roll-Up (LW)_LCD" xfId="0"/>
    <cellStyle name="_DPF_VSE WFP_100625_VSA Roll-Up (LW)_PJ" xfId="0"/>
    <cellStyle name="_DPF_VSE WFP_100708_3rd" xfId="0"/>
    <cellStyle name="_DPF_VSE WFP_100708_3rd 2" xfId="0"/>
    <cellStyle name="_DPF_VSE WFP_100708_3rd 3" xfId="0"/>
    <cellStyle name="_DPF_VSE WFP_100708_3rd 4" xfId="0"/>
    <cellStyle name="_DPF_VSE WFP_100708_3rd_By Region" xfId="0"/>
    <cellStyle name="_DPF_VSE WFP_100708_3rd_CORP SG&amp;A" xfId="0"/>
    <cellStyle name="_DPF_VSE WFP_100708_3rd_Digitizer" xfId="0"/>
    <cellStyle name="_DPF_VSE WFP_100708_3rd_GPS OTHER" xfId="0"/>
    <cellStyle name="_DPF_VSE WFP_100708_3rd_GPS OTHER 2" xfId="0"/>
    <cellStyle name="_DPF_VSE WFP_100708_3rd_GPS OTHER 3" xfId="0"/>
    <cellStyle name="_DPF_VSE WFP_100708_3rd_GPS OTHER 4" xfId="0"/>
    <cellStyle name="_DPF_VSE WFP_100708_3rd_GPS OTHER 4 2" xfId="0"/>
    <cellStyle name="_DPF_VSE WFP_100708_3rd_GPS OTHER_By Region" xfId="0"/>
    <cellStyle name="_DPF_VSE WFP_100708_3rd_GPS OTHER_CORP SG&amp;A" xfId="0"/>
    <cellStyle name="_DPF_VSE WFP_100708_3rd_GPS OTHER_LCD" xfId="0"/>
    <cellStyle name="_DPF_VSE WFP_100708_3rd_GPS OTHER_PJ" xfId="0"/>
    <cellStyle name="_DPF_VSE WFP_100708_3rd_LCD" xfId="0"/>
    <cellStyle name="_DPF_VSE WFP_100708_3rd_LCD 2" xfId="0"/>
    <cellStyle name="_DPF_VSE WFP_100708_3rd_LCD 3" xfId="0"/>
    <cellStyle name="_DPF_VSE WFP_100708_3rd_LCD 4" xfId="0"/>
    <cellStyle name="_DPF_VSE WFP_100708_3rd_LCD_By Region" xfId="0"/>
    <cellStyle name="_DPF_VSE WFP_100708_3rd_LCD_CORP SG&amp;A" xfId="0"/>
    <cellStyle name="_DPF_VSE WFP_100708_3rd_LCD_LCD" xfId="0"/>
    <cellStyle name="_DPF_VSE WFP_100708_3rd_LCD_PJ" xfId="0"/>
    <cellStyle name="_DPF_VSE WFP_100708_3rd_lightling" xfId="0"/>
    <cellStyle name="_DPF_VSE WFP_100708_3rd_lightling 2" xfId="0"/>
    <cellStyle name="_DPF_VSE WFP_100708_3rd_lightling_By Region" xfId="0"/>
    <cellStyle name="_DPF_VSE WFP_100708_3rd_lightling_CORP SG&amp;A" xfId="0"/>
    <cellStyle name="_DPF_VSE WFP_100708_3rd_PC Products" xfId="0"/>
    <cellStyle name="_DPF_VSE WFP_100708_3rd_PC Products 2" xfId="0"/>
    <cellStyle name="_DPF_VSE WFP_100708_3rd_PC Products 3" xfId="0"/>
    <cellStyle name="_DPF_VSE WFP_100708_3rd_PC Products 4" xfId="0"/>
    <cellStyle name="_DPF_VSE WFP_100708_3rd_PC Products 4 2" xfId="0"/>
    <cellStyle name="_DPF_VSE WFP_100708_3rd_PC Products_By Region" xfId="0"/>
    <cellStyle name="_DPF_VSE WFP_100708_3rd_PC Products_CORP SG&amp;A" xfId="0"/>
    <cellStyle name="_DPF_VSE WFP_100708_3rd_PC Products_LCD" xfId="0"/>
    <cellStyle name="_DPF_VSE WFP_100708_3rd_PC Products_PJ" xfId="0"/>
    <cellStyle name="_DPF_VSE WFP_100708_3rd_VSA 111014" xfId="0"/>
    <cellStyle name="_DPF_VSE WFP_100708_3rd_VSA 111014 2" xfId="0"/>
    <cellStyle name="_DPF_VSE WFP_100708_3rd_VSA 111014 3" xfId="0"/>
    <cellStyle name="_DPF_VSE WFP_100708_3rd_VSA 111014 4" xfId="0"/>
    <cellStyle name="_DPF_VSE WFP_100708_3rd_VSA 111014 4 2" xfId="0"/>
    <cellStyle name="_DPF_VSE WFP_100708_3rd_VSA 111014_By Region" xfId="0"/>
    <cellStyle name="_DPF_VSE WFP_100708_3rd_VSA 111014_CORP SG&amp;A" xfId="0"/>
    <cellStyle name="_DPF_VSE WFP_100708_3rd_VSA 111014_LCD" xfId="0"/>
    <cellStyle name="_DPF_VSE WFP_100708_3rd_VSA 111014_PJ" xfId="0"/>
    <cellStyle name="_DPF_VSE WFP_100708_3rd_VSA Roll-Up (LW)" xfId="0"/>
    <cellStyle name="_DPF_VSE WFP_100708_3rd_VSA Roll-Up (LW) 2" xfId="0"/>
    <cellStyle name="_DPF_VSE WFP_100708_3rd_VSA Roll-Up (LW) 3" xfId="0"/>
    <cellStyle name="_DPF_VSE WFP_100708_3rd_VSA Roll-Up (LW) 4" xfId="0"/>
    <cellStyle name="_DPF_VSE WFP_100708_3rd_VSA Roll-Up (LW) 4 2" xfId="0"/>
    <cellStyle name="_DPF_VSE WFP_100708_3rd_VSA Roll-Up (LW)_By Region" xfId="0"/>
    <cellStyle name="_DPF_VSE WFP_100708_3rd_VSA Roll-Up (LW)_CORP SG&amp;A" xfId="0"/>
    <cellStyle name="_DPF_VSE WFP_100708_3rd_VSA Roll-Up (LW)_LCD" xfId="0"/>
    <cellStyle name="_DPF_VSE WFP_100708_3rd_VSA Roll-Up (LW)_PJ" xfId="0"/>
    <cellStyle name="_DPF_VSE WFP_100726" xfId="0"/>
    <cellStyle name="_DPF_VSE WFP_100726 2" xfId="0"/>
    <cellStyle name="_DPF_VSE WFP_100726 3" xfId="0"/>
    <cellStyle name="_DPF_VSE WFP_100726 4" xfId="0"/>
    <cellStyle name="_DPF_VSE WFP_100726-1" xfId="0"/>
    <cellStyle name="_DPF_VSE WFP_100726-1 2" xfId="0"/>
    <cellStyle name="_DPF_VSE WFP_100726-1 3" xfId="0"/>
    <cellStyle name="_DPF_VSE WFP_100726-1 4" xfId="0"/>
    <cellStyle name="_DPF_VSE WFP_100726-1_By Region" xfId="0"/>
    <cellStyle name="_DPF_VSE WFP_100726-1_CORP SG&amp;A" xfId="0"/>
    <cellStyle name="_DPF_VSE WFP_100726-1_Digitizer" xfId="0"/>
    <cellStyle name="_DPF_VSE WFP_100726-1_GPS OTHER" xfId="0"/>
    <cellStyle name="_DPF_VSE WFP_100726-1_GPS OTHER 2" xfId="0"/>
    <cellStyle name="_DPF_VSE WFP_100726-1_GPS OTHER 3" xfId="0"/>
    <cellStyle name="_DPF_VSE WFP_100726-1_GPS OTHER 4" xfId="0"/>
    <cellStyle name="_DPF_VSE WFP_100726-1_GPS OTHER 4 2" xfId="0"/>
    <cellStyle name="_DPF_VSE WFP_100726-1_GPS OTHER_By Region" xfId="0"/>
    <cellStyle name="_DPF_VSE WFP_100726-1_GPS OTHER_CORP SG&amp;A" xfId="0"/>
    <cellStyle name="_DPF_VSE WFP_100726-1_GPS OTHER_LCD" xfId="0"/>
    <cellStyle name="_DPF_VSE WFP_100726-1_GPS OTHER_PJ" xfId="0"/>
    <cellStyle name="_DPF_VSE WFP_100726-1_LCD" xfId="0"/>
    <cellStyle name="_DPF_VSE WFP_100726-1_LCD 2" xfId="0"/>
    <cellStyle name="_DPF_VSE WFP_100726-1_LCD 3" xfId="0"/>
    <cellStyle name="_DPF_VSE WFP_100726-1_LCD 4" xfId="0"/>
    <cellStyle name="_DPF_VSE WFP_100726-1_LCD_By Region" xfId="0"/>
    <cellStyle name="_DPF_VSE WFP_100726-1_LCD_CORP SG&amp;A" xfId="0"/>
    <cellStyle name="_DPF_VSE WFP_100726-1_LCD_LCD" xfId="0"/>
    <cellStyle name="_DPF_VSE WFP_100726-1_LCD_PJ" xfId="0"/>
    <cellStyle name="_DPF_VSE WFP_100726-1_lightling" xfId="0"/>
    <cellStyle name="_DPF_VSE WFP_100726-1_lightling 2" xfId="0"/>
    <cellStyle name="_DPF_VSE WFP_100726-1_lightling_By Region" xfId="0"/>
    <cellStyle name="_DPF_VSE WFP_100726-1_lightling_CORP SG&amp;A" xfId="0"/>
    <cellStyle name="_DPF_VSE WFP_100726-1_PC Products" xfId="0"/>
    <cellStyle name="_DPF_VSE WFP_100726-1_PC Products 2" xfId="0"/>
    <cellStyle name="_DPF_VSE WFP_100726-1_PC Products 3" xfId="0"/>
    <cellStyle name="_DPF_VSE WFP_100726-1_PC Products 4" xfId="0"/>
    <cellStyle name="_DPF_VSE WFP_100726-1_PC Products 4 2" xfId="0"/>
    <cellStyle name="_DPF_VSE WFP_100726-1_PC Products_By Region" xfId="0"/>
    <cellStyle name="_DPF_VSE WFP_100726-1_PC Products_CORP SG&amp;A" xfId="0"/>
    <cellStyle name="_DPF_VSE WFP_100726-1_PC Products_LCD" xfId="0"/>
    <cellStyle name="_DPF_VSE WFP_100726-1_PC Products_PJ" xfId="0"/>
    <cellStyle name="_DPF_VSE WFP_100726-1_VSA 111014" xfId="0"/>
    <cellStyle name="_DPF_VSE WFP_100726-1_VSA 111014 2" xfId="0"/>
    <cellStyle name="_DPF_VSE WFP_100726-1_VSA 111014 3" xfId="0"/>
    <cellStyle name="_DPF_VSE WFP_100726-1_VSA 111014 4" xfId="0"/>
    <cellStyle name="_DPF_VSE WFP_100726-1_VSA 111014 4 2" xfId="0"/>
    <cellStyle name="_DPF_VSE WFP_100726-1_VSA 111014_By Region" xfId="0"/>
    <cellStyle name="_DPF_VSE WFP_100726-1_VSA 111014_CORP SG&amp;A" xfId="0"/>
    <cellStyle name="_DPF_VSE WFP_100726-1_VSA 111014_LCD" xfId="0"/>
    <cellStyle name="_DPF_VSE WFP_100726-1_VSA 111014_PJ" xfId="0"/>
    <cellStyle name="_DPF_VSE WFP_100726-1_VSA Roll-Up (LW)" xfId="0"/>
    <cellStyle name="_DPF_VSE WFP_100726-1_VSA Roll-Up (LW) 2" xfId="0"/>
    <cellStyle name="_DPF_VSE WFP_100726-1_VSA Roll-Up (LW) 3" xfId="0"/>
    <cellStyle name="_DPF_VSE WFP_100726-1_VSA Roll-Up (LW) 4" xfId="0"/>
    <cellStyle name="_DPF_VSE WFP_100726-1_VSA Roll-Up (LW) 4 2" xfId="0"/>
    <cellStyle name="_DPF_VSE WFP_100726-1_VSA Roll-Up (LW)_By Region" xfId="0"/>
    <cellStyle name="_DPF_VSE WFP_100726-1_VSA Roll-Up (LW)_CORP SG&amp;A" xfId="0"/>
    <cellStyle name="_DPF_VSE WFP_100726-1_VSA Roll-Up (LW)_LCD" xfId="0"/>
    <cellStyle name="_DPF_VSE WFP_100726-1_VSA Roll-Up (LW)_PJ" xfId="0"/>
    <cellStyle name="_DPF_VSE WFP_100726-2-yc" xfId="0"/>
    <cellStyle name="_DPF_VSE WFP_100726-2-yc 2" xfId="0"/>
    <cellStyle name="_DPF_VSE WFP_100726-2-yc 3" xfId="0"/>
    <cellStyle name="_DPF_VSE WFP_100726-2-yc 4" xfId="0"/>
    <cellStyle name="_DPF_VSE WFP_100726-2-yc_By Region" xfId="0"/>
    <cellStyle name="_DPF_VSE WFP_100726-2-yc_CORP SG&amp;A" xfId="0"/>
    <cellStyle name="_DPF_VSE WFP_100726-2-yc_Digitizer" xfId="0"/>
    <cellStyle name="_DPF_VSE WFP_100726-2-yc_GPS OTHER" xfId="0"/>
    <cellStyle name="_DPF_VSE WFP_100726-2-yc_GPS OTHER 2" xfId="0"/>
    <cellStyle name="_DPF_VSE WFP_100726-2-yc_GPS OTHER 3" xfId="0"/>
    <cellStyle name="_DPF_VSE WFP_100726-2-yc_GPS OTHER 4" xfId="0"/>
    <cellStyle name="_DPF_VSE WFP_100726-2-yc_GPS OTHER 4 2" xfId="0"/>
    <cellStyle name="_DPF_VSE WFP_100726-2-yc_GPS OTHER_By Region" xfId="0"/>
    <cellStyle name="_DPF_VSE WFP_100726-2-yc_GPS OTHER_CORP SG&amp;A" xfId="0"/>
    <cellStyle name="_DPF_VSE WFP_100726-2-yc_GPS OTHER_LCD" xfId="0"/>
    <cellStyle name="_DPF_VSE WFP_100726-2-yc_GPS OTHER_PJ" xfId="0"/>
    <cellStyle name="_DPF_VSE WFP_100726-2-yc_LCD" xfId="0"/>
    <cellStyle name="_DPF_VSE WFP_100726-2-yc_LCD 2" xfId="0"/>
    <cellStyle name="_DPF_VSE WFP_100726-2-yc_LCD 3" xfId="0"/>
    <cellStyle name="_DPF_VSE WFP_100726-2-yc_LCD 4" xfId="0"/>
    <cellStyle name="_DPF_VSE WFP_100726-2-yc_LCD_By Region" xfId="0"/>
    <cellStyle name="_DPF_VSE WFP_100726-2-yc_LCD_CORP SG&amp;A" xfId="0"/>
    <cellStyle name="_DPF_VSE WFP_100726-2-yc_LCD_LCD" xfId="0"/>
    <cellStyle name="_DPF_VSE WFP_100726-2-yc_LCD_PJ" xfId="0"/>
    <cellStyle name="_DPF_VSE WFP_100726-2-yc_lightling" xfId="0"/>
    <cellStyle name="_DPF_VSE WFP_100726-2-yc_lightling 2" xfId="0"/>
    <cellStyle name="_DPF_VSE WFP_100726-2-yc_lightling_By Region" xfId="0"/>
    <cellStyle name="_DPF_VSE WFP_100726-2-yc_lightling_CORP SG&amp;A" xfId="0"/>
    <cellStyle name="_DPF_VSE WFP_100726-2-yc_PC Products" xfId="0"/>
    <cellStyle name="_DPF_VSE WFP_100726-2-yc_PC Products 2" xfId="0"/>
    <cellStyle name="_DPF_VSE WFP_100726-2-yc_PC Products 3" xfId="0"/>
    <cellStyle name="_DPF_VSE WFP_100726-2-yc_PC Products 4" xfId="0"/>
    <cellStyle name="_DPF_VSE WFP_100726-2-yc_PC Products 4 2" xfId="0"/>
    <cellStyle name="_DPF_VSE WFP_100726-2-yc_PC Products_By Region" xfId="0"/>
    <cellStyle name="_DPF_VSE WFP_100726-2-yc_PC Products_CORP SG&amp;A" xfId="0"/>
    <cellStyle name="_DPF_VSE WFP_100726-2-yc_PC Products_LCD" xfId="0"/>
    <cellStyle name="_DPF_VSE WFP_100726-2-yc_PC Products_PJ" xfId="0"/>
    <cellStyle name="_DPF_VSE WFP_100726-2-yc_VSA 111014" xfId="0"/>
    <cellStyle name="_DPF_VSE WFP_100726-2-yc_VSA 111014 2" xfId="0"/>
    <cellStyle name="_DPF_VSE WFP_100726-2-yc_VSA 111014 3" xfId="0"/>
    <cellStyle name="_DPF_VSE WFP_100726-2-yc_VSA 111014 4" xfId="0"/>
    <cellStyle name="_DPF_VSE WFP_100726-2-yc_VSA 111014 4 2" xfId="0"/>
    <cellStyle name="_DPF_VSE WFP_100726-2-yc_VSA 111014_By Region" xfId="0"/>
    <cellStyle name="_DPF_VSE WFP_100726-2-yc_VSA 111014_CORP SG&amp;A" xfId="0"/>
    <cellStyle name="_DPF_VSE WFP_100726-2-yc_VSA 111014_LCD" xfId="0"/>
    <cellStyle name="_DPF_VSE WFP_100726-2-yc_VSA 111014_PJ" xfId="0"/>
    <cellStyle name="_DPF_VSE WFP_100726-2-yc_VSA Roll-Up (LW)" xfId="0"/>
    <cellStyle name="_DPF_VSE WFP_100726-2-yc_VSA Roll-Up (LW) 2" xfId="0"/>
    <cellStyle name="_DPF_VSE WFP_100726-2-yc_VSA Roll-Up (LW) 3" xfId="0"/>
    <cellStyle name="_DPF_VSE WFP_100726-2-yc_VSA Roll-Up (LW) 4" xfId="0"/>
    <cellStyle name="_DPF_VSE WFP_100726-2-yc_VSA Roll-Up (LW) 4 2" xfId="0"/>
    <cellStyle name="_DPF_VSE WFP_100726-2-yc_VSA Roll-Up (LW)_By Region" xfId="0"/>
    <cellStyle name="_DPF_VSE WFP_100726-2-yc_VSA Roll-Up (LW)_CORP SG&amp;A" xfId="0"/>
    <cellStyle name="_DPF_VSE WFP_100726-2-yc_VSA Roll-Up (LW)_LCD" xfId="0"/>
    <cellStyle name="_DPF_VSE WFP_100726-2-yc_VSA Roll-Up (LW)_PJ" xfId="0"/>
    <cellStyle name="_DPF_VSE WFP_100726_By Region" xfId="0"/>
    <cellStyle name="_DPF_VSE WFP_100726_CORP SG&amp;A" xfId="0"/>
    <cellStyle name="_DPF_VSE WFP_100726_Digitizer" xfId="0"/>
    <cellStyle name="_DPF_VSE WFP_100726_GPS OTHER" xfId="0"/>
    <cellStyle name="_DPF_VSE WFP_100726_GPS OTHER 2" xfId="0"/>
    <cellStyle name="_DPF_VSE WFP_100726_GPS OTHER 3" xfId="0"/>
    <cellStyle name="_DPF_VSE WFP_100726_GPS OTHER 4" xfId="0"/>
    <cellStyle name="_DPF_VSE WFP_100726_GPS OTHER 4 2" xfId="0"/>
    <cellStyle name="_DPF_VSE WFP_100726_GPS OTHER_By Region" xfId="0"/>
    <cellStyle name="_DPF_VSE WFP_100726_GPS OTHER_CORP SG&amp;A" xfId="0"/>
    <cellStyle name="_DPF_VSE WFP_100726_GPS OTHER_LCD" xfId="0"/>
    <cellStyle name="_DPF_VSE WFP_100726_GPS OTHER_PJ" xfId="0"/>
    <cellStyle name="_DPF_VSE WFP_100726_LCD" xfId="0"/>
    <cellStyle name="_DPF_VSE WFP_100726_LCD 2" xfId="0"/>
    <cellStyle name="_DPF_VSE WFP_100726_LCD 3" xfId="0"/>
    <cellStyle name="_DPF_VSE WFP_100726_LCD 4" xfId="0"/>
    <cellStyle name="_DPF_VSE WFP_100726_LCD_By Region" xfId="0"/>
    <cellStyle name="_DPF_VSE WFP_100726_LCD_CORP SG&amp;A" xfId="0"/>
    <cellStyle name="_DPF_VSE WFP_100726_LCD_LCD" xfId="0"/>
    <cellStyle name="_DPF_VSE WFP_100726_LCD_PJ" xfId="0"/>
    <cellStyle name="_DPF_VSE WFP_100726_lightling" xfId="0"/>
    <cellStyle name="_DPF_VSE WFP_100726_lightling 2" xfId="0"/>
    <cellStyle name="_DPF_VSE WFP_100726_lightling_By Region" xfId="0"/>
    <cellStyle name="_DPF_VSE WFP_100726_lightling_CORP SG&amp;A" xfId="0"/>
    <cellStyle name="_DPF_VSE WFP_100726_PC Products" xfId="0"/>
    <cellStyle name="_DPF_VSE WFP_100726_PC Products 2" xfId="0"/>
    <cellStyle name="_DPF_VSE WFP_100726_PC Products 3" xfId="0"/>
    <cellStyle name="_DPF_VSE WFP_100726_PC Products 4" xfId="0"/>
    <cellStyle name="_DPF_VSE WFP_100726_PC Products 4 2" xfId="0"/>
    <cellStyle name="_DPF_VSE WFP_100726_PC Products_By Region" xfId="0"/>
    <cellStyle name="_DPF_VSE WFP_100726_PC Products_CORP SG&amp;A" xfId="0"/>
    <cellStyle name="_DPF_VSE WFP_100726_PC Products_LCD" xfId="0"/>
    <cellStyle name="_DPF_VSE WFP_100726_PC Products_PJ" xfId="0"/>
    <cellStyle name="_DPF_VSE WFP_100726_VSA 111014" xfId="0"/>
    <cellStyle name="_DPF_VSE WFP_100726_VSA 111014 2" xfId="0"/>
    <cellStyle name="_DPF_VSE WFP_100726_VSA 111014 3" xfId="0"/>
    <cellStyle name="_DPF_VSE WFP_100726_VSA 111014 4" xfId="0"/>
    <cellStyle name="_DPF_VSE WFP_100726_VSA 111014 4 2" xfId="0"/>
    <cellStyle name="_DPF_VSE WFP_100726_VSA 111014_By Region" xfId="0"/>
    <cellStyle name="_DPF_VSE WFP_100726_VSA 111014_CORP SG&amp;A" xfId="0"/>
    <cellStyle name="_DPF_VSE WFP_100726_VSA 111014_LCD" xfId="0"/>
    <cellStyle name="_DPF_VSE WFP_100726_VSA 111014_PJ" xfId="0"/>
    <cellStyle name="_DPF_VSE WFP_100726_VSA Roll-Up (LW)" xfId="0"/>
    <cellStyle name="_DPF_VSE WFP_100726_VSA Roll-Up (LW) 2" xfId="0"/>
    <cellStyle name="_DPF_VSE WFP_100726_VSA Roll-Up (LW) 3" xfId="0"/>
    <cellStyle name="_DPF_VSE WFP_100726_VSA Roll-Up (LW) 4" xfId="0"/>
    <cellStyle name="_DPF_VSE WFP_100726_VSA Roll-Up (LW) 4 2" xfId="0"/>
    <cellStyle name="_DPF_VSE WFP_100726_VSA Roll-Up (LW)_By Region" xfId="0"/>
    <cellStyle name="_DPF_VSE WFP_100726_VSA Roll-Up (LW)_CORP SG&amp;A" xfId="0"/>
    <cellStyle name="_DPF_VSE WFP_100726_VSA Roll-Up (LW)_LCD" xfId="0"/>
    <cellStyle name="_DPF_VSE WFP_100726_VSA Roll-Up (LW)_PJ" xfId="0"/>
    <cellStyle name="_DPF_VSE WFP_100827-1" xfId="0"/>
    <cellStyle name="_DPF_VSE WFP_100827-1 2" xfId="0"/>
    <cellStyle name="_DPF_VSE WFP_100827-1 3" xfId="0"/>
    <cellStyle name="_DPF_VSE WFP_100827-1 4" xfId="0"/>
    <cellStyle name="_DPF_VSE WFP_100827-1_By Region" xfId="0"/>
    <cellStyle name="_DPF_VSE WFP_100827-1_CORP SG&amp;A" xfId="0"/>
    <cellStyle name="_DPF_VSE WFP_100827-1_Digitizer" xfId="0"/>
    <cellStyle name="_DPF_VSE WFP_100827-1_GPS OTHER" xfId="0"/>
    <cellStyle name="_DPF_VSE WFP_100827-1_GPS OTHER 2" xfId="0"/>
    <cellStyle name="_DPF_VSE WFP_100827-1_GPS OTHER 3" xfId="0"/>
    <cellStyle name="_DPF_VSE WFP_100827-1_GPS OTHER 4" xfId="0"/>
    <cellStyle name="_DPF_VSE WFP_100827-1_GPS OTHER 4 2" xfId="0"/>
    <cellStyle name="_DPF_VSE WFP_100827-1_GPS OTHER_By Region" xfId="0"/>
    <cellStyle name="_DPF_VSE WFP_100827-1_GPS OTHER_CORP SG&amp;A" xfId="0"/>
    <cellStyle name="_DPF_VSE WFP_100827-1_GPS OTHER_LCD" xfId="0"/>
    <cellStyle name="_DPF_VSE WFP_100827-1_GPS OTHER_PJ" xfId="0"/>
    <cellStyle name="_DPF_VSE WFP_100827-1_LCD" xfId="0"/>
    <cellStyle name="_DPF_VSE WFP_100827-1_LCD 2" xfId="0"/>
    <cellStyle name="_DPF_VSE WFP_100827-1_LCD 3" xfId="0"/>
    <cellStyle name="_DPF_VSE WFP_100827-1_LCD 4" xfId="0"/>
    <cellStyle name="_DPF_VSE WFP_100827-1_LCD_By Region" xfId="0"/>
    <cellStyle name="_DPF_VSE WFP_100827-1_LCD_CORP SG&amp;A" xfId="0"/>
    <cellStyle name="_DPF_VSE WFP_100827-1_LCD_LCD" xfId="0"/>
    <cellStyle name="_DPF_VSE WFP_100827-1_LCD_PJ" xfId="0"/>
    <cellStyle name="_DPF_VSE WFP_100827-1_lightling" xfId="0"/>
    <cellStyle name="_DPF_VSE WFP_100827-1_lightling 2" xfId="0"/>
    <cellStyle name="_DPF_VSE WFP_100827-1_lightling_By Region" xfId="0"/>
    <cellStyle name="_DPF_VSE WFP_100827-1_lightling_CORP SG&amp;A" xfId="0"/>
    <cellStyle name="_DPF_VSE WFP_100827-1_PC Products" xfId="0"/>
    <cellStyle name="_DPF_VSE WFP_100827-1_PC Products 2" xfId="0"/>
    <cellStyle name="_DPF_VSE WFP_100827-1_PC Products 3" xfId="0"/>
    <cellStyle name="_DPF_VSE WFP_100827-1_PC Products 4" xfId="0"/>
    <cellStyle name="_DPF_VSE WFP_100827-1_PC Products 4 2" xfId="0"/>
    <cellStyle name="_DPF_VSE WFP_100827-1_PC Products_By Region" xfId="0"/>
    <cellStyle name="_DPF_VSE WFP_100827-1_PC Products_CORP SG&amp;A" xfId="0"/>
    <cellStyle name="_DPF_VSE WFP_100827-1_PC Products_LCD" xfId="0"/>
    <cellStyle name="_DPF_VSE WFP_100827-1_PC Products_PJ" xfId="0"/>
    <cellStyle name="_DPF_VSE WFP_100827-1_VSA 111014" xfId="0"/>
    <cellStyle name="_DPF_VSE WFP_100827-1_VSA 111014 2" xfId="0"/>
    <cellStyle name="_DPF_VSE WFP_100827-1_VSA 111014 3" xfId="0"/>
    <cellStyle name="_DPF_VSE WFP_100827-1_VSA 111014 4" xfId="0"/>
    <cellStyle name="_DPF_VSE WFP_100827-1_VSA 111014 4 2" xfId="0"/>
    <cellStyle name="_DPF_VSE WFP_100827-1_VSA 111014_By Region" xfId="0"/>
    <cellStyle name="_DPF_VSE WFP_100827-1_VSA 111014_CORP SG&amp;A" xfId="0"/>
    <cellStyle name="_DPF_VSE WFP_100827-1_VSA 111014_LCD" xfId="0"/>
    <cellStyle name="_DPF_VSE WFP_100827-1_VSA 111014_PJ" xfId="0"/>
    <cellStyle name="_DPF_VSE WFP_100827-1_VSA Roll-Up (LW)" xfId="0"/>
    <cellStyle name="_DPF_VSE WFP_100827-1_VSA Roll-Up (LW) 2" xfId="0"/>
    <cellStyle name="_DPF_VSE WFP_100827-1_VSA Roll-Up (LW) 3" xfId="0"/>
    <cellStyle name="_DPF_VSE WFP_100827-1_VSA Roll-Up (LW) 4" xfId="0"/>
    <cellStyle name="_DPF_VSE WFP_100827-1_VSA Roll-Up (LW) 4 2" xfId="0"/>
    <cellStyle name="_DPF_VSE WFP_100827-1_VSA Roll-Up (LW)_By Region" xfId="0"/>
    <cellStyle name="_DPF_VSE WFP_100827-1_VSA Roll-Up (LW)_CORP SG&amp;A" xfId="0"/>
    <cellStyle name="_DPF_VSE WFP_100827-1_VSA Roll-Up (LW)_LCD" xfId="0"/>
    <cellStyle name="_DPF_VSE WFP_100827-1_VSA Roll-Up (LW)_PJ" xfId="0"/>
    <cellStyle name="_DPF_VSE WFP_101001" xfId="0"/>
    <cellStyle name="_DPF_VSE WFP_101001 2" xfId="0"/>
    <cellStyle name="_DPF_VSE WFP_101001 3" xfId="0"/>
    <cellStyle name="_DPF_VSE WFP_101001 4" xfId="0"/>
    <cellStyle name="_DPF_VSE WFP_101001_By Region" xfId="0"/>
    <cellStyle name="_DPF_VSE WFP_101001_CORP SG&amp;A" xfId="0"/>
    <cellStyle name="_DPF_VSE WFP_101001_Digitizer" xfId="0"/>
    <cellStyle name="_DPF_VSE WFP_101001_GPS OTHER" xfId="0"/>
    <cellStyle name="_DPF_VSE WFP_101001_GPS OTHER 2" xfId="0"/>
    <cellStyle name="_DPF_VSE WFP_101001_GPS OTHER 3" xfId="0"/>
    <cellStyle name="_DPF_VSE WFP_101001_GPS OTHER 4" xfId="0"/>
    <cellStyle name="_DPF_VSE WFP_101001_GPS OTHER 4 2" xfId="0"/>
    <cellStyle name="_DPF_VSE WFP_101001_GPS OTHER_By Region" xfId="0"/>
    <cellStyle name="_DPF_VSE WFP_101001_GPS OTHER_CORP SG&amp;A" xfId="0"/>
    <cellStyle name="_DPF_VSE WFP_101001_GPS OTHER_LCD" xfId="0"/>
    <cellStyle name="_DPF_VSE WFP_101001_GPS OTHER_PJ" xfId="0"/>
    <cellStyle name="_DPF_VSE WFP_101001_LCD" xfId="0"/>
    <cellStyle name="_DPF_VSE WFP_101001_LCD 2" xfId="0"/>
    <cellStyle name="_DPF_VSE WFP_101001_LCD 3" xfId="0"/>
    <cellStyle name="_DPF_VSE WFP_101001_LCD 4" xfId="0"/>
    <cellStyle name="_DPF_VSE WFP_101001_LCD_By Region" xfId="0"/>
    <cellStyle name="_DPF_VSE WFP_101001_LCD_CORP SG&amp;A" xfId="0"/>
    <cellStyle name="_DPF_VSE WFP_101001_LCD_LCD" xfId="0"/>
    <cellStyle name="_DPF_VSE WFP_101001_LCD_PJ" xfId="0"/>
    <cellStyle name="_DPF_VSE WFP_101001_lightling" xfId="0"/>
    <cellStyle name="_DPF_VSE WFP_101001_lightling 2" xfId="0"/>
    <cellStyle name="_DPF_VSE WFP_101001_lightling_By Region" xfId="0"/>
    <cellStyle name="_DPF_VSE WFP_101001_lightling_CORP SG&amp;A" xfId="0"/>
    <cellStyle name="_DPF_VSE WFP_101001_PC Products" xfId="0"/>
    <cellStyle name="_DPF_VSE WFP_101001_PC Products 2" xfId="0"/>
    <cellStyle name="_DPF_VSE WFP_101001_PC Products 3" xfId="0"/>
    <cellStyle name="_DPF_VSE WFP_101001_PC Products 4" xfId="0"/>
    <cellStyle name="_DPF_VSE WFP_101001_PC Products 4 2" xfId="0"/>
    <cellStyle name="_DPF_VSE WFP_101001_PC Products_By Region" xfId="0"/>
    <cellStyle name="_DPF_VSE WFP_101001_PC Products_CORP SG&amp;A" xfId="0"/>
    <cellStyle name="_DPF_VSE WFP_101001_PC Products_LCD" xfId="0"/>
    <cellStyle name="_DPF_VSE WFP_101001_PC Products_PJ" xfId="0"/>
    <cellStyle name="_DPF_VSE WFP_101001_VSA 111014" xfId="0"/>
    <cellStyle name="_DPF_VSE WFP_101001_VSA 111014 2" xfId="0"/>
    <cellStyle name="_DPF_VSE WFP_101001_VSA 111014 3" xfId="0"/>
    <cellStyle name="_DPF_VSE WFP_101001_VSA 111014 4" xfId="0"/>
    <cellStyle name="_DPF_VSE WFP_101001_VSA 111014 4 2" xfId="0"/>
    <cellStyle name="_DPF_VSE WFP_101001_VSA 111014_By Region" xfId="0"/>
    <cellStyle name="_DPF_VSE WFP_101001_VSA 111014_CORP SG&amp;A" xfId="0"/>
    <cellStyle name="_DPF_VSE WFP_101001_VSA 111014_LCD" xfId="0"/>
    <cellStyle name="_DPF_VSE WFP_101001_VSA 111014_PJ" xfId="0"/>
    <cellStyle name="_DPF_VSE WFP_101001_VSA Roll-Up (LW)" xfId="0"/>
    <cellStyle name="_DPF_VSE WFP_101001_VSA Roll-Up (LW) 2" xfId="0"/>
    <cellStyle name="_DPF_VSE WFP_101001_VSA Roll-Up (LW) 3" xfId="0"/>
    <cellStyle name="_DPF_VSE WFP_101001_VSA Roll-Up (LW) 4" xfId="0"/>
    <cellStyle name="_DPF_VSE WFP_101001_VSA Roll-Up (LW) 4 2" xfId="0"/>
    <cellStyle name="_DPF_VSE WFP_101001_VSA Roll-Up (LW)_By Region" xfId="0"/>
    <cellStyle name="_DPF_VSE WFP_101001_VSA Roll-Up (LW)_CORP SG&amp;A" xfId="0"/>
    <cellStyle name="_DPF_VSE WFP_101001_VSA Roll-Up (LW)_LCD" xfId="0"/>
    <cellStyle name="_DPF_VSE WFP_101001_VSA Roll-Up (LW)_PJ" xfId="0"/>
    <cellStyle name="_DPF_VSE WFP_101029-with more ViewPad 7" xfId="0"/>
    <cellStyle name="_DPF_VSE WFP_101029-with more ViewPad 7 2" xfId="0"/>
    <cellStyle name="_DPF_VSE WFP_101029-with more ViewPad 7 3" xfId="0"/>
    <cellStyle name="_DPF_VSE WFP_101029-with more ViewPad 7 4" xfId="0"/>
    <cellStyle name="_DPF_VSE WFP_101029-with more ViewPad 7_By Region" xfId="0"/>
    <cellStyle name="_DPF_VSE WFP_101029-with more ViewPad 7_CORP SG&amp;A" xfId="0"/>
    <cellStyle name="_DPF_VSE WFP_101029-with more ViewPad 7_Digitizer" xfId="0"/>
    <cellStyle name="_DPF_VSE WFP_101029-with more ViewPad 7_GPS OTHER" xfId="0"/>
    <cellStyle name="_DPF_VSE WFP_101029-with more ViewPad 7_GPS OTHER 2" xfId="0"/>
    <cellStyle name="_DPF_VSE WFP_101029-with more ViewPad 7_GPS OTHER 3" xfId="0"/>
    <cellStyle name="_DPF_VSE WFP_101029-with more ViewPad 7_GPS OTHER 4" xfId="0"/>
    <cellStyle name="_DPF_VSE WFP_101029-with more ViewPad 7_GPS OTHER 4 2" xfId="0"/>
    <cellStyle name="_DPF_VSE WFP_101029-with more ViewPad 7_GPS OTHER_By Region" xfId="0"/>
    <cellStyle name="_DPF_VSE WFP_101029-with more ViewPad 7_GPS OTHER_CORP SG&amp;A" xfId="0"/>
    <cellStyle name="_DPF_VSE WFP_101029-with more ViewPad 7_GPS OTHER_LCD" xfId="0"/>
    <cellStyle name="_DPF_VSE WFP_101029-with more ViewPad 7_GPS OTHER_PJ" xfId="0"/>
    <cellStyle name="_DPF_VSE WFP_101029-with more ViewPad 7_LCD" xfId="0"/>
    <cellStyle name="_DPF_VSE WFP_101029-with more ViewPad 7_LCD 2" xfId="0"/>
    <cellStyle name="_DPF_VSE WFP_101029-with more ViewPad 7_LCD 3" xfId="0"/>
    <cellStyle name="_DPF_VSE WFP_101029-with more ViewPad 7_LCD 4" xfId="0"/>
    <cellStyle name="_DPF_VSE WFP_101029-with more ViewPad 7_LCD_By Region" xfId="0"/>
    <cellStyle name="_DPF_VSE WFP_101029-with more ViewPad 7_LCD_CORP SG&amp;A" xfId="0"/>
    <cellStyle name="_DPF_VSE WFP_101029-with more ViewPad 7_LCD_LCD" xfId="0"/>
    <cellStyle name="_DPF_VSE WFP_101029-with more ViewPad 7_LCD_PJ" xfId="0"/>
    <cellStyle name="_DPF_VSE WFP_101029-with more ViewPad 7_lightling" xfId="0"/>
    <cellStyle name="_DPF_VSE WFP_101029-with more ViewPad 7_lightling 2" xfId="0"/>
    <cellStyle name="_DPF_VSE WFP_101029-with more ViewPad 7_lightling_By Region" xfId="0"/>
    <cellStyle name="_DPF_VSE WFP_101029-with more ViewPad 7_lightling_CORP SG&amp;A" xfId="0"/>
    <cellStyle name="_DPF_VSE WFP_101029-with more ViewPad 7_PC Products" xfId="0"/>
    <cellStyle name="_DPF_VSE WFP_101029-with more ViewPad 7_PC Products 2" xfId="0"/>
    <cellStyle name="_DPF_VSE WFP_101029-with more ViewPad 7_PC Products 3" xfId="0"/>
    <cellStyle name="_DPF_VSE WFP_101029-with more ViewPad 7_PC Products 4" xfId="0"/>
    <cellStyle name="_DPF_VSE WFP_101029-with more ViewPad 7_PC Products 4 2" xfId="0"/>
    <cellStyle name="_DPF_VSE WFP_101029-with more ViewPad 7_PC Products_By Region" xfId="0"/>
    <cellStyle name="_DPF_VSE WFP_101029-with more ViewPad 7_PC Products_CORP SG&amp;A" xfId="0"/>
    <cellStyle name="_DPF_VSE WFP_101029-with more ViewPad 7_PC Products_LCD" xfId="0"/>
    <cellStyle name="_DPF_VSE WFP_101029-with more ViewPad 7_PC Products_PJ" xfId="0"/>
    <cellStyle name="_DPF_VSE WFP_101029-with more ViewPad 7_VSA 111014" xfId="0"/>
    <cellStyle name="_DPF_VSE WFP_101029-with more ViewPad 7_VSA 111014 2" xfId="0"/>
    <cellStyle name="_DPF_VSE WFP_101029-with more ViewPad 7_VSA 111014 3" xfId="0"/>
    <cellStyle name="_DPF_VSE WFP_101029-with more ViewPad 7_VSA 111014 4" xfId="0"/>
    <cellStyle name="_DPF_VSE WFP_101029-with more ViewPad 7_VSA 111014 4 2" xfId="0"/>
    <cellStyle name="_DPF_VSE WFP_101029-with more ViewPad 7_VSA 111014_By Region" xfId="0"/>
    <cellStyle name="_DPF_VSE WFP_101029-with more ViewPad 7_VSA 111014_CORP SG&amp;A" xfId="0"/>
    <cellStyle name="_DPF_VSE WFP_101029-with more ViewPad 7_VSA 111014_LCD" xfId="0"/>
    <cellStyle name="_DPF_VSE WFP_101029-with more ViewPad 7_VSA 111014_PJ" xfId="0"/>
    <cellStyle name="_DPF_VSE WFP_101029-with more ViewPad 7_VSA Roll-Up (LW)" xfId="0"/>
    <cellStyle name="_DPF_VSE WFP_101029-with more ViewPad 7_VSA Roll-Up (LW) 2" xfId="0"/>
    <cellStyle name="_DPF_VSE WFP_101029-with more ViewPad 7_VSA Roll-Up (LW) 3" xfId="0"/>
    <cellStyle name="_DPF_VSE WFP_101029-with more ViewPad 7_VSA Roll-Up (LW) 4" xfId="0"/>
    <cellStyle name="_DPF_VSE WFP_101029-with more ViewPad 7_VSA Roll-Up (LW) 4 2" xfId="0"/>
    <cellStyle name="_DPF_VSE WFP_101029-with more ViewPad 7_VSA Roll-Up (LW)_By Region" xfId="0"/>
    <cellStyle name="_DPF_VSE WFP_101029-with more ViewPad 7_VSA Roll-Up (LW)_CORP SG&amp;A" xfId="0"/>
    <cellStyle name="_DPF_VSE WFP_101029-with more ViewPad 7_VSA Roll-Up (LW)_LCD" xfId="0"/>
    <cellStyle name="_DPF_VSE WFP_101029-with more ViewPad 7_VSA Roll-Up (LW)_PJ" xfId="0"/>
    <cellStyle name="_draft" xfId="0"/>
    <cellStyle name="_draft 2" xfId="0"/>
    <cellStyle name="_draft_1" xfId="0"/>
    <cellStyle name="_draft_1 2" xfId="0"/>
    <cellStyle name="_draft_CORP SG&amp;A" xfId="0"/>
    <cellStyle name="_DS" xfId="0"/>
    <cellStyle name="_DS 2" xfId="0"/>
    <cellStyle name="_DS 3" xfId="0"/>
    <cellStyle name="_DS 4" xfId="0"/>
    <cellStyle name="_DS 5" xfId="0"/>
    <cellStyle name="_DS DCR" xfId="0"/>
    <cellStyle name="_DS DCR 2" xfId="0"/>
    <cellStyle name="_DS DCR_VSE DCR Planning Model and Trend Charts 20100118" xfId="0"/>
    <cellStyle name="_DS DCR_VSE DCR Planning Model and Trend Charts 20100118 2" xfId="0"/>
    <cellStyle name="_DS DCR_VSE DCR Planning Model and Trend Charts 20100315" xfId="0"/>
    <cellStyle name="_DS DCR_VSE DCR Planning Model and Trend Charts 20100315 2" xfId="0"/>
    <cellStyle name="_DS_By Region" xfId="0"/>
    <cellStyle name="_DS_CIS" xfId="0"/>
    <cellStyle name="_DS_CIS 2" xfId="0"/>
    <cellStyle name="_DS_CIS 3" xfId="0"/>
    <cellStyle name="_DS_CIS 4" xfId="0"/>
    <cellStyle name="_DS_CIS_By Region" xfId="0"/>
    <cellStyle name="_DS_CIS_CORP SG&amp;A" xfId="0"/>
    <cellStyle name="_DS_CIS_Digitizer" xfId="0"/>
    <cellStyle name="_DS_CIS_GPS OTHER" xfId="0"/>
    <cellStyle name="_DS_CIS_GPS OTHER 2" xfId="0"/>
    <cellStyle name="_DS_CIS_GPS OTHER 3" xfId="0"/>
    <cellStyle name="_DS_CIS_GPS OTHER 4" xfId="0"/>
    <cellStyle name="_DS_CIS_GPS OTHER 4 2" xfId="0"/>
    <cellStyle name="_DS_CIS_GPS OTHER_By Region" xfId="0"/>
    <cellStyle name="_DS_CIS_GPS OTHER_CORP SG&amp;A" xfId="0"/>
    <cellStyle name="_DS_CIS_GPS OTHER_LCD" xfId="0"/>
    <cellStyle name="_DS_CIS_GPS OTHER_PJ" xfId="0"/>
    <cellStyle name="_DS_CIS_LCD" xfId="0"/>
    <cellStyle name="_DS_CIS_LCD 2" xfId="0"/>
    <cellStyle name="_DS_CIS_LCD 3" xfId="0"/>
    <cellStyle name="_DS_CIS_LCD 4" xfId="0"/>
    <cellStyle name="_DS_CIS_LCD_By Region" xfId="0"/>
    <cellStyle name="_DS_CIS_LCD_CORP SG&amp;A" xfId="0"/>
    <cellStyle name="_DS_CIS_LCD_LCD" xfId="0"/>
    <cellStyle name="_DS_CIS_LCD_PJ" xfId="0"/>
    <cellStyle name="_DS_CIS_lightling" xfId="0"/>
    <cellStyle name="_DS_CIS_lightling 2" xfId="0"/>
    <cellStyle name="_DS_CIS_lightling_By Region" xfId="0"/>
    <cellStyle name="_DS_CIS_lightling_CORP SG&amp;A" xfId="0"/>
    <cellStyle name="_DS_CIS_PC Products" xfId="0"/>
    <cellStyle name="_DS_CIS_PC Products 2" xfId="0"/>
    <cellStyle name="_DS_CIS_PC Products 3" xfId="0"/>
    <cellStyle name="_DS_CIS_PC Products 4" xfId="0"/>
    <cellStyle name="_DS_CIS_PC Products 4 2" xfId="0"/>
    <cellStyle name="_DS_CIS_PC Products_By Region" xfId="0"/>
    <cellStyle name="_DS_CIS_PC Products_CORP SG&amp;A" xfId="0"/>
    <cellStyle name="_DS_CIS_PC Products_LCD" xfId="0"/>
    <cellStyle name="_DS_CIS_PC Products_PJ" xfId="0"/>
    <cellStyle name="_DS_CIS_VSA 111014" xfId="0"/>
    <cellStyle name="_DS_CIS_VSA 111014 2" xfId="0"/>
    <cellStyle name="_DS_CIS_VSA 111014 3" xfId="0"/>
    <cellStyle name="_DS_CIS_VSA 111014 4" xfId="0"/>
    <cellStyle name="_DS_CIS_VSA 111014 4 2" xfId="0"/>
    <cellStyle name="_DS_CIS_VSA 111014_By Region" xfId="0"/>
    <cellStyle name="_DS_CIS_VSA 111014_CORP SG&amp;A" xfId="0"/>
    <cellStyle name="_DS_CIS_VSA 111014_LCD" xfId="0"/>
    <cellStyle name="_DS_CIS_VSA 111014_PJ" xfId="0"/>
    <cellStyle name="_DS_CIS_VSA Roll-Up (LW)" xfId="0"/>
    <cellStyle name="_DS_CIS_VSA Roll-Up (LW) 2" xfId="0"/>
    <cellStyle name="_DS_CIS_VSA Roll-Up (LW) 3" xfId="0"/>
    <cellStyle name="_DS_CIS_VSA Roll-Up (LW) 4" xfId="0"/>
    <cellStyle name="_DS_CIS_VSA Roll-Up (LW) 4 2" xfId="0"/>
    <cellStyle name="_DS_CIS_VSA Roll-Up (LW)_By Region" xfId="0"/>
    <cellStyle name="_DS_CIS_VSA Roll-Up (LW)_CORP SG&amp;A" xfId="0"/>
    <cellStyle name="_DS_CIS_VSA Roll-Up (LW)_LCD" xfId="0"/>
    <cellStyle name="_DS_CIS_VSA Roll-Up (LW)_PJ" xfId="0"/>
    <cellStyle name="_DS_CORP SG&amp;A" xfId="0"/>
    <cellStyle name="_DS_CRT" xfId="0"/>
    <cellStyle name="_DS_CRT 2" xfId="0"/>
    <cellStyle name="_DS_CRT 3" xfId="0"/>
    <cellStyle name="_DS_CRT 4" xfId="0"/>
    <cellStyle name="_DS_CRT_By Region" xfId="0"/>
    <cellStyle name="_DS_CRT_CORP SG&amp;A" xfId="0"/>
    <cellStyle name="_DS_CRT_Digitizer" xfId="0"/>
    <cellStyle name="_DS_CRT_GPS OTHER" xfId="0"/>
    <cellStyle name="_DS_CRT_GPS OTHER 2" xfId="0"/>
    <cellStyle name="_DS_CRT_GPS OTHER 3" xfId="0"/>
    <cellStyle name="_DS_CRT_GPS OTHER 4" xfId="0"/>
    <cellStyle name="_DS_CRT_GPS OTHER 4 2" xfId="0"/>
    <cellStyle name="_DS_CRT_GPS OTHER_By Region" xfId="0"/>
    <cellStyle name="_DS_CRT_GPS OTHER_CORP SG&amp;A" xfId="0"/>
    <cellStyle name="_DS_CRT_GPS OTHER_LCD" xfId="0"/>
    <cellStyle name="_DS_CRT_GPS OTHER_PJ" xfId="0"/>
    <cellStyle name="_DS_CRT_LCD" xfId="0"/>
    <cellStyle name="_DS_CRT_LCD 2" xfId="0"/>
    <cellStyle name="_DS_CRT_LCD 3" xfId="0"/>
    <cellStyle name="_DS_CRT_LCD 4" xfId="0"/>
    <cellStyle name="_DS_CRT_LCD_By Region" xfId="0"/>
    <cellStyle name="_DS_CRT_LCD_CORP SG&amp;A" xfId="0"/>
    <cellStyle name="_DS_CRT_LCD_LCD" xfId="0"/>
    <cellStyle name="_DS_CRT_LCD_PJ" xfId="0"/>
    <cellStyle name="_DS_CRT_lightling" xfId="0"/>
    <cellStyle name="_DS_CRT_lightling 2" xfId="0"/>
    <cellStyle name="_DS_CRT_lightling_By Region" xfId="0"/>
    <cellStyle name="_DS_CRT_lightling_CORP SG&amp;A" xfId="0"/>
    <cellStyle name="_DS_CRT_PC Products" xfId="0"/>
    <cellStyle name="_DS_CRT_PC Products 2" xfId="0"/>
    <cellStyle name="_DS_CRT_PC Products 3" xfId="0"/>
    <cellStyle name="_DS_CRT_PC Products 4" xfId="0"/>
    <cellStyle name="_DS_CRT_PC Products 4 2" xfId="0"/>
    <cellStyle name="_DS_CRT_PC Products_By Region" xfId="0"/>
    <cellStyle name="_DS_CRT_PC Products_CORP SG&amp;A" xfId="0"/>
    <cellStyle name="_DS_CRT_PC Products_LCD" xfId="0"/>
    <cellStyle name="_DS_CRT_PC Products_PJ" xfId="0"/>
    <cellStyle name="_DS_CRT_VSA 111014" xfId="0"/>
    <cellStyle name="_DS_CRT_VSA 111014 2" xfId="0"/>
    <cellStyle name="_DS_CRT_VSA 111014 3" xfId="0"/>
    <cellStyle name="_DS_CRT_VSA 111014 4" xfId="0"/>
    <cellStyle name="_DS_CRT_VSA 111014 4 2" xfId="0"/>
    <cellStyle name="_DS_CRT_VSA 111014_By Region" xfId="0"/>
    <cellStyle name="_DS_CRT_VSA 111014_CORP SG&amp;A" xfId="0"/>
    <cellStyle name="_DS_CRT_VSA 111014_LCD" xfId="0"/>
    <cellStyle name="_DS_CRT_VSA 111014_PJ" xfId="0"/>
    <cellStyle name="_DS_CRT_VSA Roll-Up (LW)" xfId="0"/>
    <cellStyle name="_DS_CRT_VSA Roll-Up (LW) 2" xfId="0"/>
    <cellStyle name="_DS_CRT_VSA Roll-Up (LW) 3" xfId="0"/>
    <cellStyle name="_DS_CRT_VSA Roll-Up (LW) 4" xfId="0"/>
    <cellStyle name="_DS_CRT_VSA Roll-Up (LW) 4 2" xfId="0"/>
    <cellStyle name="_DS_CRT_VSA Roll-Up (LW)_By Region" xfId="0"/>
    <cellStyle name="_DS_CRT_VSA Roll-Up (LW)_CORP SG&amp;A" xfId="0"/>
    <cellStyle name="_DS_CRT_VSA Roll-Up (LW)_LCD" xfId="0"/>
    <cellStyle name="_DS_CRT_VSA Roll-Up (LW)_PJ" xfId="0"/>
    <cellStyle name="_DS_Diff" xfId="0"/>
    <cellStyle name="_DS_Diff 2" xfId="0"/>
    <cellStyle name="_DS_Diff 3" xfId="0"/>
    <cellStyle name="_DS_Diff 4" xfId="0"/>
    <cellStyle name="_DS_Diff_By Region" xfId="0"/>
    <cellStyle name="_DS_Diff_CORP SG&amp;A" xfId="0"/>
    <cellStyle name="_DS_Diff_Digitizer" xfId="0"/>
    <cellStyle name="_DS_Diff_GPS OTHER" xfId="0"/>
    <cellStyle name="_DS_Diff_GPS OTHER 2" xfId="0"/>
    <cellStyle name="_DS_Diff_GPS OTHER 3" xfId="0"/>
    <cellStyle name="_DS_Diff_GPS OTHER 4" xfId="0"/>
    <cellStyle name="_DS_Diff_GPS OTHER 4 2" xfId="0"/>
    <cellStyle name="_DS_Diff_GPS OTHER_By Region" xfId="0"/>
    <cellStyle name="_DS_Diff_GPS OTHER_CORP SG&amp;A" xfId="0"/>
    <cellStyle name="_DS_Diff_GPS OTHER_LCD" xfId="0"/>
    <cellStyle name="_DS_Diff_GPS OTHER_PJ" xfId="0"/>
    <cellStyle name="_DS_Diff_LCD" xfId="0"/>
    <cellStyle name="_DS_Diff_LCD 2" xfId="0"/>
    <cellStyle name="_DS_Diff_LCD 3" xfId="0"/>
    <cellStyle name="_DS_Diff_LCD 4" xfId="0"/>
    <cellStyle name="_DS_Diff_LCD_By Region" xfId="0"/>
    <cellStyle name="_DS_Diff_LCD_CORP SG&amp;A" xfId="0"/>
    <cellStyle name="_DS_Diff_LCD_LCD" xfId="0"/>
    <cellStyle name="_DS_Diff_LCD_PJ" xfId="0"/>
    <cellStyle name="_DS_Diff_lightling" xfId="0"/>
    <cellStyle name="_DS_Diff_lightling 2" xfId="0"/>
    <cellStyle name="_DS_Diff_lightling_By Region" xfId="0"/>
    <cellStyle name="_DS_Diff_lightling_CORP SG&amp;A" xfId="0"/>
    <cellStyle name="_DS_Diff_PC Products" xfId="0"/>
    <cellStyle name="_DS_Diff_PC Products 2" xfId="0"/>
    <cellStyle name="_DS_Diff_PC Products 3" xfId="0"/>
    <cellStyle name="_DS_Diff_PC Products 4" xfId="0"/>
    <cellStyle name="_DS_Diff_PC Products 4 2" xfId="0"/>
    <cellStyle name="_DS_Diff_PC Products_By Region" xfId="0"/>
    <cellStyle name="_DS_Diff_PC Products_CORP SG&amp;A" xfId="0"/>
    <cellStyle name="_DS_Diff_PC Products_LCD" xfId="0"/>
    <cellStyle name="_DS_Diff_PC Products_PJ" xfId="0"/>
    <cellStyle name="_DS_Diff_VSA 111014" xfId="0"/>
    <cellStyle name="_DS_Diff_VSA 111014 2" xfId="0"/>
    <cellStyle name="_DS_Diff_VSA 111014 3" xfId="0"/>
    <cellStyle name="_DS_Diff_VSA 111014 4" xfId="0"/>
    <cellStyle name="_DS_Diff_VSA 111014 4 2" xfId="0"/>
    <cellStyle name="_DS_Diff_VSA 111014_By Region" xfId="0"/>
    <cellStyle name="_DS_Diff_VSA 111014_CORP SG&amp;A" xfId="0"/>
    <cellStyle name="_DS_Diff_VSA 111014_LCD" xfId="0"/>
    <cellStyle name="_DS_Diff_VSA 111014_PJ" xfId="0"/>
    <cellStyle name="_DS_Diff_VSA Roll-Up (LW)" xfId="0"/>
    <cellStyle name="_DS_Diff_VSA Roll-Up (LW) 2" xfId="0"/>
    <cellStyle name="_DS_Diff_VSA Roll-Up (LW) 3" xfId="0"/>
    <cellStyle name="_DS_Diff_VSA Roll-Up (LW) 4" xfId="0"/>
    <cellStyle name="_DS_Diff_VSA Roll-Up (LW) 4 2" xfId="0"/>
    <cellStyle name="_DS_Diff_VSA Roll-Up (LW)_By Region" xfId="0"/>
    <cellStyle name="_DS_Diff_VSA Roll-Up (LW)_CORP SG&amp;A" xfId="0"/>
    <cellStyle name="_DS_Diff_VSA Roll-Up (LW)_LCD" xfId="0"/>
    <cellStyle name="_DS_Diff_VSA Roll-Up (LW)_PJ" xfId="0"/>
    <cellStyle name="_DS_Digital Product" xfId="0"/>
    <cellStyle name="_DS_Digital Product 2" xfId="0"/>
    <cellStyle name="_DS_Digital Product 3" xfId="0"/>
    <cellStyle name="_DS_Digital Product 4" xfId="0"/>
    <cellStyle name="_DS_Digital Product_By Region" xfId="0"/>
    <cellStyle name="_DS_Digital Product_CORP SG&amp;A" xfId="0"/>
    <cellStyle name="_DS_Digital Product_Digitizer" xfId="0"/>
    <cellStyle name="_DS_Digital Product_GPS OTHER" xfId="0"/>
    <cellStyle name="_DS_Digital Product_GPS OTHER 2" xfId="0"/>
    <cellStyle name="_DS_Digital Product_GPS OTHER 3" xfId="0"/>
    <cellStyle name="_DS_Digital Product_GPS OTHER 4" xfId="0"/>
    <cellStyle name="_DS_Digital Product_GPS OTHER 4 2" xfId="0"/>
    <cellStyle name="_DS_Digital Product_GPS OTHER_By Region" xfId="0"/>
    <cellStyle name="_DS_Digital Product_GPS OTHER_CORP SG&amp;A" xfId="0"/>
    <cellStyle name="_DS_Digital Product_GPS OTHER_LCD" xfId="0"/>
    <cellStyle name="_DS_Digital Product_GPS OTHER_PJ" xfId="0"/>
    <cellStyle name="_DS_Digital Product_LCD" xfId="0"/>
    <cellStyle name="_DS_Digital Product_LCD 2" xfId="0"/>
    <cellStyle name="_DS_Digital Product_LCD 3" xfId="0"/>
    <cellStyle name="_DS_Digital Product_LCD 4" xfId="0"/>
    <cellStyle name="_DS_Digital Product_LCD_By Region" xfId="0"/>
    <cellStyle name="_DS_Digital Product_LCD_CORP SG&amp;A" xfId="0"/>
    <cellStyle name="_DS_Digital Product_LCD_LCD" xfId="0"/>
    <cellStyle name="_DS_Digital Product_LCD_PJ" xfId="0"/>
    <cellStyle name="_DS_Digital Product_lightling" xfId="0"/>
    <cellStyle name="_DS_Digital Product_lightling 2" xfId="0"/>
    <cellStyle name="_DS_Digital Product_lightling_By Region" xfId="0"/>
    <cellStyle name="_DS_Digital Product_lightling_CORP SG&amp;A" xfId="0"/>
    <cellStyle name="_DS_Digital Product_PC Products" xfId="0"/>
    <cellStyle name="_DS_Digital Product_PC Products 2" xfId="0"/>
    <cellStyle name="_DS_Digital Product_PC Products 3" xfId="0"/>
    <cellStyle name="_DS_Digital Product_PC Products 4" xfId="0"/>
    <cellStyle name="_DS_Digital Product_PC Products 4 2" xfId="0"/>
    <cellStyle name="_DS_Digital Product_PC Products_By Region" xfId="0"/>
    <cellStyle name="_DS_Digital Product_PC Products_CORP SG&amp;A" xfId="0"/>
    <cellStyle name="_DS_Digital Product_PC Products_LCD" xfId="0"/>
    <cellStyle name="_DS_Digital Product_PC Products_PJ" xfId="0"/>
    <cellStyle name="_DS_Digital Product_VSA 111014" xfId="0"/>
    <cellStyle name="_DS_Digital Product_VSA 111014 2" xfId="0"/>
    <cellStyle name="_DS_Digital Product_VSA 111014 3" xfId="0"/>
    <cellStyle name="_DS_Digital Product_VSA 111014 4" xfId="0"/>
    <cellStyle name="_DS_Digital Product_VSA 111014 4 2" xfId="0"/>
    <cellStyle name="_DS_Digital Product_VSA 111014_By Region" xfId="0"/>
    <cellStyle name="_DS_Digital Product_VSA 111014_CORP SG&amp;A" xfId="0"/>
    <cellStyle name="_DS_Digital Product_VSA 111014_LCD" xfId="0"/>
    <cellStyle name="_DS_Digital Product_VSA 111014_PJ" xfId="0"/>
    <cellStyle name="_DS_Digital Product_VSA Roll-Up (LW)" xfId="0"/>
    <cellStyle name="_DS_Digital Product_VSA Roll-Up (LW) 2" xfId="0"/>
    <cellStyle name="_DS_Digital Product_VSA Roll-Up (LW) 3" xfId="0"/>
    <cellStyle name="_DS_Digital Product_VSA Roll-Up (LW) 4" xfId="0"/>
    <cellStyle name="_DS_Digital Product_VSA Roll-Up (LW) 4 2" xfId="0"/>
    <cellStyle name="_DS_Digital Product_VSA Roll-Up (LW)_By Region" xfId="0"/>
    <cellStyle name="_DS_Digital Product_VSA Roll-Up (LW)_CORP SG&amp;A" xfId="0"/>
    <cellStyle name="_DS_Digital Product_VSA Roll-Up (LW)_LCD" xfId="0"/>
    <cellStyle name="_DS_Digital Product_VSA Roll-Up (LW)_PJ" xfId="0"/>
    <cellStyle name="_DS_Digital Signage" xfId="0"/>
    <cellStyle name="_DS_Digital Signage 2" xfId="0"/>
    <cellStyle name="_DS_Digital Signage 3" xfId="0"/>
    <cellStyle name="_DS_Digital Signage 4" xfId="0"/>
    <cellStyle name="_DS_Digital Signage_By Region" xfId="0"/>
    <cellStyle name="_DS_Digital Signage_CORP SG&amp;A" xfId="0"/>
    <cellStyle name="_DS_Digital Signage_Digitizer" xfId="0"/>
    <cellStyle name="_DS_Digital Signage_GPS OTHER" xfId="0"/>
    <cellStyle name="_DS_Digital Signage_GPS OTHER 2" xfId="0"/>
    <cellStyle name="_DS_Digital Signage_GPS OTHER 3" xfId="0"/>
    <cellStyle name="_DS_Digital Signage_GPS OTHER 4" xfId="0"/>
    <cellStyle name="_DS_Digital Signage_GPS OTHER 4 2" xfId="0"/>
    <cellStyle name="_DS_Digital Signage_GPS OTHER_By Region" xfId="0"/>
    <cellStyle name="_DS_Digital Signage_GPS OTHER_CORP SG&amp;A" xfId="0"/>
    <cellStyle name="_DS_Digital Signage_GPS OTHER_LCD" xfId="0"/>
    <cellStyle name="_DS_Digital Signage_GPS OTHER_PJ" xfId="0"/>
    <cellStyle name="_DS_Digital Signage_LCD" xfId="0"/>
    <cellStyle name="_DS_Digital Signage_LCD 2" xfId="0"/>
    <cellStyle name="_DS_Digital Signage_LCD 3" xfId="0"/>
    <cellStyle name="_DS_Digital Signage_LCD 4" xfId="0"/>
    <cellStyle name="_DS_Digital Signage_LCD_By Region" xfId="0"/>
    <cellStyle name="_DS_Digital Signage_LCD_CORP SG&amp;A" xfId="0"/>
    <cellStyle name="_DS_Digital Signage_LCD_LCD" xfId="0"/>
    <cellStyle name="_DS_Digital Signage_LCD_PJ" xfId="0"/>
    <cellStyle name="_DS_Digital Signage_lightling" xfId="0"/>
    <cellStyle name="_DS_Digital Signage_lightling 2" xfId="0"/>
    <cellStyle name="_DS_Digital Signage_lightling_By Region" xfId="0"/>
    <cellStyle name="_DS_Digital Signage_lightling_CORP SG&amp;A" xfId="0"/>
    <cellStyle name="_DS_Digital Signage_PC Products" xfId="0"/>
    <cellStyle name="_DS_Digital Signage_PC Products 2" xfId="0"/>
    <cellStyle name="_DS_Digital Signage_PC Products 3" xfId="0"/>
    <cellStyle name="_DS_Digital Signage_PC Products 4" xfId="0"/>
    <cellStyle name="_DS_Digital Signage_PC Products 4 2" xfId="0"/>
    <cellStyle name="_DS_Digital Signage_PC Products_By Region" xfId="0"/>
    <cellStyle name="_DS_Digital Signage_PC Products_CORP SG&amp;A" xfId="0"/>
    <cellStyle name="_DS_Digital Signage_PC Products_LCD" xfId="0"/>
    <cellStyle name="_DS_Digital Signage_PC Products_PJ" xfId="0"/>
    <cellStyle name="_DS_Digital Signage_VSA 111014" xfId="0"/>
    <cellStyle name="_DS_Digital Signage_VSA 111014 2" xfId="0"/>
    <cellStyle name="_DS_Digital Signage_VSA 111014 3" xfId="0"/>
    <cellStyle name="_DS_Digital Signage_VSA 111014 4" xfId="0"/>
    <cellStyle name="_DS_Digital Signage_VSA 111014 4 2" xfId="0"/>
    <cellStyle name="_DS_Digital Signage_VSA 111014_By Region" xfId="0"/>
    <cellStyle name="_DS_Digital Signage_VSA 111014_CORP SG&amp;A" xfId="0"/>
    <cellStyle name="_DS_Digital Signage_VSA 111014_LCD" xfId="0"/>
    <cellStyle name="_DS_Digital Signage_VSA 111014_PJ" xfId="0"/>
    <cellStyle name="_DS_Digital Signage_VSA Roll-Up (LW)" xfId="0"/>
    <cellStyle name="_DS_Digital Signage_VSA Roll-Up (LW) 2" xfId="0"/>
    <cellStyle name="_DS_Digital Signage_VSA Roll-Up (LW) 3" xfId="0"/>
    <cellStyle name="_DS_Digital Signage_VSA Roll-Up (LW) 4" xfId="0"/>
    <cellStyle name="_DS_Digital Signage_VSA Roll-Up (LW) 4 2" xfId="0"/>
    <cellStyle name="_DS_Digital Signage_VSA Roll-Up (LW)_By Region" xfId="0"/>
    <cellStyle name="_DS_Digital Signage_VSA Roll-Up (LW)_CORP SG&amp;A" xfId="0"/>
    <cellStyle name="_DS_Digital Signage_VSA Roll-Up (LW)_LCD" xfId="0"/>
    <cellStyle name="_DS_Digital Signage_VSA Roll-Up (LW)_PJ" xfId="0"/>
    <cellStyle name="_DS_Digitizer" xfId="0"/>
    <cellStyle name="_DS_DMA(VMP)" xfId="0"/>
    <cellStyle name="_DS_DMA(VMP) 2" xfId="0"/>
    <cellStyle name="_DS_DMA(VMP) 3" xfId="0"/>
    <cellStyle name="_DS_DMA(VMP) 4" xfId="0"/>
    <cellStyle name="_DS_DMA(VMP)_By Region" xfId="0"/>
    <cellStyle name="_DS_DMA(VMP)_CORP SG&amp;A" xfId="0"/>
    <cellStyle name="_DS_DMA(VMP)_Digitizer" xfId="0"/>
    <cellStyle name="_DS_DMA(VMP)_GPS OTHER" xfId="0"/>
    <cellStyle name="_DS_DMA(VMP)_GPS OTHER 2" xfId="0"/>
    <cellStyle name="_DS_DMA(VMP)_GPS OTHER 3" xfId="0"/>
    <cellStyle name="_DS_DMA(VMP)_GPS OTHER 4" xfId="0"/>
    <cellStyle name="_DS_DMA(VMP)_GPS OTHER 4 2" xfId="0"/>
    <cellStyle name="_DS_DMA(VMP)_GPS OTHER_By Region" xfId="0"/>
    <cellStyle name="_DS_DMA(VMP)_GPS OTHER_CORP SG&amp;A" xfId="0"/>
    <cellStyle name="_DS_DMA(VMP)_GPS OTHER_LCD" xfId="0"/>
    <cellStyle name="_DS_DMA(VMP)_GPS OTHER_PJ" xfId="0"/>
    <cellStyle name="_DS_DMA(VMP)_LCD" xfId="0"/>
    <cellStyle name="_DS_DMA(VMP)_LCD 2" xfId="0"/>
    <cellStyle name="_DS_DMA(VMP)_LCD 3" xfId="0"/>
    <cellStyle name="_DS_DMA(VMP)_LCD 4" xfId="0"/>
    <cellStyle name="_DS_DMA(VMP)_LCD_By Region" xfId="0"/>
    <cellStyle name="_DS_DMA(VMP)_LCD_CORP SG&amp;A" xfId="0"/>
    <cellStyle name="_DS_DMA(VMP)_LCD_LCD" xfId="0"/>
    <cellStyle name="_DS_DMA(VMP)_LCD_PJ" xfId="0"/>
    <cellStyle name="_DS_DMA(VMP)_lightling" xfId="0"/>
    <cellStyle name="_DS_DMA(VMP)_lightling 2" xfId="0"/>
    <cellStyle name="_DS_DMA(VMP)_lightling_By Region" xfId="0"/>
    <cellStyle name="_DS_DMA(VMP)_lightling_CORP SG&amp;A" xfId="0"/>
    <cellStyle name="_DS_DMA(VMP)_PC Products" xfId="0"/>
    <cellStyle name="_DS_DMA(VMP)_PC Products 2" xfId="0"/>
    <cellStyle name="_DS_DMA(VMP)_PC Products 3" xfId="0"/>
    <cellStyle name="_DS_DMA(VMP)_PC Products 4" xfId="0"/>
    <cellStyle name="_DS_DMA(VMP)_PC Products 4 2" xfId="0"/>
    <cellStyle name="_DS_DMA(VMP)_PC Products_By Region" xfId="0"/>
    <cellStyle name="_DS_DMA(VMP)_PC Products_CORP SG&amp;A" xfId="0"/>
    <cellStyle name="_DS_DMA(VMP)_PC Products_LCD" xfId="0"/>
    <cellStyle name="_DS_DMA(VMP)_PC Products_PJ" xfId="0"/>
    <cellStyle name="_DS_DMA(VMP)_VSA 111014" xfId="0"/>
    <cellStyle name="_DS_DMA(VMP)_VSA 111014 2" xfId="0"/>
    <cellStyle name="_DS_DMA(VMP)_VSA 111014 3" xfId="0"/>
    <cellStyle name="_DS_DMA(VMP)_VSA 111014 4" xfId="0"/>
    <cellStyle name="_DS_DMA(VMP)_VSA 111014 4 2" xfId="0"/>
    <cellStyle name="_DS_DMA(VMP)_VSA 111014_By Region" xfId="0"/>
    <cellStyle name="_DS_DMA(VMP)_VSA 111014_CORP SG&amp;A" xfId="0"/>
    <cellStyle name="_DS_DMA(VMP)_VSA 111014_LCD" xfId="0"/>
    <cellStyle name="_DS_DMA(VMP)_VSA 111014_PJ" xfId="0"/>
    <cellStyle name="_DS_DMA(VMP)_VSA Roll-Up (LW)" xfId="0"/>
    <cellStyle name="_DS_DMA(VMP)_VSA Roll-Up (LW) 2" xfId="0"/>
    <cellStyle name="_DS_DMA(VMP)_VSA Roll-Up (LW) 3" xfId="0"/>
    <cellStyle name="_DS_DMA(VMP)_VSA Roll-Up (LW) 4" xfId="0"/>
    <cellStyle name="_DS_DMA(VMP)_VSA Roll-Up (LW) 4 2" xfId="0"/>
    <cellStyle name="_DS_DMA(VMP)_VSA Roll-Up (LW)_By Region" xfId="0"/>
    <cellStyle name="_DS_DMA(VMP)_VSA Roll-Up (LW)_CORP SG&amp;A" xfId="0"/>
    <cellStyle name="_DS_DMA(VMP)_VSA Roll-Up (LW)_LCD" xfId="0"/>
    <cellStyle name="_DS_DMA(VMP)_VSA Roll-Up (LW)_PJ" xfId="0"/>
    <cellStyle name="_DS_DPF" xfId="0"/>
    <cellStyle name="_DS_DPF 2" xfId="0"/>
    <cellStyle name="_DS_DPF 3" xfId="0"/>
    <cellStyle name="_DS_DPF 4" xfId="0"/>
    <cellStyle name="_DS_DPF_By Region" xfId="0"/>
    <cellStyle name="_DS_DPF_CORP SG&amp;A" xfId="0"/>
    <cellStyle name="_DS_DPF_Digitizer" xfId="0"/>
    <cellStyle name="_DS_DPF_GPS OTHER" xfId="0"/>
    <cellStyle name="_DS_DPF_GPS OTHER 2" xfId="0"/>
    <cellStyle name="_DS_DPF_GPS OTHER 3" xfId="0"/>
    <cellStyle name="_DS_DPF_GPS OTHER 4" xfId="0"/>
    <cellStyle name="_DS_DPF_GPS OTHER 4 2" xfId="0"/>
    <cellStyle name="_DS_DPF_GPS OTHER_By Region" xfId="0"/>
    <cellStyle name="_DS_DPF_GPS OTHER_CORP SG&amp;A" xfId="0"/>
    <cellStyle name="_DS_DPF_GPS OTHER_LCD" xfId="0"/>
    <cellStyle name="_DS_DPF_GPS OTHER_PJ" xfId="0"/>
    <cellStyle name="_DS_DPF_LCD" xfId="0"/>
    <cellStyle name="_DS_DPF_LCD 2" xfId="0"/>
    <cellStyle name="_DS_DPF_LCD 3" xfId="0"/>
    <cellStyle name="_DS_DPF_LCD 4" xfId="0"/>
    <cellStyle name="_DS_DPF_LCD_By Region" xfId="0"/>
    <cellStyle name="_DS_DPF_LCD_CORP SG&amp;A" xfId="0"/>
    <cellStyle name="_DS_DPF_LCD_LCD" xfId="0"/>
    <cellStyle name="_DS_DPF_LCD_PJ" xfId="0"/>
    <cellStyle name="_DS_DPF_lightling" xfId="0"/>
    <cellStyle name="_DS_DPF_lightling 2" xfId="0"/>
    <cellStyle name="_DS_DPF_lightling_By Region" xfId="0"/>
    <cellStyle name="_DS_DPF_lightling_CORP SG&amp;A" xfId="0"/>
    <cellStyle name="_DS_DPF_PC Products" xfId="0"/>
    <cellStyle name="_DS_DPF_PC Products 2" xfId="0"/>
    <cellStyle name="_DS_DPF_PC Products 3" xfId="0"/>
    <cellStyle name="_DS_DPF_PC Products 4" xfId="0"/>
    <cellStyle name="_DS_DPF_PC Products 4 2" xfId="0"/>
    <cellStyle name="_DS_DPF_PC Products_By Region" xfId="0"/>
    <cellStyle name="_DS_DPF_PC Products_CORP SG&amp;A" xfId="0"/>
    <cellStyle name="_DS_DPF_PC Products_LCD" xfId="0"/>
    <cellStyle name="_DS_DPF_PC Products_PJ" xfId="0"/>
    <cellStyle name="_DS_DPF_VSA 111014" xfId="0"/>
    <cellStyle name="_DS_DPF_VSA 111014 2" xfId="0"/>
    <cellStyle name="_DS_DPF_VSA 111014 3" xfId="0"/>
    <cellStyle name="_DS_DPF_VSA 111014 4" xfId="0"/>
    <cellStyle name="_DS_DPF_VSA 111014 4 2" xfId="0"/>
    <cellStyle name="_DS_DPF_VSA 111014_By Region" xfId="0"/>
    <cellStyle name="_DS_DPF_VSA 111014_CORP SG&amp;A" xfId="0"/>
    <cellStyle name="_DS_DPF_VSA 111014_LCD" xfId="0"/>
    <cellStyle name="_DS_DPF_VSA 111014_PJ" xfId="0"/>
    <cellStyle name="_DS_DPF_VSA Roll-Up (LW)" xfId="0"/>
    <cellStyle name="_DS_DPF_VSA Roll-Up (LW) 2" xfId="0"/>
    <cellStyle name="_DS_DPF_VSA Roll-Up (LW) 3" xfId="0"/>
    <cellStyle name="_DS_DPF_VSA Roll-Up (LW) 4" xfId="0"/>
    <cellStyle name="_DS_DPF_VSA Roll-Up (LW) 4 2" xfId="0"/>
    <cellStyle name="_DS_DPF_VSA Roll-Up (LW)_By Region" xfId="0"/>
    <cellStyle name="_DS_DPF_VSA Roll-Up (LW)_CORP SG&amp;A" xfId="0"/>
    <cellStyle name="_DS_DPF_VSA Roll-Up (LW)_LCD" xfId="0"/>
    <cellStyle name="_DS_DPF_VSA Roll-Up (LW)_PJ" xfId="0"/>
    <cellStyle name="_DS_DS" xfId="0"/>
    <cellStyle name="_DS_DS 2" xfId="0"/>
    <cellStyle name="_DS_DS 3" xfId="0"/>
    <cellStyle name="_DS_DS 4" xfId="0"/>
    <cellStyle name="_DS_DS_By Region" xfId="0"/>
    <cellStyle name="_DS_DS_CORP SG&amp;A" xfId="0"/>
    <cellStyle name="_DS_DS_Digitizer" xfId="0"/>
    <cellStyle name="_DS_DS_GPS OTHER" xfId="0"/>
    <cellStyle name="_DS_DS_GPS OTHER 2" xfId="0"/>
    <cellStyle name="_DS_DS_GPS OTHER 3" xfId="0"/>
    <cellStyle name="_DS_DS_GPS OTHER 4" xfId="0"/>
    <cellStyle name="_DS_DS_GPS OTHER 4 2" xfId="0"/>
    <cellStyle name="_DS_DS_GPS OTHER_By Region" xfId="0"/>
    <cellStyle name="_DS_DS_GPS OTHER_CORP SG&amp;A" xfId="0"/>
    <cellStyle name="_DS_DS_GPS OTHER_LCD" xfId="0"/>
    <cellStyle name="_DS_DS_GPS OTHER_PJ" xfId="0"/>
    <cellStyle name="_DS_DS_LCD" xfId="0"/>
    <cellStyle name="_DS_DS_LCD 2" xfId="0"/>
    <cellStyle name="_DS_DS_LCD 3" xfId="0"/>
    <cellStyle name="_DS_DS_LCD 4" xfId="0"/>
    <cellStyle name="_DS_DS_LCD_By Region" xfId="0"/>
    <cellStyle name="_DS_DS_LCD_CORP SG&amp;A" xfId="0"/>
    <cellStyle name="_DS_DS_LCD_LCD" xfId="0"/>
    <cellStyle name="_DS_DS_LCD_PJ" xfId="0"/>
    <cellStyle name="_DS_DS_lightling" xfId="0"/>
    <cellStyle name="_DS_DS_lightling 2" xfId="0"/>
    <cellStyle name="_DS_DS_lightling_By Region" xfId="0"/>
    <cellStyle name="_DS_DS_lightling_CORP SG&amp;A" xfId="0"/>
    <cellStyle name="_DS_DS_PC Products" xfId="0"/>
    <cellStyle name="_DS_DS_PC Products 2" xfId="0"/>
    <cellStyle name="_DS_DS_PC Products 3" xfId="0"/>
    <cellStyle name="_DS_DS_PC Products 4" xfId="0"/>
    <cellStyle name="_DS_DS_PC Products 4 2" xfId="0"/>
    <cellStyle name="_DS_DS_PC Products_By Region" xfId="0"/>
    <cellStyle name="_DS_DS_PC Products_CORP SG&amp;A" xfId="0"/>
    <cellStyle name="_DS_DS_PC Products_LCD" xfId="0"/>
    <cellStyle name="_DS_DS_PC Products_PJ" xfId="0"/>
    <cellStyle name="_DS_DS_VSA 111014" xfId="0"/>
    <cellStyle name="_DS_DS_VSA 111014 2" xfId="0"/>
    <cellStyle name="_DS_DS_VSA 111014 3" xfId="0"/>
    <cellStyle name="_DS_DS_VSA 111014 4" xfId="0"/>
    <cellStyle name="_DS_DS_VSA 111014 4 2" xfId="0"/>
    <cellStyle name="_DS_DS_VSA 111014_By Region" xfId="0"/>
    <cellStyle name="_DS_DS_VSA 111014_CORP SG&amp;A" xfId="0"/>
    <cellStyle name="_DS_DS_VSA 111014_LCD" xfId="0"/>
    <cellStyle name="_DS_DS_VSA 111014_PJ" xfId="0"/>
    <cellStyle name="_DS_DS_VSA Roll-Up (LW)" xfId="0"/>
    <cellStyle name="_DS_DS_VSA Roll-Up (LW) 2" xfId="0"/>
    <cellStyle name="_DS_DS_VSA Roll-Up (LW) 3" xfId="0"/>
    <cellStyle name="_DS_DS_VSA Roll-Up (LW) 4" xfId="0"/>
    <cellStyle name="_DS_DS_VSA Roll-Up (LW) 4 2" xfId="0"/>
    <cellStyle name="_DS_DS_VSA Roll-Up (LW)_By Region" xfId="0"/>
    <cellStyle name="_DS_DS_VSA Roll-Up (LW)_CORP SG&amp;A" xfId="0"/>
    <cellStyle name="_DS_DS_VSA Roll-Up (LW)_LCD" xfId="0"/>
    <cellStyle name="_DS_DS_VSA Roll-Up (LW)_PJ" xfId="0"/>
    <cellStyle name="_DS_DVD_TV" xfId="0"/>
    <cellStyle name="_DS_DVD_TV 2" xfId="0"/>
    <cellStyle name="_DS_DVD_TV 3" xfId="0"/>
    <cellStyle name="_DS_DVD_TV 4" xfId="0"/>
    <cellStyle name="_DS_DVD_TV_By Region" xfId="0"/>
    <cellStyle name="_DS_DVD_TV_CORP SG&amp;A" xfId="0"/>
    <cellStyle name="_DS_DVD_TV_Digitizer" xfId="0"/>
    <cellStyle name="_DS_DVD_TV_GPS OTHER" xfId="0"/>
    <cellStyle name="_DS_DVD_TV_GPS OTHER 2" xfId="0"/>
    <cellStyle name="_DS_DVD_TV_GPS OTHER 3" xfId="0"/>
    <cellStyle name="_DS_DVD_TV_GPS OTHER 4" xfId="0"/>
    <cellStyle name="_DS_DVD_TV_GPS OTHER 4 2" xfId="0"/>
    <cellStyle name="_DS_DVD_TV_GPS OTHER_By Region" xfId="0"/>
    <cellStyle name="_DS_DVD_TV_GPS OTHER_CORP SG&amp;A" xfId="0"/>
    <cellStyle name="_DS_DVD_TV_GPS OTHER_LCD" xfId="0"/>
    <cellStyle name="_DS_DVD_TV_GPS OTHER_PJ" xfId="0"/>
    <cellStyle name="_DS_DVD_TV_LCD" xfId="0"/>
    <cellStyle name="_DS_DVD_TV_LCD 2" xfId="0"/>
    <cellStyle name="_DS_DVD_TV_LCD 3" xfId="0"/>
    <cellStyle name="_DS_DVD_TV_LCD 4" xfId="0"/>
    <cellStyle name="_DS_DVD_TV_LCD_By Region" xfId="0"/>
    <cellStyle name="_DS_DVD_TV_LCD_CORP SG&amp;A" xfId="0"/>
    <cellStyle name="_DS_DVD_TV_LCD_LCD" xfId="0"/>
    <cellStyle name="_DS_DVD_TV_LCD_PJ" xfId="0"/>
    <cellStyle name="_DS_DVD_TV_lightling" xfId="0"/>
    <cellStyle name="_DS_DVD_TV_lightling 2" xfId="0"/>
    <cellStyle name="_DS_DVD_TV_lightling_By Region" xfId="0"/>
    <cellStyle name="_DS_DVD_TV_lightling_CORP SG&amp;A" xfId="0"/>
    <cellStyle name="_DS_DVD_TV_PC Products" xfId="0"/>
    <cellStyle name="_DS_DVD_TV_PC Products 2" xfId="0"/>
    <cellStyle name="_DS_DVD_TV_PC Products 3" xfId="0"/>
    <cellStyle name="_DS_DVD_TV_PC Products 4" xfId="0"/>
    <cellStyle name="_DS_DVD_TV_PC Products 4 2" xfId="0"/>
    <cellStyle name="_DS_DVD_TV_PC Products_By Region" xfId="0"/>
    <cellStyle name="_DS_DVD_TV_PC Products_CORP SG&amp;A" xfId="0"/>
    <cellStyle name="_DS_DVD_TV_PC Products_LCD" xfId="0"/>
    <cellStyle name="_DS_DVD_TV_PC Products_PJ" xfId="0"/>
    <cellStyle name="_DS_DVD_TV_VSA 111014" xfId="0"/>
    <cellStyle name="_DS_DVD_TV_VSA 111014 2" xfId="0"/>
    <cellStyle name="_DS_DVD_TV_VSA 111014 3" xfId="0"/>
    <cellStyle name="_DS_DVD_TV_VSA 111014 4" xfId="0"/>
    <cellStyle name="_DS_DVD_TV_VSA 111014 4 2" xfId="0"/>
    <cellStyle name="_DS_DVD_TV_VSA 111014_By Region" xfId="0"/>
    <cellStyle name="_DS_DVD_TV_VSA 111014_CORP SG&amp;A" xfId="0"/>
    <cellStyle name="_DS_DVD_TV_VSA 111014_LCD" xfId="0"/>
    <cellStyle name="_DS_DVD_TV_VSA 111014_PJ" xfId="0"/>
    <cellStyle name="_DS_DVD_TV_VSA Roll-Up (LW)" xfId="0"/>
    <cellStyle name="_DS_DVD_TV_VSA Roll-Up (LW) 2" xfId="0"/>
    <cellStyle name="_DS_DVD_TV_VSA Roll-Up (LW) 3" xfId="0"/>
    <cellStyle name="_DS_DVD_TV_VSA Roll-Up (LW) 4" xfId="0"/>
    <cellStyle name="_DS_DVD_TV_VSA Roll-Up (LW) 4 2" xfId="0"/>
    <cellStyle name="_DS_DVD_TV_VSA Roll-Up (LW)_By Region" xfId="0"/>
    <cellStyle name="_DS_DVD_TV_VSA Roll-Up (LW)_CORP SG&amp;A" xfId="0"/>
    <cellStyle name="_DS_DVD_TV_VSA Roll-Up (LW)_LCD" xfId="0"/>
    <cellStyle name="_DS_DVD_TV_VSA Roll-Up (LW)_PJ" xfId="0"/>
    <cellStyle name="_DS_GPS OTHER" xfId="0"/>
    <cellStyle name="_DS_GPS OTHER 2" xfId="0"/>
    <cellStyle name="_DS_GPS OTHER 3" xfId="0"/>
    <cellStyle name="_DS_GPS OTHER 4" xfId="0"/>
    <cellStyle name="_DS_GPS OTHER 4 2" xfId="0"/>
    <cellStyle name="_DS_GPS OTHER_By Region" xfId="0"/>
    <cellStyle name="_DS_GPS OTHER_CORP SG&amp;A" xfId="0"/>
    <cellStyle name="_DS_GPS OTHER_LCD" xfId="0"/>
    <cellStyle name="_DS_GPS OTHER_PJ" xfId="0"/>
    <cellStyle name="_DS_LCD" xfId="0"/>
    <cellStyle name="_DS_LCD 2" xfId="0"/>
    <cellStyle name="_DS_LCD 3" xfId="0"/>
    <cellStyle name="_DS_LCD 4" xfId="0"/>
    <cellStyle name="_DS_LCD_1" xfId="0"/>
    <cellStyle name="_DS_LCD_1 2" xfId="0"/>
    <cellStyle name="_DS_LCD_1 3" xfId="0"/>
    <cellStyle name="_DS_LCD_1 4" xfId="0"/>
    <cellStyle name="_DS_LCD_1_By Region" xfId="0"/>
    <cellStyle name="_DS_LCD_1_CORP SG&amp;A" xfId="0"/>
    <cellStyle name="_DS_LCD_1_LCD" xfId="0"/>
    <cellStyle name="_DS_LCD_1_PJ" xfId="0"/>
    <cellStyle name="_DS_LCD_By Region" xfId="0"/>
    <cellStyle name="_DS_LCD_CORP SG&amp;A" xfId="0"/>
    <cellStyle name="_DS_LCD_Digitizer" xfId="0"/>
    <cellStyle name="_DS_LCD_GPS OTHER" xfId="0"/>
    <cellStyle name="_DS_LCD_GPS OTHER 2" xfId="0"/>
    <cellStyle name="_DS_LCD_GPS OTHER 3" xfId="0"/>
    <cellStyle name="_DS_LCD_GPS OTHER 4" xfId="0"/>
    <cellStyle name="_DS_LCD_GPS OTHER 4 2" xfId="0"/>
    <cellStyle name="_DS_LCD_GPS OTHER_By Region" xfId="0"/>
    <cellStyle name="_DS_LCD_GPS OTHER_CORP SG&amp;A" xfId="0"/>
    <cellStyle name="_DS_LCD_GPS OTHER_LCD" xfId="0"/>
    <cellStyle name="_DS_LCD_GPS OTHER_PJ" xfId="0"/>
    <cellStyle name="_DS_LCD_LCD" xfId="0"/>
    <cellStyle name="_DS_LCD_LCD 2" xfId="0"/>
    <cellStyle name="_DS_LCD_LCD 3" xfId="0"/>
    <cellStyle name="_DS_LCD_LCD 4" xfId="0"/>
    <cellStyle name="_DS_LCD_LCD_By Region" xfId="0"/>
    <cellStyle name="_DS_LCD_LCD_CORP SG&amp;A" xfId="0"/>
    <cellStyle name="_DS_LCD_LCD_LCD" xfId="0"/>
    <cellStyle name="_DS_LCD_LCD_PJ" xfId="0"/>
    <cellStyle name="_DS_LCD_lightling" xfId="0"/>
    <cellStyle name="_DS_LCD_lightling 2" xfId="0"/>
    <cellStyle name="_DS_LCD_lightling_By Region" xfId="0"/>
    <cellStyle name="_DS_LCD_lightling_CORP SG&amp;A" xfId="0"/>
    <cellStyle name="_DS_LCD_PC Products" xfId="0"/>
    <cellStyle name="_DS_LCD_PC Products 2" xfId="0"/>
    <cellStyle name="_DS_LCD_PC Products 3" xfId="0"/>
    <cellStyle name="_DS_LCD_PC Products 4" xfId="0"/>
    <cellStyle name="_DS_LCD_PC Products 4 2" xfId="0"/>
    <cellStyle name="_DS_LCD_PC Products_By Region" xfId="0"/>
    <cellStyle name="_DS_LCD_PC Products_CORP SG&amp;A" xfId="0"/>
    <cellStyle name="_DS_LCD_PC Products_LCD" xfId="0"/>
    <cellStyle name="_DS_LCD_PC Products_PJ" xfId="0"/>
    <cellStyle name="_DS_LCD_VSA 111014" xfId="0"/>
    <cellStyle name="_DS_LCD_VSA 111014 2" xfId="0"/>
    <cellStyle name="_DS_LCD_VSA 111014 3" xfId="0"/>
    <cellStyle name="_DS_LCD_VSA 111014 4" xfId="0"/>
    <cellStyle name="_DS_LCD_VSA 111014 4 2" xfId="0"/>
    <cellStyle name="_DS_LCD_VSA 111014_By Region" xfId="0"/>
    <cellStyle name="_DS_LCD_VSA 111014_CORP SG&amp;A" xfId="0"/>
    <cellStyle name="_DS_LCD_VSA 111014_LCD" xfId="0"/>
    <cellStyle name="_DS_LCD_VSA 111014_PJ" xfId="0"/>
    <cellStyle name="_DS_LCD_VSA Roll-Up (LW)" xfId="0"/>
    <cellStyle name="_DS_LCD_VSA Roll-Up (LW) 2" xfId="0"/>
    <cellStyle name="_DS_LCD_VSA Roll-Up (LW) 3" xfId="0"/>
    <cellStyle name="_DS_LCD_VSA Roll-Up (LW) 4" xfId="0"/>
    <cellStyle name="_DS_LCD_VSA Roll-Up (LW) 4 2" xfId="0"/>
    <cellStyle name="_DS_LCD_VSA Roll-Up (LW)_By Region" xfId="0"/>
    <cellStyle name="_DS_LCD_VSA Roll-Up (LW)_CORP SG&amp;A" xfId="0"/>
    <cellStyle name="_DS_LCD_VSA Roll-Up (LW)_LCD" xfId="0"/>
    <cellStyle name="_DS_LCD_VSA Roll-Up (LW)_PJ" xfId="0"/>
    <cellStyle name="_DS_LCDTV" xfId="0"/>
    <cellStyle name="_DS_LCDTV 2" xfId="0"/>
    <cellStyle name="_DS_LCDTV 3" xfId="0"/>
    <cellStyle name="_DS_LCDTV 4" xfId="0"/>
    <cellStyle name="_DS_LCDTV_By Region" xfId="0"/>
    <cellStyle name="_DS_LCDTV_CORP SG&amp;A" xfId="0"/>
    <cellStyle name="_DS_LCDTV_Digitizer" xfId="0"/>
    <cellStyle name="_DS_LCDTV_GPS OTHER" xfId="0"/>
    <cellStyle name="_DS_LCDTV_GPS OTHER 2" xfId="0"/>
    <cellStyle name="_DS_LCDTV_GPS OTHER 3" xfId="0"/>
    <cellStyle name="_DS_LCDTV_GPS OTHER 4" xfId="0"/>
    <cellStyle name="_DS_LCDTV_GPS OTHER 4 2" xfId="0"/>
    <cellStyle name="_DS_LCDTV_GPS OTHER_By Region" xfId="0"/>
    <cellStyle name="_DS_LCDTV_GPS OTHER_CORP SG&amp;A" xfId="0"/>
    <cellStyle name="_DS_LCDTV_GPS OTHER_LCD" xfId="0"/>
    <cellStyle name="_DS_LCDTV_GPS OTHER_PJ" xfId="0"/>
    <cellStyle name="_DS_LCDTV_LCD" xfId="0"/>
    <cellStyle name="_DS_LCDTV_LCD 2" xfId="0"/>
    <cellStyle name="_DS_LCDTV_LCD 3" xfId="0"/>
    <cellStyle name="_DS_LCDTV_LCD 4" xfId="0"/>
    <cellStyle name="_DS_LCDTV_LCD_By Region" xfId="0"/>
    <cellStyle name="_DS_LCDTV_LCD_CORP SG&amp;A" xfId="0"/>
    <cellStyle name="_DS_LCDTV_LCD_LCD" xfId="0"/>
    <cellStyle name="_DS_LCDTV_LCD_PJ" xfId="0"/>
    <cellStyle name="_DS_LCDTV_lightling" xfId="0"/>
    <cellStyle name="_DS_LCDTV_lightling 2" xfId="0"/>
    <cellStyle name="_DS_LCDTV_lightling_By Region" xfId="0"/>
    <cellStyle name="_DS_LCDTV_lightling_CORP SG&amp;A" xfId="0"/>
    <cellStyle name="_DS_LCDTV_PC Products" xfId="0"/>
    <cellStyle name="_DS_LCDTV_PC Products 2" xfId="0"/>
    <cellStyle name="_DS_LCDTV_PC Products 3" xfId="0"/>
    <cellStyle name="_DS_LCDTV_PC Products 4" xfId="0"/>
    <cellStyle name="_DS_LCDTV_PC Products 4 2" xfId="0"/>
    <cellStyle name="_DS_LCDTV_PC Products_By Region" xfId="0"/>
    <cellStyle name="_DS_LCDTV_PC Products_CORP SG&amp;A" xfId="0"/>
    <cellStyle name="_DS_LCDTV_PC Products_LCD" xfId="0"/>
    <cellStyle name="_DS_LCDTV_PC Products_PJ" xfId="0"/>
    <cellStyle name="_DS_LCDTV_VSA 111014" xfId="0"/>
    <cellStyle name="_DS_LCDTV_VSA 111014 2" xfId="0"/>
    <cellStyle name="_DS_LCDTV_VSA 111014 3" xfId="0"/>
    <cellStyle name="_DS_LCDTV_VSA 111014 4" xfId="0"/>
    <cellStyle name="_DS_LCDTV_VSA 111014 4 2" xfId="0"/>
    <cellStyle name="_DS_LCDTV_VSA 111014_By Region" xfId="0"/>
    <cellStyle name="_DS_LCDTV_VSA 111014_CORP SG&amp;A" xfId="0"/>
    <cellStyle name="_DS_LCDTV_VSA 111014_LCD" xfId="0"/>
    <cellStyle name="_DS_LCDTV_VSA 111014_PJ" xfId="0"/>
    <cellStyle name="_DS_LCDTV_VSA Roll-Up (LW)" xfId="0"/>
    <cellStyle name="_DS_LCDTV_VSA Roll-Up (LW) 2" xfId="0"/>
    <cellStyle name="_DS_LCDTV_VSA Roll-Up (LW) 3" xfId="0"/>
    <cellStyle name="_DS_LCDTV_VSA Roll-Up (LW) 4" xfId="0"/>
    <cellStyle name="_DS_LCDTV_VSA Roll-Up (LW) 4 2" xfId="0"/>
    <cellStyle name="_DS_LCDTV_VSA Roll-Up (LW)_By Region" xfId="0"/>
    <cellStyle name="_DS_LCDTV_VSA Roll-Up (LW)_CORP SG&amp;A" xfId="0"/>
    <cellStyle name="_DS_LCDTV_VSA Roll-Up (LW)_LCD" xfId="0"/>
    <cellStyle name="_DS_LCDTV_VSA Roll-Up (LW)_PJ" xfId="0"/>
    <cellStyle name="_DS_lightling" xfId="0"/>
    <cellStyle name="_DS_lightling 2" xfId="0"/>
    <cellStyle name="_DS_lightling_By Region" xfId="0"/>
    <cellStyle name="_DS_lightling_CORP SG&amp;A" xfId="0"/>
    <cellStyle name="_DS_MNT" xfId="0"/>
    <cellStyle name="_DS_MNT 2" xfId="0"/>
    <cellStyle name="_DS_MNT 3" xfId="0"/>
    <cellStyle name="_DS_MNT 4" xfId="0"/>
    <cellStyle name="_DS_MNT_By Region" xfId="0"/>
    <cellStyle name="_DS_MNT_CORP SG&amp;A" xfId="0"/>
    <cellStyle name="_DS_MNT_Digitizer" xfId="0"/>
    <cellStyle name="_DS_MNT_GPS OTHER" xfId="0"/>
    <cellStyle name="_DS_MNT_GPS OTHER 2" xfId="0"/>
    <cellStyle name="_DS_MNT_GPS OTHER 3" xfId="0"/>
    <cellStyle name="_DS_MNT_GPS OTHER 4" xfId="0"/>
    <cellStyle name="_DS_MNT_GPS OTHER 4 2" xfId="0"/>
    <cellStyle name="_DS_MNT_GPS OTHER_By Region" xfId="0"/>
    <cellStyle name="_DS_MNT_GPS OTHER_CORP SG&amp;A" xfId="0"/>
    <cellStyle name="_DS_MNT_GPS OTHER_LCD" xfId="0"/>
    <cellStyle name="_DS_MNT_GPS OTHER_PJ" xfId="0"/>
    <cellStyle name="_DS_MNT_LCD" xfId="0"/>
    <cellStyle name="_DS_MNT_LCD 2" xfId="0"/>
    <cellStyle name="_DS_MNT_LCD 3" xfId="0"/>
    <cellStyle name="_DS_MNT_LCD 4" xfId="0"/>
    <cellStyle name="_DS_MNT_LCD_By Region" xfId="0"/>
    <cellStyle name="_DS_MNT_LCD_CORP SG&amp;A" xfId="0"/>
    <cellStyle name="_DS_MNT_LCD_LCD" xfId="0"/>
    <cellStyle name="_DS_MNT_LCD_PJ" xfId="0"/>
    <cellStyle name="_DS_MNT_lightling" xfId="0"/>
    <cellStyle name="_DS_MNT_lightling 2" xfId="0"/>
    <cellStyle name="_DS_MNT_lightling 3" xfId="0"/>
    <cellStyle name="_DS_MNT_lightling_By Region" xfId="0"/>
    <cellStyle name="_DS_MNT_PC Products" xfId="0"/>
    <cellStyle name="_DS_MNT_PC Products 2" xfId="0"/>
    <cellStyle name="_DS_MNT_PC Products 3" xfId="0"/>
    <cellStyle name="_DS_MNT_PC Products 4" xfId="0"/>
    <cellStyle name="_DS_MNT_PC Products 4 2" xfId="0"/>
    <cellStyle name="_DS_MNT_PC Products_By Region" xfId="0"/>
    <cellStyle name="_DS_MNT_PC Products_CORP SG&amp;A" xfId="0"/>
    <cellStyle name="_DS_MNT_PC Products_LCD" xfId="0"/>
    <cellStyle name="_DS_MNT_PC Products_PJ" xfId="0"/>
    <cellStyle name="_DS_MNT_VSA 111014" xfId="0"/>
    <cellStyle name="_DS_MNT_VSA 111014 2" xfId="0"/>
    <cellStyle name="_DS_MNT_VSA 111014 3" xfId="0"/>
    <cellStyle name="_DS_MNT_VSA 111014 4" xfId="0"/>
    <cellStyle name="_DS_MNT_VSA 111014 4 2" xfId="0"/>
    <cellStyle name="_DS_MNT_VSA 111014_By Region" xfId="0"/>
    <cellStyle name="_DS_MNT_VSA 111014_CORP SG&amp;A" xfId="0"/>
    <cellStyle name="_DS_MNT_VSA 111014_LCD" xfId="0"/>
    <cellStyle name="_DS_MNT_VSA 111014_PJ" xfId="0"/>
    <cellStyle name="_DS_MNT_VSA Roll-Up (LW)" xfId="0"/>
    <cellStyle name="_DS_MNT_VSA Roll-Up (LW) 2" xfId="0"/>
    <cellStyle name="_DS_MNT_VSA Roll-Up (LW) 3" xfId="0"/>
    <cellStyle name="_DS_MNT_VSA Roll-Up (LW) 4" xfId="0"/>
    <cellStyle name="_DS_MNT_VSA Roll-Up (LW) 4 2" xfId="0"/>
    <cellStyle name="_DS_MNT_VSA Roll-Up (LW)_By Region" xfId="0"/>
    <cellStyle name="_DS_MNT_VSA Roll-Up (LW)_CORP SG&amp;A" xfId="0"/>
    <cellStyle name="_DS_MNT_VSA Roll-Up (LW)_LCD" xfId="0"/>
    <cellStyle name="_DS_MNT_VSA Roll-Up (LW)_PJ" xfId="0"/>
    <cellStyle name="_DS_Other" xfId="0"/>
    <cellStyle name="_DS_Other 2" xfId="0"/>
    <cellStyle name="_DS_Other 3" xfId="0"/>
    <cellStyle name="_DS_Other 4" xfId="0"/>
    <cellStyle name="_DS_Other_By Region" xfId="0"/>
    <cellStyle name="_DS_Other_CORP SG&amp;A" xfId="0"/>
    <cellStyle name="_DS_Other_Digitizer" xfId="0"/>
    <cellStyle name="_DS_Other_GPS OTHER" xfId="0"/>
    <cellStyle name="_DS_Other_GPS OTHER 2" xfId="0"/>
    <cellStyle name="_DS_Other_GPS OTHER 3" xfId="0"/>
    <cellStyle name="_DS_Other_GPS OTHER 4" xfId="0"/>
    <cellStyle name="_DS_Other_GPS OTHER 4 2" xfId="0"/>
    <cellStyle name="_DS_Other_GPS OTHER_By Region" xfId="0"/>
    <cellStyle name="_DS_Other_GPS OTHER_CORP SG&amp;A" xfId="0"/>
    <cellStyle name="_DS_Other_GPS OTHER_LCD" xfId="0"/>
    <cellStyle name="_DS_Other_GPS OTHER_PJ" xfId="0"/>
    <cellStyle name="_DS_Other_LCD" xfId="0"/>
    <cellStyle name="_DS_Other_LCD 2" xfId="0"/>
    <cellStyle name="_DS_Other_LCD 3" xfId="0"/>
    <cellStyle name="_DS_Other_LCD 4" xfId="0"/>
    <cellStyle name="_DS_Other_LCD_By Region" xfId="0"/>
    <cellStyle name="_DS_Other_LCD_CORP SG&amp;A" xfId="0"/>
    <cellStyle name="_DS_Other_LCD_LCD" xfId="0"/>
    <cellStyle name="_DS_Other_LCD_PJ" xfId="0"/>
    <cellStyle name="_DS_Other_lightling" xfId="0"/>
    <cellStyle name="_DS_Other_lightling 2" xfId="0"/>
    <cellStyle name="_DS_Other_lightling 3" xfId="0"/>
    <cellStyle name="_DS_Other_lightling_By Region" xfId="0"/>
    <cellStyle name="_DS_Other_PC Products" xfId="0"/>
    <cellStyle name="_DS_Other_PC Products 2" xfId="0"/>
    <cellStyle name="_DS_Other_PC Products 3" xfId="0"/>
    <cellStyle name="_DS_Other_PC Products 4" xfId="0"/>
    <cellStyle name="_DS_Other_PC Products 4 2" xfId="0"/>
    <cellStyle name="_DS_Other_PC Products_By Region" xfId="0"/>
    <cellStyle name="_DS_Other_PC Products_CORP SG&amp;A" xfId="0"/>
    <cellStyle name="_DS_Other_PC Products_LCD" xfId="0"/>
    <cellStyle name="_DS_Other_PC Products_PJ" xfId="0"/>
    <cellStyle name="_DS_Other_VSA 111014" xfId="0"/>
    <cellStyle name="_DS_Other_VSA 111014 2" xfId="0"/>
    <cellStyle name="_DS_Other_VSA 111014 3" xfId="0"/>
    <cellStyle name="_DS_Other_VSA 111014 4" xfId="0"/>
    <cellStyle name="_DS_Other_VSA 111014 4 2" xfId="0"/>
    <cellStyle name="_DS_Other_VSA 111014_By Region" xfId="0"/>
    <cellStyle name="_DS_Other_VSA 111014_CORP SG&amp;A" xfId="0"/>
    <cellStyle name="_DS_Other_VSA 111014_LCD" xfId="0"/>
    <cellStyle name="_DS_Other_VSA 111014_PJ" xfId="0"/>
    <cellStyle name="_DS_Other_VSA Roll-Up (LW)" xfId="0"/>
    <cellStyle name="_DS_Other_VSA Roll-Up (LW) 2" xfId="0"/>
    <cellStyle name="_DS_Other_VSA Roll-Up (LW) 3" xfId="0"/>
    <cellStyle name="_DS_Other_VSA Roll-Up (LW) 4" xfId="0"/>
    <cellStyle name="_DS_Other_VSA Roll-Up (LW) 4 2" xfId="0"/>
    <cellStyle name="_DS_Other_VSA Roll-Up (LW)_By Region" xfId="0"/>
    <cellStyle name="_DS_Other_VSA Roll-Up (LW)_CORP SG&amp;A" xfId="0"/>
    <cellStyle name="_DS_Other_VSA Roll-Up (LW)_LCD" xfId="0"/>
    <cellStyle name="_DS_Other_VSA Roll-Up (LW)_PJ" xfId="0"/>
    <cellStyle name="_DS_PC" xfId="0"/>
    <cellStyle name="_DS_PC 2" xfId="0"/>
    <cellStyle name="_DS_PC 3" xfId="0"/>
    <cellStyle name="_DS_PC 4" xfId="0"/>
    <cellStyle name="_DS_PC Products" xfId="0"/>
    <cellStyle name="_DS_PC Products 2" xfId="0"/>
    <cellStyle name="_DS_PC Products 3" xfId="0"/>
    <cellStyle name="_DS_PC Products 4" xfId="0"/>
    <cellStyle name="_DS_PC Products 4 2" xfId="0"/>
    <cellStyle name="_DS_PC Products_By Region" xfId="0"/>
    <cellStyle name="_DS_PC Products_CORP SG&amp;A" xfId="0"/>
    <cellStyle name="_DS_PC Products_LCD" xfId="0"/>
    <cellStyle name="_DS_PC Products_PJ" xfId="0"/>
    <cellStyle name="_DS_PC_By Region" xfId="0"/>
    <cellStyle name="_DS_PC_CORP SG&amp;A" xfId="0"/>
    <cellStyle name="_DS_PC_Digitizer" xfId="0"/>
    <cellStyle name="_DS_PC_DT" xfId="0"/>
    <cellStyle name="_DS_PC_DT 2" xfId="0"/>
    <cellStyle name="_DS_PC_DT 3" xfId="0"/>
    <cellStyle name="_DS_PC_DT_By Region" xfId="0"/>
    <cellStyle name="_DS_PC_GPS OTHER" xfId="0"/>
    <cellStyle name="_DS_PC_GPS OTHER 2" xfId="0"/>
    <cellStyle name="_DS_PC_GPS OTHER 3" xfId="0"/>
    <cellStyle name="_DS_PC_GPS OTHER 4" xfId="0"/>
    <cellStyle name="_DS_PC_GPS OTHER 4 2" xfId="0"/>
    <cellStyle name="_DS_PC_GPS OTHER_By Region" xfId="0"/>
    <cellStyle name="_DS_PC_GPS OTHER_CORP SG&amp;A" xfId="0"/>
    <cellStyle name="_DS_PC_GPS OTHER_LCD" xfId="0"/>
    <cellStyle name="_DS_PC_GPS OTHER_PJ" xfId="0"/>
    <cellStyle name="_DS_PC_LCD" xfId="0"/>
    <cellStyle name="_DS_PC_LCD 2" xfId="0"/>
    <cellStyle name="_DS_PC_LCD 3" xfId="0"/>
    <cellStyle name="_DS_PC_LCD 4" xfId="0"/>
    <cellStyle name="_DS_PC_LCD_By Region" xfId="0"/>
    <cellStyle name="_DS_PC_LCD_CORP SG&amp;A" xfId="0"/>
    <cellStyle name="_DS_PC_LCD_LCD" xfId="0"/>
    <cellStyle name="_DS_PC_LCD_PJ" xfId="0"/>
    <cellStyle name="_DS_PC_lightling" xfId="0"/>
    <cellStyle name="_DS_PC_lightling 2" xfId="0"/>
    <cellStyle name="_DS_PC_lightling 3" xfId="0"/>
    <cellStyle name="_DS_PC_lightling_By Region" xfId="0"/>
    <cellStyle name="_DS_PC_PC Products" xfId="0"/>
    <cellStyle name="_DS_PC_PC Products 2" xfId="0"/>
    <cellStyle name="_DS_PC_PC Products 3" xfId="0"/>
    <cellStyle name="_DS_PC_PC Products 4" xfId="0"/>
    <cellStyle name="_DS_PC_PC Products 4 2" xfId="0"/>
    <cellStyle name="_DS_PC_PC Products_By Region" xfId="0"/>
    <cellStyle name="_DS_PC_PC Products_CORP SG&amp;A" xfId="0"/>
    <cellStyle name="_DS_PC_PC Products_LCD" xfId="0"/>
    <cellStyle name="_DS_PC_PC Products_PJ" xfId="0"/>
    <cellStyle name="_DS_PC_TV" xfId="0"/>
    <cellStyle name="_DS_PC_TV 2" xfId="0"/>
    <cellStyle name="_DS_PC_TV 3" xfId="0"/>
    <cellStyle name="_DS_PC_TV 4" xfId="0"/>
    <cellStyle name="_DS_PC_TV_By Region" xfId="0"/>
    <cellStyle name="_DS_PC_TV_CORP SG&amp;A" xfId="0"/>
    <cellStyle name="_DS_PC_TV_Digitizer" xfId="0"/>
    <cellStyle name="_DS_PC_TV_GPS OTHER" xfId="0"/>
    <cellStyle name="_DS_PC_TV_GPS OTHER 2" xfId="0"/>
    <cellStyle name="_DS_PC_TV_GPS OTHER 3" xfId="0"/>
    <cellStyle name="_DS_PC_TV_GPS OTHER 4" xfId="0"/>
    <cellStyle name="_DS_PC_TV_GPS OTHER 4 2" xfId="0"/>
    <cellStyle name="_DS_PC_TV_GPS OTHER_By Region" xfId="0"/>
    <cellStyle name="_DS_PC_TV_GPS OTHER_CORP SG&amp;A" xfId="0"/>
    <cellStyle name="_DS_PC_TV_GPS OTHER_LCD" xfId="0"/>
    <cellStyle name="_DS_PC_TV_GPS OTHER_PJ" xfId="0"/>
    <cellStyle name="_DS_PC_TV_LCD" xfId="0"/>
    <cellStyle name="_DS_PC_TV_LCD 2" xfId="0"/>
    <cellStyle name="_DS_PC_TV_LCD 3" xfId="0"/>
    <cellStyle name="_DS_PC_TV_LCD 4" xfId="0"/>
    <cellStyle name="_DS_PC_TV_LCD_By Region" xfId="0"/>
    <cellStyle name="_DS_PC_TV_LCD_CORP SG&amp;A" xfId="0"/>
    <cellStyle name="_DS_PC_TV_LCD_LCD" xfId="0"/>
    <cellStyle name="_DS_PC_TV_LCD_PJ" xfId="0"/>
    <cellStyle name="_DS_PC_TV_lightling" xfId="0"/>
    <cellStyle name="_DS_PC_TV_lightling 2" xfId="0"/>
    <cellStyle name="_DS_PC_TV_lightling 3" xfId="0"/>
    <cellStyle name="_DS_PC_TV_lightling_By Region" xfId="0"/>
    <cellStyle name="_DS_PC_TV_PC Products" xfId="0"/>
    <cellStyle name="_DS_PC_TV_PC Products 2" xfId="0"/>
    <cellStyle name="_DS_PC_TV_PC Products 3" xfId="0"/>
    <cellStyle name="_DS_PC_TV_PC Products 4" xfId="0"/>
    <cellStyle name="_DS_PC_TV_PC Products 4 2" xfId="0"/>
    <cellStyle name="_DS_PC_TV_PC Products_By Region" xfId="0"/>
    <cellStyle name="_DS_PC_TV_PC Products_CORP SG&amp;A" xfId="0"/>
    <cellStyle name="_DS_PC_TV_PC Products_LCD" xfId="0"/>
    <cellStyle name="_DS_PC_TV_PC Products_PJ" xfId="0"/>
    <cellStyle name="_DS_PC_TV_VSA 111014" xfId="0"/>
    <cellStyle name="_DS_PC_TV_VSA 111014 2" xfId="0"/>
    <cellStyle name="_DS_PC_TV_VSA 111014 3" xfId="0"/>
    <cellStyle name="_DS_PC_TV_VSA 111014 4" xfId="0"/>
    <cellStyle name="_DS_PC_TV_VSA 111014 4 2" xfId="0"/>
    <cellStyle name="_DS_PC_TV_VSA 111014_By Region" xfId="0"/>
    <cellStyle name="_DS_PC_TV_VSA 111014_CORP SG&amp;A" xfId="0"/>
    <cellStyle name="_DS_PC_TV_VSA 111014_LCD" xfId="0"/>
    <cellStyle name="_DS_PC_TV_VSA 111014_PJ" xfId="0"/>
    <cellStyle name="_DS_PC_TV_VSA Roll-Up (LW)" xfId="0"/>
    <cellStyle name="_DS_PC_TV_VSA Roll-Up (LW) 2" xfId="0"/>
    <cellStyle name="_DS_PC_TV_VSA Roll-Up (LW) 3" xfId="0"/>
    <cellStyle name="_DS_PC_TV_VSA Roll-Up (LW) 4" xfId="0"/>
    <cellStyle name="_DS_PC_TV_VSA Roll-Up (LW) 4 2" xfId="0"/>
    <cellStyle name="_DS_PC_TV_VSA Roll-Up (LW)_By Region" xfId="0"/>
    <cellStyle name="_DS_PC_TV_VSA Roll-Up (LW)_CORP SG&amp;A" xfId="0"/>
    <cellStyle name="_DS_PC_TV_VSA Roll-Up (LW)_LCD" xfId="0"/>
    <cellStyle name="_DS_PC_TV_VSA Roll-Up (LW)_PJ" xfId="0"/>
    <cellStyle name="_DS_PC_VSA 111014" xfId="0"/>
    <cellStyle name="_DS_PC_VSA 111014 2" xfId="0"/>
    <cellStyle name="_DS_PC_VSA 111014 3" xfId="0"/>
    <cellStyle name="_DS_PC_VSA 111014 4" xfId="0"/>
    <cellStyle name="_DS_PC_VSA 111014 4 2" xfId="0"/>
    <cellStyle name="_DS_PC_VSA 111014_By Region" xfId="0"/>
    <cellStyle name="_DS_PC_VSA 111014_CORP SG&amp;A" xfId="0"/>
    <cellStyle name="_DS_PC_VSA 111014_LCD" xfId="0"/>
    <cellStyle name="_DS_PC_VSA 111014_PJ" xfId="0"/>
    <cellStyle name="_DS_PC_VSA Roll-Up (LW)" xfId="0"/>
    <cellStyle name="_DS_PC_VSA Roll-Up (LW) 2" xfId="0"/>
    <cellStyle name="_DS_PC_VSA Roll-Up (LW) 3" xfId="0"/>
    <cellStyle name="_DS_PC_VSA Roll-Up (LW) 4" xfId="0"/>
    <cellStyle name="_DS_PC_VSA Roll-Up (LW) 4 2" xfId="0"/>
    <cellStyle name="_DS_PC_VSA Roll-Up (LW)_By Region" xfId="0"/>
    <cellStyle name="_DS_PC_VSA Roll-Up (LW)_CORP SG&amp;A" xfId="0"/>
    <cellStyle name="_DS_PC_VSA Roll-Up (LW)_LCD" xfId="0"/>
    <cellStyle name="_DS_PC_VSA Roll-Up (LW)_PJ" xfId="0"/>
    <cellStyle name="_DS_PJ" xfId="0"/>
    <cellStyle name="_DS_PJ 2" xfId="0"/>
    <cellStyle name="_DS_PJ 3" xfId="0"/>
    <cellStyle name="_DS_PJ 4" xfId="0"/>
    <cellStyle name="_DS_PJ_By Region" xfId="0"/>
    <cellStyle name="_DS_PJ_CORP SG&amp;A" xfId="0"/>
    <cellStyle name="_DS_PJ_Digitizer" xfId="0"/>
    <cellStyle name="_DS_PJ_GPS OTHER" xfId="0"/>
    <cellStyle name="_DS_PJ_GPS OTHER 2" xfId="0"/>
    <cellStyle name="_DS_PJ_GPS OTHER 3" xfId="0"/>
    <cellStyle name="_DS_PJ_GPS OTHER 4" xfId="0"/>
    <cellStyle name="_DS_PJ_GPS OTHER 4 2" xfId="0"/>
    <cellStyle name="_DS_PJ_GPS OTHER_By Region" xfId="0"/>
    <cellStyle name="_DS_PJ_GPS OTHER_CORP SG&amp;A" xfId="0"/>
    <cellStyle name="_DS_PJ_GPS OTHER_LCD" xfId="0"/>
    <cellStyle name="_DS_PJ_GPS OTHER_PJ" xfId="0"/>
    <cellStyle name="_DS_PJ_LCD" xfId="0"/>
    <cellStyle name="_DS_PJ_LCD 2" xfId="0"/>
    <cellStyle name="_DS_PJ_LCD 3" xfId="0"/>
    <cellStyle name="_DS_PJ_LCD 4" xfId="0"/>
    <cellStyle name="_DS_PJ_LCD_By Region" xfId="0"/>
    <cellStyle name="_DS_PJ_LCD_CORP SG&amp;A" xfId="0"/>
    <cellStyle name="_DS_PJ_LCD_LCD" xfId="0"/>
    <cellStyle name="_DS_PJ_LCD_PJ" xfId="0"/>
    <cellStyle name="_DS_PJ_lightling" xfId="0"/>
    <cellStyle name="_DS_PJ_lightling 2" xfId="0"/>
    <cellStyle name="_DS_PJ_lightling 3" xfId="0"/>
    <cellStyle name="_DS_PJ_lightling_By Region" xfId="0"/>
    <cellStyle name="_DS_PJ_PC Products" xfId="0"/>
    <cellStyle name="_DS_PJ_PC Products 2" xfId="0"/>
    <cellStyle name="_DS_PJ_PC Products 3" xfId="0"/>
    <cellStyle name="_DS_PJ_PC Products 4" xfId="0"/>
    <cellStyle name="_DS_PJ_PC Products 4 2" xfId="0"/>
    <cellStyle name="_DS_PJ_PC Products_By Region" xfId="0"/>
    <cellStyle name="_DS_PJ_PC Products_CORP SG&amp;A" xfId="0"/>
    <cellStyle name="_DS_PJ_PC Products_LCD" xfId="0"/>
    <cellStyle name="_DS_PJ_PC Products_PJ" xfId="0"/>
    <cellStyle name="_DS_PJ_VSA 111014" xfId="0"/>
    <cellStyle name="_DS_PJ_VSA 111014 2" xfId="0"/>
    <cellStyle name="_DS_PJ_VSA 111014 3" xfId="0"/>
    <cellStyle name="_DS_PJ_VSA 111014 4" xfId="0"/>
    <cellStyle name="_DS_PJ_VSA 111014 4 2" xfId="0"/>
    <cellStyle name="_DS_PJ_VSA 111014_By Region" xfId="0"/>
    <cellStyle name="_DS_PJ_VSA 111014_CORP SG&amp;A" xfId="0"/>
    <cellStyle name="_DS_PJ_VSA 111014_LCD" xfId="0"/>
    <cellStyle name="_DS_PJ_VSA 111014_PJ" xfId="0"/>
    <cellStyle name="_DS_PJ_VSA Roll-Up (LW)" xfId="0"/>
    <cellStyle name="_DS_PJ_VSA Roll-Up (LW) 2" xfId="0"/>
    <cellStyle name="_DS_PJ_VSA Roll-Up (LW) 3" xfId="0"/>
    <cellStyle name="_DS_PJ_VSA Roll-Up (LW) 4" xfId="0"/>
    <cellStyle name="_DS_PJ_VSA Roll-Up (LW) 4 2" xfId="0"/>
    <cellStyle name="_DS_PJ_VSA Roll-Up (LW)_By Region" xfId="0"/>
    <cellStyle name="_DS_PJ_VSA Roll-Up (LW)_CORP SG&amp;A" xfId="0"/>
    <cellStyle name="_DS_PJ_VSA Roll-Up (LW)_LCD" xfId="0"/>
    <cellStyle name="_DS_PJ_VSA Roll-Up (LW)_PJ" xfId="0"/>
    <cellStyle name="_DS_PMP(VPD)" xfId="0"/>
    <cellStyle name="_DS_PMP(VPD) 2" xfId="0"/>
    <cellStyle name="_DS_PMP(VPD) 3" xfId="0"/>
    <cellStyle name="_DS_PMP(VPD) 4" xfId="0"/>
    <cellStyle name="_DS_PMP(VPD)_By Region" xfId="0"/>
    <cellStyle name="_DS_PMP(VPD)_CORP SG&amp;A" xfId="0"/>
    <cellStyle name="_DS_PMP(VPD)_Digitizer" xfId="0"/>
    <cellStyle name="_DS_PMP(VPD)_GPS OTHER" xfId="0"/>
    <cellStyle name="_DS_PMP(VPD)_GPS OTHER 2" xfId="0"/>
    <cellStyle name="_DS_PMP(VPD)_GPS OTHER 3" xfId="0"/>
    <cellStyle name="_DS_PMP(VPD)_GPS OTHER 4" xfId="0"/>
    <cellStyle name="_DS_PMP(VPD)_GPS OTHER 4 2" xfId="0"/>
    <cellStyle name="_DS_PMP(VPD)_GPS OTHER_By Region" xfId="0"/>
    <cellStyle name="_DS_PMP(VPD)_GPS OTHER_CORP SG&amp;A" xfId="0"/>
    <cellStyle name="_DS_PMP(VPD)_GPS OTHER_LCD" xfId="0"/>
    <cellStyle name="_DS_PMP(VPD)_GPS OTHER_PJ" xfId="0"/>
    <cellStyle name="_DS_PMP(VPD)_LCD" xfId="0"/>
    <cellStyle name="_DS_PMP(VPD)_LCD 2" xfId="0"/>
    <cellStyle name="_DS_PMP(VPD)_LCD 3" xfId="0"/>
    <cellStyle name="_DS_PMP(VPD)_LCD 4" xfId="0"/>
    <cellStyle name="_DS_PMP(VPD)_LCD_By Region" xfId="0"/>
    <cellStyle name="_DS_PMP(VPD)_LCD_CORP SG&amp;A" xfId="0"/>
    <cellStyle name="_DS_PMP(VPD)_LCD_LCD" xfId="0"/>
    <cellStyle name="_DS_PMP(VPD)_LCD_PJ" xfId="0"/>
    <cellStyle name="_DS_PMP(VPD)_lightling" xfId="0"/>
    <cellStyle name="_DS_PMP(VPD)_lightling 2" xfId="0"/>
    <cellStyle name="_DS_PMP(VPD)_lightling 3" xfId="0"/>
    <cellStyle name="_DS_PMP(VPD)_lightling_By Region" xfId="0"/>
    <cellStyle name="_DS_PMP(VPD)_PC Products" xfId="0"/>
    <cellStyle name="_DS_PMP(VPD)_PC Products 2" xfId="0"/>
    <cellStyle name="_DS_PMP(VPD)_PC Products 3" xfId="0"/>
    <cellStyle name="_DS_PMP(VPD)_PC Products 4" xfId="0"/>
    <cellStyle name="_DS_PMP(VPD)_PC Products 4 2" xfId="0"/>
    <cellStyle name="_DS_PMP(VPD)_PC Products_By Region" xfId="0"/>
    <cellStyle name="_DS_PMP(VPD)_PC Products_CORP SG&amp;A" xfId="0"/>
    <cellStyle name="_DS_PMP(VPD)_PC Products_LCD" xfId="0"/>
    <cellStyle name="_DS_PMP(VPD)_PC Products_PJ" xfId="0"/>
    <cellStyle name="_DS_PMP(VPD)_VSA 111014" xfId="0"/>
    <cellStyle name="_DS_PMP(VPD)_VSA 111014 2" xfId="0"/>
    <cellStyle name="_DS_PMP(VPD)_VSA 111014 3" xfId="0"/>
    <cellStyle name="_DS_PMP(VPD)_VSA 111014 4" xfId="0"/>
    <cellStyle name="_DS_PMP(VPD)_VSA 111014 4 2" xfId="0"/>
    <cellStyle name="_DS_PMP(VPD)_VSA 111014_By Region" xfId="0"/>
    <cellStyle name="_DS_PMP(VPD)_VSA 111014_CORP SG&amp;A" xfId="0"/>
    <cellStyle name="_DS_PMP(VPD)_VSA 111014_LCD" xfId="0"/>
    <cellStyle name="_DS_PMP(VPD)_VSA 111014_PJ" xfId="0"/>
    <cellStyle name="_DS_PMP(VPD)_VSA Roll-Up (LW)" xfId="0"/>
    <cellStyle name="_DS_PMP(VPD)_VSA Roll-Up (LW) 2" xfId="0"/>
    <cellStyle name="_DS_PMP(VPD)_VSA Roll-Up (LW) 3" xfId="0"/>
    <cellStyle name="_DS_PMP(VPD)_VSA Roll-Up (LW) 4" xfId="0"/>
    <cellStyle name="_DS_PMP(VPD)_VSA Roll-Up (LW) 4 2" xfId="0"/>
    <cellStyle name="_DS_PMP(VPD)_VSA Roll-Up (LW)_By Region" xfId="0"/>
    <cellStyle name="_DS_PMP(VPD)_VSA Roll-Up (LW)_CORP SG&amp;A" xfId="0"/>
    <cellStyle name="_DS_PMP(VPD)_VSA Roll-Up (LW)_LCD" xfId="0"/>
    <cellStyle name="_DS_PMP(VPD)_VSA Roll-Up (LW)_PJ" xfId="0"/>
    <cellStyle name="_DS_Pocket TV" xfId="0"/>
    <cellStyle name="_DS_Pocket TV 2" xfId="0"/>
    <cellStyle name="_DS_Pocket TV 3" xfId="0"/>
    <cellStyle name="_DS_Pocket TV 4" xfId="0"/>
    <cellStyle name="_DS_Pocket TV_By Region" xfId="0"/>
    <cellStyle name="_DS_Pocket TV_CORP SG&amp;A" xfId="0"/>
    <cellStyle name="_DS_Pocket TV_Digitizer" xfId="0"/>
    <cellStyle name="_DS_Pocket TV_GPS OTHER" xfId="0"/>
    <cellStyle name="_DS_Pocket TV_GPS OTHER 2" xfId="0"/>
    <cellStyle name="_DS_Pocket TV_GPS OTHER 3" xfId="0"/>
    <cellStyle name="_DS_Pocket TV_GPS OTHER 4" xfId="0"/>
    <cellStyle name="_DS_Pocket TV_GPS OTHER 4 2" xfId="0"/>
    <cellStyle name="_DS_Pocket TV_GPS OTHER_By Region" xfId="0"/>
    <cellStyle name="_DS_Pocket TV_GPS OTHER_CORP SG&amp;A" xfId="0"/>
    <cellStyle name="_DS_Pocket TV_GPS OTHER_LCD" xfId="0"/>
    <cellStyle name="_DS_Pocket TV_GPS OTHER_PJ" xfId="0"/>
    <cellStyle name="_DS_Pocket TV_LCD" xfId="0"/>
    <cellStyle name="_DS_Pocket TV_LCD 2" xfId="0"/>
    <cellStyle name="_DS_Pocket TV_LCD 3" xfId="0"/>
    <cellStyle name="_DS_Pocket TV_LCD 4" xfId="0"/>
    <cellStyle name="_DS_Pocket TV_LCD_By Region" xfId="0"/>
    <cellStyle name="_DS_Pocket TV_LCD_CORP SG&amp;A" xfId="0"/>
    <cellStyle name="_DS_Pocket TV_LCD_LCD" xfId="0"/>
    <cellStyle name="_DS_Pocket TV_LCD_PJ" xfId="0"/>
    <cellStyle name="_DS_Pocket TV_lightling" xfId="0"/>
    <cellStyle name="_DS_Pocket TV_lightling 2" xfId="0"/>
    <cellStyle name="_DS_Pocket TV_lightling 3" xfId="0"/>
    <cellStyle name="_DS_Pocket TV_lightling_By Region" xfId="0"/>
    <cellStyle name="_DS_Pocket TV_PC Products" xfId="0"/>
    <cellStyle name="_DS_Pocket TV_PC Products 2" xfId="0"/>
    <cellStyle name="_DS_Pocket TV_PC Products 3" xfId="0"/>
    <cellStyle name="_DS_Pocket TV_PC Products 4" xfId="0"/>
    <cellStyle name="_DS_Pocket TV_PC Products 4 2" xfId="0"/>
    <cellStyle name="_DS_Pocket TV_PC Products_By Region" xfId="0"/>
    <cellStyle name="_DS_Pocket TV_PC Products_CORP SG&amp;A" xfId="0"/>
    <cellStyle name="_DS_Pocket TV_PC Products_LCD" xfId="0"/>
    <cellStyle name="_DS_Pocket TV_PC Products_PJ" xfId="0"/>
    <cellStyle name="_DS_Pocket TV_VSA 111014" xfId="0"/>
    <cellStyle name="_DS_Pocket TV_VSA 111014 2" xfId="0"/>
    <cellStyle name="_DS_Pocket TV_VSA 111014 3" xfId="0"/>
    <cellStyle name="_DS_Pocket TV_VSA 111014 4" xfId="0"/>
    <cellStyle name="_DS_Pocket TV_VSA 111014 4 2" xfId="0"/>
    <cellStyle name="_DS_Pocket TV_VSA 111014_By Region" xfId="0"/>
    <cellStyle name="_DS_Pocket TV_VSA 111014_CORP SG&amp;A" xfId="0"/>
    <cellStyle name="_DS_Pocket TV_VSA 111014_LCD" xfId="0"/>
    <cellStyle name="_DS_Pocket TV_VSA 111014_PJ" xfId="0"/>
    <cellStyle name="_DS_Pocket TV_VSA Roll-Up (LW)" xfId="0"/>
    <cellStyle name="_DS_Pocket TV_VSA Roll-Up (LW) 2" xfId="0"/>
    <cellStyle name="_DS_Pocket TV_VSA Roll-Up (LW) 3" xfId="0"/>
    <cellStyle name="_DS_Pocket TV_VSA Roll-Up (LW) 4" xfId="0"/>
    <cellStyle name="_DS_Pocket TV_VSA Roll-Up (LW) 4 2" xfId="0"/>
    <cellStyle name="_DS_Pocket TV_VSA Roll-Up (LW)_By Region" xfId="0"/>
    <cellStyle name="_DS_Pocket TV_VSA Roll-Up (LW)_CORP SG&amp;A" xfId="0"/>
    <cellStyle name="_DS_Pocket TV_VSA Roll-Up (LW)_LCD" xfId="0"/>
    <cellStyle name="_DS_Pocket TV_VSA Roll-Up (LW)_PJ" xfId="0"/>
    <cellStyle name="_DS_Pocket_TV" xfId="0"/>
    <cellStyle name="_DS_Pocket_TV 2" xfId="0"/>
    <cellStyle name="_DS_Pocket_TV 3" xfId="0"/>
    <cellStyle name="_DS_Pocket_TV 4" xfId="0"/>
    <cellStyle name="_DS_Pocket_TV_By Region" xfId="0"/>
    <cellStyle name="_DS_Pocket_TV_CORP SG&amp;A" xfId="0"/>
    <cellStyle name="_DS_Pocket_TV_Digitizer" xfId="0"/>
    <cellStyle name="_DS_Pocket_TV_GPS OTHER" xfId="0"/>
    <cellStyle name="_DS_Pocket_TV_GPS OTHER 2" xfId="0"/>
    <cellStyle name="_DS_Pocket_TV_GPS OTHER 3" xfId="0"/>
    <cellStyle name="_DS_Pocket_TV_GPS OTHER 4" xfId="0"/>
    <cellStyle name="_DS_Pocket_TV_GPS OTHER 4 2" xfId="0"/>
    <cellStyle name="_DS_Pocket_TV_GPS OTHER_By Region" xfId="0"/>
    <cellStyle name="_DS_Pocket_TV_GPS OTHER_CORP SG&amp;A" xfId="0"/>
    <cellStyle name="_DS_Pocket_TV_GPS OTHER_LCD" xfId="0"/>
    <cellStyle name="_DS_Pocket_TV_GPS OTHER_PJ" xfId="0"/>
    <cellStyle name="_DS_Pocket_TV_LCD" xfId="0"/>
    <cellStyle name="_DS_Pocket_TV_LCD 2" xfId="0"/>
    <cellStyle name="_DS_Pocket_TV_LCD 3" xfId="0"/>
    <cellStyle name="_DS_Pocket_TV_LCD 4" xfId="0"/>
    <cellStyle name="_DS_Pocket_TV_LCD_By Region" xfId="0"/>
    <cellStyle name="_DS_Pocket_TV_LCD_CORP SG&amp;A" xfId="0"/>
    <cellStyle name="_DS_Pocket_TV_LCD_LCD" xfId="0"/>
    <cellStyle name="_DS_Pocket_TV_LCD_PJ" xfId="0"/>
    <cellStyle name="_DS_Pocket_TV_lightling" xfId="0"/>
    <cellStyle name="_DS_Pocket_TV_lightling 2" xfId="0"/>
    <cellStyle name="_DS_Pocket_TV_lightling 3" xfId="0"/>
    <cellStyle name="_DS_Pocket_TV_lightling_By Region" xfId="0"/>
    <cellStyle name="_DS_Pocket_TV_PC Products" xfId="0"/>
    <cellStyle name="_DS_Pocket_TV_PC Products 2" xfId="0"/>
    <cellStyle name="_DS_Pocket_TV_PC Products 3" xfId="0"/>
    <cellStyle name="_DS_Pocket_TV_PC Products 4" xfId="0"/>
    <cellStyle name="_DS_Pocket_TV_PC Products 4 2" xfId="0"/>
    <cellStyle name="_DS_Pocket_TV_PC Products_By Region" xfId="0"/>
    <cellStyle name="_DS_Pocket_TV_PC Products_CORP SG&amp;A" xfId="0"/>
    <cellStyle name="_DS_Pocket_TV_PC Products_LCD" xfId="0"/>
    <cellStyle name="_DS_Pocket_TV_PC Products_PJ" xfId="0"/>
    <cellStyle name="_DS_Pocket_TV_VSA 111014" xfId="0"/>
    <cellStyle name="_DS_Pocket_TV_VSA 111014 2" xfId="0"/>
    <cellStyle name="_DS_Pocket_TV_VSA 111014 3" xfId="0"/>
    <cellStyle name="_DS_Pocket_TV_VSA 111014 4" xfId="0"/>
    <cellStyle name="_DS_Pocket_TV_VSA 111014 4 2" xfId="0"/>
    <cellStyle name="_DS_Pocket_TV_VSA 111014_By Region" xfId="0"/>
    <cellStyle name="_DS_Pocket_TV_VSA 111014_CORP SG&amp;A" xfId="0"/>
    <cellStyle name="_DS_Pocket_TV_VSA 111014_LCD" xfId="0"/>
    <cellStyle name="_DS_Pocket_TV_VSA 111014_PJ" xfId="0"/>
    <cellStyle name="_DS_Pocket_TV_VSA Roll-Up (LW)" xfId="0"/>
    <cellStyle name="_DS_Pocket_TV_VSA Roll-Up (LW) 2" xfId="0"/>
    <cellStyle name="_DS_Pocket_TV_VSA Roll-Up (LW) 3" xfId="0"/>
    <cellStyle name="_DS_Pocket_TV_VSA Roll-Up (LW) 4" xfId="0"/>
    <cellStyle name="_DS_Pocket_TV_VSA Roll-Up (LW) 4 2" xfId="0"/>
    <cellStyle name="_DS_Pocket_TV_VSA Roll-Up (LW)_By Region" xfId="0"/>
    <cellStyle name="_DS_Pocket_TV_VSA Roll-Up (LW)_CORP SG&amp;A" xfId="0"/>
    <cellStyle name="_DS_Pocket_TV_VSA Roll-Up (LW)_LCD" xfId="0"/>
    <cellStyle name="_DS_Pocket_TV_VSA Roll-Up (LW)_PJ" xfId="0"/>
    <cellStyle name="_DS_TV" xfId="0"/>
    <cellStyle name="_DS_TV 2" xfId="0"/>
    <cellStyle name="_DS_TV 3" xfId="0"/>
    <cellStyle name="_DS_TV 4" xfId="0"/>
    <cellStyle name="_DS_TV_By Region" xfId="0"/>
    <cellStyle name="_DS_TV_CORP SG&amp;A" xfId="0"/>
    <cellStyle name="_DS_TV_Digitizer" xfId="0"/>
    <cellStyle name="_DS_TV_GPS OTHER" xfId="0"/>
    <cellStyle name="_DS_TV_GPS OTHER 2" xfId="0"/>
    <cellStyle name="_DS_TV_GPS OTHER 3" xfId="0"/>
    <cellStyle name="_DS_TV_GPS OTHER 4" xfId="0"/>
    <cellStyle name="_DS_TV_GPS OTHER 4 2" xfId="0"/>
    <cellStyle name="_DS_TV_GPS OTHER_By Region" xfId="0"/>
    <cellStyle name="_DS_TV_GPS OTHER_CORP SG&amp;A" xfId="0"/>
    <cellStyle name="_DS_TV_GPS OTHER_LCD" xfId="0"/>
    <cellStyle name="_DS_TV_GPS OTHER_PJ" xfId="0"/>
    <cellStyle name="_DS_TV_LCD" xfId="0"/>
    <cellStyle name="_DS_TV_LCD 2" xfId="0"/>
    <cellStyle name="_DS_TV_LCD 3" xfId="0"/>
    <cellStyle name="_DS_TV_LCD 4" xfId="0"/>
    <cellStyle name="_DS_TV_LCD_By Region" xfId="0"/>
    <cellStyle name="_DS_TV_LCD_CORP SG&amp;A" xfId="0"/>
    <cellStyle name="_DS_TV_LCD_LCD" xfId="0"/>
    <cellStyle name="_DS_TV_LCD_PJ" xfId="0"/>
    <cellStyle name="_DS_TV_lightling" xfId="0"/>
    <cellStyle name="_DS_TV_lightling 2" xfId="0"/>
    <cellStyle name="_DS_TV_lightling 3" xfId="0"/>
    <cellStyle name="_DS_TV_lightling_By Region" xfId="0"/>
    <cellStyle name="_DS_TV_PC Products" xfId="0"/>
    <cellStyle name="_DS_TV_PC Products 2" xfId="0"/>
    <cellStyle name="_DS_TV_PC Products 3" xfId="0"/>
    <cellStyle name="_DS_TV_PC Products 4" xfId="0"/>
    <cellStyle name="_DS_TV_PC Products 4 2" xfId="0"/>
    <cellStyle name="_DS_TV_PC Products_By Region" xfId="0"/>
    <cellStyle name="_DS_TV_PC Products_CORP SG&amp;A" xfId="0"/>
    <cellStyle name="_DS_TV_PC Products_LCD" xfId="0"/>
    <cellStyle name="_DS_TV_PC Products_PJ" xfId="0"/>
    <cellStyle name="_DS_TV_VSA 111014" xfId="0"/>
    <cellStyle name="_DS_TV_VSA 111014 2" xfId="0"/>
    <cellStyle name="_DS_TV_VSA 111014 3" xfId="0"/>
    <cellStyle name="_DS_TV_VSA 111014 4" xfId="0"/>
    <cellStyle name="_DS_TV_VSA 111014 4 2" xfId="0"/>
    <cellStyle name="_DS_TV_VSA 111014_By Region" xfId="0"/>
    <cellStyle name="_DS_TV_VSA 111014_CORP SG&amp;A" xfId="0"/>
    <cellStyle name="_DS_TV_VSA 111014_LCD" xfId="0"/>
    <cellStyle name="_DS_TV_VSA 111014_PJ" xfId="0"/>
    <cellStyle name="_DS_TV_VSA Roll-Up (LW)" xfId="0"/>
    <cellStyle name="_DS_TV_VSA Roll-Up (LW) 2" xfId="0"/>
    <cellStyle name="_DS_TV_VSA Roll-Up (LW) 3" xfId="0"/>
    <cellStyle name="_DS_TV_VSA Roll-Up (LW) 4" xfId="0"/>
    <cellStyle name="_DS_TV_VSA Roll-Up (LW) 4 2" xfId="0"/>
    <cellStyle name="_DS_TV_VSA Roll-Up (LW)_By Region" xfId="0"/>
    <cellStyle name="_DS_TV_VSA Roll-Up (LW)_CORP SG&amp;A" xfId="0"/>
    <cellStyle name="_DS_TV_VSA Roll-Up (LW)_LCD" xfId="0"/>
    <cellStyle name="_DS_TV_VSA Roll-Up (LW)_PJ" xfId="0"/>
    <cellStyle name="_DS_VD" xfId="0"/>
    <cellStyle name="_DS_VD 2" xfId="0"/>
    <cellStyle name="_DS_VD 3" xfId="0"/>
    <cellStyle name="_DS_VD 4" xfId="0"/>
    <cellStyle name="_DS_VD_By Region" xfId="0"/>
    <cellStyle name="_DS_VD_CORP SG&amp;A" xfId="0"/>
    <cellStyle name="_DS_VD_Digitizer" xfId="0"/>
    <cellStyle name="_DS_VD_GPS OTHER" xfId="0"/>
    <cellStyle name="_DS_VD_GPS OTHER 2" xfId="0"/>
    <cellStyle name="_DS_VD_GPS OTHER 3" xfId="0"/>
    <cellStyle name="_DS_VD_GPS OTHER 4" xfId="0"/>
    <cellStyle name="_DS_VD_GPS OTHER 4 2" xfId="0"/>
    <cellStyle name="_DS_VD_GPS OTHER_By Region" xfId="0"/>
    <cellStyle name="_DS_VD_GPS OTHER_CORP SG&amp;A" xfId="0"/>
    <cellStyle name="_DS_VD_GPS OTHER_LCD" xfId="0"/>
    <cellStyle name="_DS_VD_GPS OTHER_PJ" xfId="0"/>
    <cellStyle name="_DS_VD_LCD" xfId="0"/>
    <cellStyle name="_DS_VD_LCD 2" xfId="0"/>
    <cellStyle name="_DS_VD_LCD 3" xfId="0"/>
    <cellStyle name="_DS_VD_LCD 4" xfId="0"/>
    <cellStyle name="_DS_VD_LCD_By Region" xfId="0"/>
    <cellStyle name="_DS_VD_LCD_CORP SG&amp;A" xfId="0"/>
    <cellStyle name="_DS_VD_LCD_LCD" xfId="0"/>
    <cellStyle name="_DS_VD_LCD_PJ" xfId="0"/>
    <cellStyle name="_DS_VD_lightling" xfId="0"/>
    <cellStyle name="_DS_VD_lightling 2" xfId="0"/>
    <cellStyle name="_DS_VD_lightling 3" xfId="0"/>
    <cellStyle name="_DS_VD_lightling_By Region" xfId="0"/>
    <cellStyle name="_DS_VD_PC Products" xfId="0"/>
    <cellStyle name="_DS_VD_PC Products 2" xfId="0"/>
    <cellStyle name="_DS_VD_PC Products 3" xfId="0"/>
    <cellStyle name="_DS_VD_PC Products 4" xfId="0"/>
    <cellStyle name="_DS_VD_PC Products 4 2" xfId="0"/>
    <cellStyle name="_DS_VD_PC Products_By Region" xfId="0"/>
    <cellStyle name="_DS_VD_PC Products_CORP SG&amp;A" xfId="0"/>
    <cellStyle name="_DS_VD_PC Products_LCD" xfId="0"/>
    <cellStyle name="_DS_VD_PC Products_PJ" xfId="0"/>
    <cellStyle name="_DS_VD_VSA 111014" xfId="0"/>
    <cellStyle name="_DS_VD_VSA 111014 2" xfId="0"/>
    <cellStyle name="_DS_VD_VSA 111014 3" xfId="0"/>
    <cellStyle name="_DS_VD_VSA 111014 4" xfId="0"/>
    <cellStyle name="_DS_VD_VSA 111014 4 2" xfId="0"/>
    <cellStyle name="_DS_VD_VSA 111014_By Region" xfId="0"/>
    <cellStyle name="_DS_VD_VSA 111014_CORP SG&amp;A" xfId="0"/>
    <cellStyle name="_DS_VD_VSA 111014_LCD" xfId="0"/>
    <cellStyle name="_DS_VD_VSA 111014_PJ" xfId="0"/>
    <cellStyle name="_DS_VD_VSA Roll-Up (LW)" xfId="0"/>
    <cellStyle name="_DS_VD_VSA Roll-Up (LW) 2" xfId="0"/>
    <cellStyle name="_DS_VD_VSA Roll-Up (LW) 3" xfId="0"/>
    <cellStyle name="_DS_VD_VSA Roll-Up (LW) 4" xfId="0"/>
    <cellStyle name="_DS_VD_VSA Roll-Up (LW) 4 2" xfId="0"/>
    <cellStyle name="_DS_VD_VSA Roll-Up (LW)_By Region" xfId="0"/>
    <cellStyle name="_DS_VD_VSA Roll-Up (LW)_CORP SG&amp;A" xfId="0"/>
    <cellStyle name="_DS_VD_VSA Roll-Up (LW)_LCD" xfId="0"/>
    <cellStyle name="_DS_VD_VSA Roll-Up (LW)_PJ" xfId="0"/>
    <cellStyle name="_DS_VSA 111014" xfId="0"/>
    <cellStyle name="_DS_VSA 111014 2" xfId="0"/>
    <cellStyle name="_DS_VSA 111014 3" xfId="0"/>
    <cellStyle name="_DS_VSA 111014 4" xfId="0"/>
    <cellStyle name="_DS_VSA 111014 4 2" xfId="0"/>
    <cellStyle name="_DS_VSA 111014_By Region" xfId="0"/>
    <cellStyle name="_DS_VSA 111014_CORP SG&amp;A" xfId="0"/>
    <cellStyle name="_DS_VSA 111014_LCD" xfId="0"/>
    <cellStyle name="_DS_VSA 111014_PJ" xfId="0"/>
    <cellStyle name="_DS_VSA Roll-Up (LW)" xfId="0"/>
    <cellStyle name="_DS_VSA Roll-Up (LW) 2" xfId="0"/>
    <cellStyle name="_DS_VSA Roll-Up (LW) 3" xfId="0"/>
    <cellStyle name="_DS_VSA Roll-Up (LW) 4" xfId="0"/>
    <cellStyle name="_DS_VSA Roll-Up (LW) 4 2" xfId="0"/>
    <cellStyle name="_DS_VSA Roll-Up (LW)_By Region" xfId="0"/>
    <cellStyle name="_DS_VSA Roll-Up (LW)_CORP SG&amp;A" xfId="0"/>
    <cellStyle name="_DS_VSA Roll-Up (LW)_LCD" xfId="0"/>
    <cellStyle name="_DS_VSA Roll-Up (LW)_PJ" xfId="0"/>
    <cellStyle name="_DS_VSE 2011 Budget" xfId="0"/>
    <cellStyle name="_DS_VSE 2011 Budget 2" xfId="0"/>
    <cellStyle name="_DS_VSE 2011 Budget 3" xfId="0"/>
    <cellStyle name="_DS_VSE 2011 Budget 4" xfId="0"/>
    <cellStyle name="_DS_VSE 2011 Budget_By Region" xfId="0"/>
    <cellStyle name="_DS_VSE 2011 Budget_CORP SG&amp;A" xfId="0"/>
    <cellStyle name="_DS_VSE 2011 Budget_Digitizer" xfId="0"/>
    <cellStyle name="_DS_VSE 2011 Budget_GPS OTHER" xfId="0"/>
    <cellStyle name="_DS_VSE 2011 Budget_GPS OTHER 2" xfId="0"/>
    <cellStyle name="_DS_VSE 2011 Budget_GPS OTHER 3" xfId="0"/>
    <cellStyle name="_DS_VSE 2011 Budget_GPS OTHER 4" xfId="0"/>
    <cellStyle name="_DS_VSE 2011 Budget_GPS OTHER 4 2" xfId="0"/>
    <cellStyle name="_DS_VSE 2011 Budget_GPS OTHER_By Region" xfId="0"/>
    <cellStyle name="_DS_VSE 2011 Budget_GPS OTHER_CORP SG&amp;A" xfId="0"/>
    <cellStyle name="_DS_VSE 2011 Budget_GPS OTHER_LCD" xfId="0"/>
    <cellStyle name="_DS_VSE 2011 Budget_GPS OTHER_PJ" xfId="0"/>
    <cellStyle name="_DS_VSE 2011 Budget_LCD" xfId="0"/>
    <cellStyle name="_DS_VSE 2011 Budget_LCD 2" xfId="0"/>
    <cellStyle name="_DS_VSE 2011 Budget_LCD 3" xfId="0"/>
    <cellStyle name="_DS_VSE 2011 Budget_LCD 4" xfId="0"/>
    <cellStyle name="_DS_VSE 2011 Budget_LCD_By Region" xfId="0"/>
    <cellStyle name="_DS_VSE 2011 Budget_LCD_CORP SG&amp;A" xfId="0"/>
    <cellStyle name="_DS_VSE 2011 Budget_LCD_LCD" xfId="0"/>
    <cellStyle name="_DS_VSE 2011 Budget_LCD_PJ" xfId="0"/>
    <cellStyle name="_DS_VSE 2011 Budget_lightling" xfId="0"/>
    <cellStyle name="_DS_VSE 2011 Budget_lightling 2" xfId="0"/>
    <cellStyle name="_DS_VSE 2011 Budget_lightling 3" xfId="0"/>
    <cellStyle name="_DS_VSE 2011 Budget_lightling_By Region" xfId="0"/>
    <cellStyle name="_DS_VSE 2011 Budget_PC Products" xfId="0"/>
    <cellStyle name="_DS_VSE 2011 Budget_PC Products 2" xfId="0"/>
    <cellStyle name="_DS_VSE 2011 Budget_PC Products 3" xfId="0"/>
    <cellStyle name="_DS_VSE 2011 Budget_PC Products 4" xfId="0"/>
    <cellStyle name="_DS_VSE 2011 Budget_PC Products 4 2" xfId="0"/>
    <cellStyle name="_DS_VSE 2011 Budget_PC Products_By Region" xfId="0"/>
    <cellStyle name="_DS_VSE 2011 Budget_PC Products_CORP SG&amp;A" xfId="0"/>
    <cellStyle name="_DS_VSE 2011 Budget_PC Products_LCD" xfId="0"/>
    <cellStyle name="_DS_VSE 2011 Budget_PC Products_PJ" xfId="0"/>
    <cellStyle name="_DS_VSE 2011 Budget_VSA 111014" xfId="0"/>
    <cellStyle name="_DS_VSE 2011 Budget_VSA 111014 2" xfId="0"/>
    <cellStyle name="_DS_VSE 2011 Budget_VSA 111014 3" xfId="0"/>
    <cellStyle name="_DS_VSE 2011 Budget_VSA 111014 4" xfId="0"/>
    <cellStyle name="_DS_VSE 2011 Budget_VSA 111014 4 2" xfId="0"/>
    <cellStyle name="_DS_VSE 2011 Budget_VSA 111014_By Region" xfId="0"/>
    <cellStyle name="_DS_VSE 2011 Budget_VSA 111014_CORP SG&amp;A" xfId="0"/>
    <cellStyle name="_DS_VSE 2011 Budget_VSA 111014_LCD" xfId="0"/>
    <cellStyle name="_DS_VSE 2011 Budget_VSA 111014_PJ" xfId="0"/>
    <cellStyle name="_DS_VSE 2011 Budget_VSA Roll-Up (LW)" xfId="0"/>
    <cellStyle name="_DS_VSE 2011 Budget_VSA Roll-Up (LW) 2" xfId="0"/>
    <cellStyle name="_DS_VSE 2011 Budget_VSA Roll-Up (LW) 3" xfId="0"/>
    <cellStyle name="_DS_VSE 2011 Budget_VSA Roll-Up (LW) 4" xfId="0"/>
    <cellStyle name="_DS_VSE 2011 Budget_VSA Roll-Up (LW) 4 2" xfId="0"/>
    <cellStyle name="_DS_VSE 2011 Budget_VSA Roll-Up (LW)_By Region" xfId="0"/>
    <cellStyle name="_DS_VSE 2011 Budget_VSA Roll-Up (LW)_CORP SG&amp;A" xfId="0"/>
    <cellStyle name="_DS_VSE 2011 Budget_VSA Roll-Up (LW)_LCD" xfId="0"/>
    <cellStyle name="_DS_VSE 2011 Budget_VSA Roll-Up (LW)_PJ" xfId="0"/>
    <cellStyle name="_DS_VSE 2H  WFP review (Spring Global meeting)-conservative Adam working v3" xfId="0"/>
    <cellStyle name="_DS_VSE 2H  WFP review (Spring Global meeting)-conservative Adam working v3 2" xfId="0"/>
    <cellStyle name="_DS_VSE 2H  WFP review (Spring Global meeting)-conservative Adam working v3 3" xfId="0"/>
    <cellStyle name="_DS_VSE 2H Rebalance 110712" xfId="0"/>
    <cellStyle name="_DS_VSE 2H Rebalance 110712 2" xfId="0"/>
    <cellStyle name="_DS_VSE 2H Rebalance 110712 3" xfId="0"/>
    <cellStyle name="_DS_VSE 2H Rebalance 110712 4" xfId="0"/>
    <cellStyle name="_DS_VSE 2H Rebalance 110712_By Region" xfId="0"/>
    <cellStyle name="_DS_VSE 2H Rebalance 110712_CORP SG&amp;A" xfId="0"/>
    <cellStyle name="_DS_VSE WFP 101203" xfId="0"/>
    <cellStyle name="_DS_VSE WFP 101203 2" xfId="0"/>
    <cellStyle name="_DS_VSE WFP 101203 3" xfId="0"/>
    <cellStyle name="_DS_VSE WFP 101203 4" xfId="0"/>
    <cellStyle name="_DS_VSE WFP 101203_By Region" xfId="0"/>
    <cellStyle name="_DS_VSE WFP 101203_CORP SG&amp;A" xfId="0"/>
    <cellStyle name="_DS_VSE WFP 110311" xfId="0"/>
    <cellStyle name="_DS_VSE WFP 110311 2" xfId="0"/>
    <cellStyle name="_DS_VSE WFP 110311 3" xfId="0"/>
    <cellStyle name="_DS_VSE WFP 110311 4" xfId="0"/>
    <cellStyle name="_DS_VSE WFP 110311_By Region" xfId="0"/>
    <cellStyle name="_DS_VSE WFP 110311_CORP SG&amp;A" xfId="0"/>
    <cellStyle name="_DS_VSE WFP 110415" xfId="0"/>
    <cellStyle name="_DS_VSE WFP 110415 2" xfId="0"/>
    <cellStyle name="_DS_VSE WFP 110415 3" xfId="0"/>
    <cellStyle name="_DS_VSE WFP 110415 4" xfId="0"/>
    <cellStyle name="_DS_VSE WFP 110415_By Region" xfId="0"/>
    <cellStyle name="_DS_VSE WFP 110415_CORP SG&amp;A" xfId="0"/>
    <cellStyle name="_DS_VSE WFP_100409" xfId="0"/>
    <cellStyle name="_DS_VSE WFP_100409 2" xfId="0"/>
    <cellStyle name="_DS_VSE WFP_100409 3" xfId="0"/>
    <cellStyle name="_DS_VSE WFP_100409 4" xfId="0"/>
    <cellStyle name="_DS_VSE WFP_100409_By Region" xfId="0"/>
    <cellStyle name="_DS_VSE WFP_100409_CORP SG&amp;A" xfId="0"/>
    <cellStyle name="_DS_VSE WFP_100409_Digitizer" xfId="0"/>
    <cellStyle name="_DS_VSE WFP_100409_GPS OTHER" xfId="0"/>
    <cellStyle name="_DS_VSE WFP_100409_GPS OTHER 2" xfId="0"/>
    <cellStyle name="_DS_VSE WFP_100409_GPS OTHER 3" xfId="0"/>
    <cellStyle name="_DS_VSE WFP_100409_GPS OTHER 4" xfId="0"/>
    <cellStyle name="_DS_VSE WFP_100409_GPS OTHER 4 2" xfId="0"/>
    <cellStyle name="_DS_VSE WFP_100409_GPS OTHER_By Region" xfId="0"/>
    <cellStyle name="_DS_VSE WFP_100409_GPS OTHER_CORP SG&amp;A" xfId="0"/>
    <cellStyle name="_DS_VSE WFP_100409_GPS OTHER_LCD" xfId="0"/>
    <cellStyle name="_DS_VSE WFP_100409_GPS OTHER_PJ" xfId="0"/>
    <cellStyle name="_DS_VSE WFP_100409_LCD" xfId="0"/>
    <cellStyle name="_DS_VSE WFP_100409_LCD 2" xfId="0"/>
    <cellStyle name="_DS_VSE WFP_100409_LCD 3" xfId="0"/>
    <cellStyle name="_DS_VSE WFP_100409_LCD 4" xfId="0"/>
    <cellStyle name="_DS_VSE WFP_100409_LCD_By Region" xfId="0"/>
    <cellStyle name="_DS_VSE WFP_100409_LCD_CORP SG&amp;A" xfId="0"/>
    <cellStyle name="_DS_VSE WFP_100409_LCD_LCD" xfId="0"/>
    <cellStyle name="_DS_VSE WFP_100409_LCD_PJ" xfId="0"/>
    <cellStyle name="_DS_VSE WFP_100409_lightling" xfId="0"/>
    <cellStyle name="_DS_VSE WFP_100409_lightling 2" xfId="0"/>
    <cellStyle name="_DS_VSE WFP_100409_lightling 3" xfId="0"/>
    <cellStyle name="_DS_VSE WFP_100409_lightling_By Region" xfId="0"/>
    <cellStyle name="_DS_VSE WFP_100409_PC Products" xfId="0"/>
    <cellStyle name="_DS_VSE WFP_100409_PC Products 2" xfId="0"/>
    <cellStyle name="_DS_VSE WFP_100409_PC Products 3" xfId="0"/>
    <cellStyle name="_DS_VSE WFP_100409_PC Products 4" xfId="0"/>
    <cellStyle name="_DS_VSE WFP_100409_PC Products 4 2" xfId="0"/>
    <cellStyle name="_DS_VSE WFP_100409_PC Products_By Region" xfId="0"/>
    <cellStyle name="_DS_VSE WFP_100409_PC Products_CORP SG&amp;A" xfId="0"/>
    <cellStyle name="_DS_VSE WFP_100409_PC Products_LCD" xfId="0"/>
    <cellStyle name="_DS_VSE WFP_100409_PC Products_PJ" xfId="0"/>
    <cellStyle name="_DS_VSE WFP_100409_VSA 111014" xfId="0"/>
    <cellStyle name="_DS_VSE WFP_100409_VSA 111014 2" xfId="0"/>
    <cellStyle name="_DS_VSE WFP_100409_VSA 111014 3" xfId="0"/>
    <cellStyle name="_DS_VSE WFP_100409_VSA 111014 4" xfId="0"/>
    <cellStyle name="_DS_VSE WFP_100409_VSA 111014 4 2" xfId="0"/>
    <cellStyle name="_DS_VSE WFP_100409_VSA 111014_By Region" xfId="0"/>
    <cellStyle name="_DS_VSE WFP_100409_VSA 111014_CORP SG&amp;A" xfId="0"/>
    <cellStyle name="_DS_VSE WFP_100409_VSA 111014_LCD" xfId="0"/>
    <cellStyle name="_DS_VSE WFP_100409_VSA 111014_PJ" xfId="0"/>
    <cellStyle name="_DS_VSE WFP_100409_VSA Roll-Up (LW)" xfId="0"/>
    <cellStyle name="_DS_VSE WFP_100409_VSA Roll-Up (LW) 2" xfId="0"/>
    <cellStyle name="_DS_VSE WFP_100409_VSA Roll-Up (LW) 3" xfId="0"/>
    <cellStyle name="_DS_VSE WFP_100409_VSA Roll-Up (LW) 4" xfId="0"/>
    <cellStyle name="_DS_VSE WFP_100409_VSA Roll-Up (LW) 4 2" xfId="0"/>
    <cellStyle name="_DS_VSE WFP_100409_VSA Roll-Up (LW)_By Region" xfId="0"/>
    <cellStyle name="_DS_VSE WFP_100409_VSA Roll-Up (LW)_CORP SG&amp;A" xfId="0"/>
    <cellStyle name="_DS_VSE WFP_100409_VSA Roll-Up (LW)_LCD" xfId="0"/>
    <cellStyle name="_DS_VSE WFP_100409_VSA Roll-Up (LW)_PJ" xfId="0"/>
    <cellStyle name="_DS_VSE WFP_100421 v2" xfId="0"/>
    <cellStyle name="_DS_VSE WFP_100421 v2 2" xfId="0"/>
    <cellStyle name="_DS_VSE WFP_100421 v2 3" xfId="0"/>
    <cellStyle name="_DS_VSE WFP_100421 v2 4" xfId="0"/>
    <cellStyle name="_DS_VSE WFP_100421 v2_By Region" xfId="0"/>
    <cellStyle name="_DS_VSE WFP_100421 v2_CORP SG&amp;A" xfId="0"/>
    <cellStyle name="_DS_VSE WFP_100421 v2_Digitizer" xfId="0"/>
    <cellStyle name="_DS_VSE WFP_100421 v2_GPS OTHER" xfId="0"/>
    <cellStyle name="_DS_VSE WFP_100421 v2_GPS OTHER 2" xfId="0"/>
    <cellStyle name="_DS_VSE WFP_100421 v2_GPS OTHER 3" xfId="0"/>
    <cellStyle name="_DS_VSE WFP_100421 v2_GPS OTHER 4" xfId="0"/>
    <cellStyle name="_DS_VSE WFP_100421 v2_GPS OTHER 4 2" xfId="0"/>
    <cellStyle name="_DS_VSE WFP_100421 v2_GPS OTHER_By Region" xfId="0"/>
    <cellStyle name="_DS_VSE WFP_100421 v2_GPS OTHER_CORP SG&amp;A" xfId="0"/>
    <cellStyle name="_DS_VSE WFP_100421 v2_GPS OTHER_LCD" xfId="0"/>
    <cellStyle name="_DS_VSE WFP_100421 v2_GPS OTHER_PJ" xfId="0"/>
    <cellStyle name="_DS_VSE WFP_100421 v2_LCD" xfId="0"/>
    <cellStyle name="_DS_VSE WFP_100421 v2_LCD 2" xfId="0"/>
    <cellStyle name="_DS_VSE WFP_100421 v2_LCD 3" xfId="0"/>
    <cellStyle name="_DS_VSE WFP_100421 v2_LCD 4" xfId="0"/>
    <cellStyle name="_DS_VSE WFP_100421 v2_LCD_By Region" xfId="0"/>
    <cellStyle name="_DS_VSE WFP_100421 v2_LCD_CORP SG&amp;A" xfId="0"/>
    <cellStyle name="_DS_VSE WFP_100421 v2_LCD_LCD" xfId="0"/>
    <cellStyle name="_DS_VSE WFP_100421 v2_LCD_PJ" xfId="0"/>
    <cellStyle name="_DS_VSE WFP_100421 v2_lightling" xfId="0"/>
    <cellStyle name="_DS_VSE WFP_100421 v2_lightling 2" xfId="0"/>
    <cellStyle name="_DS_VSE WFP_100421 v2_lightling 3" xfId="0"/>
    <cellStyle name="_DS_VSE WFP_100421 v2_lightling_By Region" xfId="0"/>
    <cellStyle name="_DS_VSE WFP_100421 v2_PC Products" xfId="0"/>
    <cellStyle name="_DS_VSE WFP_100421 v2_PC Products 2" xfId="0"/>
    <cellStyle name="_DS_VSE WFP_100421 v2_PC Products 3" xfId="0"/>
    <cellStyle name="_DS_VSE WFP_100421 v2_PC Products 4" xfId="0"/>
    <cellStyle name="_DS_VSE WFP_100421 v2_PC Products 4 2" xfId="0"/>
    <cellStyle name="_DS_VSE WFP_100421 v2_PC Products_By Region" xfId="0"/>
    <cellStyle name="_DS_VSE WFP_100421 v2_PC Products_CORP SG&amp;A" xfId="0"/>
    <cellStyle name="_DS_VSE WFP_100421 v2_PC Products_LCD" xfId="0"/>
    <cellStyle name="_DS_VSE WFP_100421 v2_PC Products_PJ" xfId="0"/>
    <cellStyle name="_DS_VSE WFP_100421 v2_VSA 111014" xfId="0"/>
    <cellStyle name="_DS_VSE WFP_100421 v2_VSA 111014 2" xfId="0"/>
    <cellStyle name="_DS_VSE WFP_100421 v2_VSA 111014 3" xfId="0"/>
    <cellStyle name="_DS_VSE WFP_100421 v2_VSA 111014 4" xfId="0"/>
    <cellStyle name="_DS_VSE WFP_100421 v2_VSA 111014 4 2" xfId="0"/>
    <cellStyle name="_DS_VSE WFP_100421 v2_VSA 111014_By Region" xfId="0"/>
    <cellStyle name="_DS_VSE WFP_100421 v2_VSA 111014_CORP SG&amp;A" xfId="0"/>
    <cellStyle name="_DS_VSE WFP_100421 v2_VSA 111014_LCD" xfId="0"/>
    <cellStyle name="_DS_VSE WFP_100421 v2_VSA 111014_PJ" xfId="0"/>
    <cellStyle name="_DS_VSE WFP_100421 v2_VSA Roll-Up (LW)" xfId="0"/>
    <cellStyle name="_DS_VSE WFP_100421 v2_VSA Roll-Up (LW) 2" xfId="0"/>
    <cellStyle name="_DS_VSE WFP_100421 v2_VSA Roll-Up (LW) 3" xfId="0"/>
    <cellStyle name="_DS_VSE WFP_100421 v2_VSA Roll-Up (LW) 4" xfId="0"/>
    <cellStyle name="_DS_VSE WFP_100421 v2_VSA Roll-Up (LW) 4 2" xfId="0"/>
    <cellStyle name="_DS_VSE WFP_100421 v2_VSA Roll-Up (LW)_By Region" xfId="0"/>
    <cellStyle name="_DS_VSE WFP_100421 v2_VSA Roll-Up (LW)_CORP SG&amp;A" xfId="0"/>
    <cellStyle name="_DS_VSE WFP_100421 v2_VSA Roll-Up (LW)_LCD" xfId="0"/>
    <cellStyle name="_DS_VSE WFP_100421 v2_VSA Roll-Up (LW)_PJ" xfId="0"/>
    <cellStyle name="_DS_VSE WFP_100507" xfId="0"/>
    <cellStyle name="_DS_VSE WFP_100507 2" xfId="0"/>
    <cellStyle name="_DS_VSE WFP_100507 3" xfId="0"/>
    <cellStyle name="_DS_VSE WFP_100507 4" xfId="0"/>
    <cellStyle name="_DS_VSE WFP_100507_By Region" xfId="0"/>
    <cellStyle name="_DS_VSE WFP_100507_CORP SG&amp;A" xfId="0"/>
    <cellStyle name="_DS_VSE WFP_100507_Digitizer" xfId="0"/>
    <cellStyle name="_DS_VSE WFP_100507_GPS OTHER" xfId="0"/>
    <cellStyle name="_DS_VSE WFP_100507_GPS OTHER 2" xfId="0"/>
    <cellStyle name="_DS_VSE WFP_100507_GPS OTHER 3" xfId="0"/>
    <cellStyle name="_DS_VSE WFP_100507_GPS OTHER 4" xfId="0"/>
    <cellStyle name="_DS_VSE WFP_100507_GPS OTHER 4 2" xfId="0"/>
    <cellStyle name="_DS_VSE WFP_100507_GPS OTHER_By Region" xfId="0"/>
    <cellStyle name="_DS_VSE WFP_100507_GPS OTHER_CORP SG&amp;A" xfId="0"/>
    <cellStyle name="_DS_VSE WFP_100507_GPS OTHER_LCD" xfId="0"/>
    <cellStyle name="_DS_VSE WFP_100507_GPS OTHER_PJ" xfId="0"/>
    <cellStyle name="_DS_VSE WFP_100507_LCD" xfId="0"/>
    <cellStyle name="_DS_VSE WFP_100507_LCD 2" xfId="0"/>
    <cellStyle name="_DS_VSE WFP_100507_LCD 3" xfId="0"/>
    <cellStyle name="_DS_VSE WFP_100507_LCD 4" xfId="0"/>
    <cellStyle name="_DS_VSE WFP_100507_LCD_By Region" xfId="0"/>
    <cellStyle name="_DS_VSE WFP_100507_LCD_CORP SG&amp;A" xfId="0"/>
    <cellStyle name="_DS_VSE WFP_100507_LCD_LCD" xfId="0"/>
    <cellStyle name="_DS_VSE WFP_100507_LCD_PJ" xfId="0"/>
    <cellStyle name="_DS_VSE WFP_100507_lightling" xfId="0"/>
    <cellStyle name="_DS_VSE WFP_100507_lightling 2" xfId="0"/>
    <cellStyle name="_DS_VSE WFP_100507_lightling 3" xfId="0"/>
    <cellStyle name="_DS_VSE WFP_100507_lightling_By Region" xfId="0"/>
    <cellStyle name="_DS_VSE WFP_100507_PC Products" xfId="0"/>
    <cellStyle name="_DS_VSE WFP_100507_PC Products 2" xfId="0"/>
    <cellStyle name="_DS_VSE WFP_100507_PC Products 3" xfId="0"/>
    <cellStyle name="_DS_VSE WFP_100507_PC Products 4" xfId="0"/>
    <cellStyle name="_DS_VSE WFP_100507_PC Products 4 2" xfId="0"/>
    <cellStyle name="_DS_VSE WFP_100507_PC Products_By Region" xfId="0"/>
    <cellStyle name="_DS_VSE WFP_100507_PC Products_CORP SG&amp;A" xfId="0"/>
    <cellStyle name="_DS_VSE WFP_100507_PC Products_LCD" xfId="0"/>
    <cellStyle name="_DS_VSE WFP_100507_PC Products_PJ" xfId="0"/>
    <cellStyle name="_DS_VSE WFP_100507_VSA 111014" xfId="0"/>
    <cellStyle name="_DS_VSE WFP_100507_VSA 111014 2" xfId="0"/>
    <cellStyle name="_DS_VSE WFP_100507_VSA 111014 3" xfId="0"/>
    <cellStyle name="_DS_VSE WFP_100507_VSA 111014 4" xfId="0"/>
    <cellStyle name="_DS_VSE WFP_100507_VSA 111014 4 2" xfId="0"/>
    <cellStyle name="_DS_VSE WFP_100507_VSA 111014_By Region" xfId="0"/>
    <cellStyle name="_DS_VSE WFP_100507_VSA 111014_CORP SG&amp;A" xfId="0"/>
    <cellStyle name="_DS_VSE WFP_100507_VSA 111014_LCD" xfId="0"/>
    <cellStyle name="_DS_VSE WFP_100507_VSA 111014_PJ" xfId="0"/>
    <cellStyle name="_DS_VSE WFP_100507_VSA Roll-Up (LW)" xfId="0"/>
    <cellStyle name="_DS_VSE WFP_100507_VSA Roll-Up (LW) 2" xfId="0"/>
    <cellStyle name="_DS_VSE WFP_100507_VSA Roll-Up (LW) 3" xfId="0"/>
    <cellStyle name="_DS_VSE WFP_100507_VSA Roll-Up (LW) 4" xfId="0"/>
    <cellStyle name="_DS_VSE WFP_100507_VSA Roll-Up (LW) 4 2" xfId="0"/>
    <cellStyle name="_DS_VSE WFP_100507_VSA Roll-Up (LW)_By Region" xfId="0"/>
    <cellStyle name="_DS_VSE WFP_100507_VSA Roll-Up (LW)_CORP SG&amp;A" xfId="0"/>
    <cellStyle name="_DS_VSE WFP_100507_VSA Roll-Up (LW)_LCD" xfId="0"/>
    <cellStyle name="_DS_VSE WFP_100507_VSA Roll-Up (LW)_PJ" xfId="0"/>
    <cellStyle name="_DS_VSE WFP_100608" xfId="0"/>
    <cellStyle name="_DS_VSE WFP_100608 2" xfId="0"/>
    <cellStyle name="_DS_VSE WFP_100608 3" xfId="0"/>
    <cellStyle name="_DS_VSE WFP_100608 4" xfId="0"/>
    <cellStyle name="_DS_VSE WFP_100608_By Region" xfId="0"/>
    <cellStyle name="_DS_VSE WFP_100608_CORP SG&amp;A" xfId="0"/>
    <cellStyle name="_DS_VSE WFP_100608_Digitizer" xfId="0"/>
    <cellStyle name="_DS_VSE WFP_100608_GPS OTHER" xfId="0"/>
    <cellStyle name="_DS_VSE WFP_100608_GPS OTHER 2" xfId="0"/>
    <cellStyle name="_DS_VSE WFP_100608_GPS OTHER 3" xfId="0"/>
    <cellStyle name="_DS_VSE WFP_100608_GPS OTHER 4" xfId="0"/>
    <cellStyle name="_DS_VSE WFP_100608_GPS OTHER 4 2" xfId="0"/>
    <cellStyle name="_DS_VSE WFP_100608_GPS OTHER_By Region" xfId="0"/>
    <cellStyle name="_DS_VSE WFP_100608_GPS OTHER_CORP SG&amp;A" xfId="0"/>
    <cellStyle name="_DS_VSE WFP_100608_GPS OTHER_LCD" xfId="0"/>
    <cellStyle name="_DS_VSE WFP_100608_GPS OTHER_PJ" xfId="0"/>
    <cellStyle name="_DS_VSE WFP_100608_LCD" xfId="0"/>
    <cellStyle name="_DS_VSE WFP_100608_LCD 2" xfId="0"/>
    <cellStyle name="_DS_VSE WFP_100608_LCD 3" xfId="0"/>
    <cellStyle name="_DS_VSE WFP_100608_LCD 4" xfId="0"/>
    <cellStyle name="_DS_VSE WFP_100608_LCD_By Region" xfId="0"/>
    <cellStyle name="_DS_VSE WFP_100608_LCD_CORP SG&amp;A" xfId="0"/>
    <cellStyle name="_DS_VSE WFP_100608_LCD_LCD" xfId="0"/>
    <cellStyle name="_DS_VSE WFP_100608_LCD_PJ" xfId="0"/>
    <cellStyle name="_DS_VSE WFP_100608_lightling" xfId="0"/>
    <cellStyle name="_DS_VSE WFP_100608_lightling 2" xfId="0"/>
    <cellStyle name="_DS_VSE WFP_100608_lightling 3" xfId="0"/>
    <cellStyle name="_DS_VSE WFP_100608_lightling_By Region" xfId="0"/>
    <cellStyle name="_DS_VSE WFP_100608_PC Products" xfId="0"/>
    <cellStyle name="_DS_VSE WFP_100608_PC Products 2" xfId="0"/>
    <cellStyle name="_DS_VSE WFP_100608_PC Products 3" xfId="0"/>
    <cellStyle name="_DS_VSE WFP_100608_PC Products 4" xfId="0"/>
    <cellStyle name="_DS_VSE WFP_100608_PC Products 4 2" xfId="0"/>
    <cellStyle name="_DS_VSE WFP_100608_PC Products_By Region" xfId="0"/>
    <cellStyle name="_DS_VSE WFP_100608_PC Products_CORP SG&amp;A" xfId="0"/>
    <cellStyle name="_DS_VSE WFP_100608_PC Products_LCD" xfId="0"/>
    <cellStyle name="_DS_VSE WFP_100608_PC Products_PJ" xfId="0"/>
    <cellStyle name="_DS_VSE WFP_100608_VSA 111014" xfId="0"/>
    <cellStyle name="_DS_VSE WFP_100608_VSA 111014 2" xfId="0"/>
    <cellStyle name="_DS_VSE WFP_100608_VSA 111014 3" xfId="0"/>
    <cellStyle name="_DS_VSE WFP_100608_VSA 111014 4" xfId="0"/>
    <cellStyle name="_DS_VSE WFP_100608_VSA 111014 4 2" xfId="0"/>
    <cellStyle name="_DS_VSE WFP_100608_VSA 111014_By Region" xfId="0"/>
    <cellStyle name="_DS_VSE WFP_100608_VSA 111014_CORP SG&amp;A" xfId="0"/>
    <cellStyle name="_DS_VSE WFP_100608_VSA 111014_LCD" xfId="0"/>
    <cellStyle name="_DS_VSE WFP_100608_VSA 111014_PJ" xfId="0"/>
    <cellStyle name="_DS_VSE WFP_100608_VSA Roll-Up (LW)" xfId="0"/>
    <cellStyle name="_DS_VSE WFP_100608_VSA Roll-Up (LW) 2" xfId="0"/>
    <cellStyle name="_DS_VSE WFP_100608_VSA Roll-Up (LW) 3" xfId="0"/>
    <cellStyle name="_DS_VSE WFP_100608_VSA Roll-Up (LW) 4" xfId="0"/>
    <cellStyle name="_DS_VSE WFP_100608_VSA Roll-Up (LW) 4 2" xfId="0"/>
    <cellStyle name="_DS_VSE WFP_100608_VSA Roll-Up (LW)_By Region" xfId="0"/>
    <cellStyle name="_DS_VSE WFP_100608_VSA Roll-Up (LW)_CORP SG&amp;A" xfId="0"/>
    <cellStyle name="_DS_VSE WFP_100608_VSA Roll-Up (LW)_LCD" xfId="0"/>
    <cellStyle name="_DS_VSE WFP_100608_VSA Roll-Up (LW)_PJ" xfId="0"/>
    <cellStyle name="_DS_VSE WFP_100625" xfId="0"/>
    <cellStyle name="_DS_VSE WFP_100625 2" xfId="0"/>
    <cellStyle name="_DS_VSE WFP_100625 3" xfId="0"/>
    <cellStyle name="_DS_VSE WFP_100625 4" xfId="0"/>
    <cellStyle name="_DS_VSE WFP_100625_By Region" xfId="0"/>
    <cellStyle name="_DS_VSE WFP_100625_CORP SG&amp;A" xfId="0"/>
    <cellStyle name="_DS_VSE WFP_100625_Digitizer" xfId="0"/>
    <cellStyle name="_DS_VSE WFP_100625_GPS OTHER" xfId="0"/>
    <cellStyle name="_DS_VSE WFP_100625_GPS OTHER 2" xfId="0"/>
    <cellStyle name="_DS_VSE WFP_100625_GPS OTHER 3" xfId="0"/>
    <cellStyle name="_DS_VSE WFP_100625_GPS OTHER 4" xfId="0"/>
    <cellStyle name="_DS_VSE WFP_100625_GPS OTHER 4 2" xfId="0"/>
    <cellStyle name="_DS_VSE WFP_100625_GPS OTHER_By Region" xfId="0"/>
    <cellStyle name="_DS_VSE WFP_100625_GPS OTHER_CORP SG&amp;A" xfId="0"/>
    <cellStyle name="_DS_VSE WFP_100625_GPS OTHER_LCD" xfId="0"/>
    <cellStyle name="_DS_VSE WFP_100625_GPS OTHER_PJ" xfId="0"/>
    <cellStyle name="_DS_VSE WFP_100625_LCD" xfId="0"/>
    <cellStyle name="_DS_VSE WFP_100625_LCD 2" xfId="0"/>
    <cellStyle name="_DS_VSE WFP_100625_LCD 3" xfId="0"/>
    <cellStyle name="_DS_VSE WFP_100625_LCD 4" xfId="0"/>
    <cellStyle name="_DS_VSE WFP_100625_LCD_By Region" xfId="0"/>
    <cellStyle name="_DS_VSE WFP_100625_LCD_CORP SG&amp;A" xfId="0"/>
    <cellStyle name="_DS_VSE WFP_100625_LCD_LCD" xfId="0"/>
    <cellStyle name="_DS_VSE WFP_100625_LCD_PJ" xfId="0"/>
    <cellStyle name="_DS_VSE WFP_100625_lightling" xfId="0"/>
    <cellStyle name="_DS_VSE WFP_100625_lightling 2" xfId="0"/>
    <cellStyle name="_DS_VSE WFP_100625_lightling 3" xfId="0"/>
    <cellStyle name="_DS_VSE WFP_100625_lightling_By Region" xfId="0"/>
    <cellStyle name="_DS_VSE WFP_100625_PC Products" xfId="0"/>
    <cellStyle name="_DS_VSE WFP_100625_PC Products 2" xfId="0"/>
    <cellStyle name="_DS_VSE WFP_100625_PC Products 3" xfId="0"/>
    <cellStyle name="_DS_VSE WFP_100625_PC Products 4" xfId="0"/>
    <cellStyle name="_DS_VSE WFP_100625_PC Products 4 2" xfId="0"/>
    <cellStyle name="_DS_VSE WFP_100625_PC Products_By Region" xfId="0"/>
    <cellStyle name="_DS_VSE WFP_100625_PC Products_CORP SG&amp;A" xfId="0"/>
    <cellStyle name="_DS_VSE WFP_100625_PC Products_LCD" xfId="0"/>
    <cellStyle name="_DS_VSE WFP_100625_PC Products_PJ" xfId="0"/>
    <cellStyle name="_DS_VSE WFP_100625_VSA 111014" xfId="0"/>
    <cellStyle name="_DS_VSE WFP_100625_VSA 111014 2" xfId="0"/>
    <cellStyle name="_DS_VSE WFP_100625_VSA 111014 3" xfId="0"/>
    <cellStyle name="_DS_VSE WFP_100625_VSA 111014 4" xfId="0"/>
    <cellStyle name="_DS_VSE WFP_100625_VSA 111014 4 2" xfId="0"/>
    <cellStyle name="_DS_VSE WFP_100625_VSA 111014_By Region" xfId="0"/>
    <cellStyle name="_DS_VSE WFP_100625_VSA 111014_CORP SG&amp;A" xfId="0"/>
    <cellStyle name="_DS_VSE WFP_100625_VSA 111014_LCD" xfId="0"/>
    <cellStyle name="_DS_VSE WFP_100625_VSA 111014_PJ" xfId="0"/>
    <cellStyle name="_DS_VSE WFP_100625_VSA Roll-Up (LW)" xfId="0"/>
    <cellStyle name="_DS_VSE WFP_100625_VSA Roll-Up (LW) 2" xfId="0"/>
    <cellStyle name="_DS_VSE WFP_100625_VSA Roll-Up (LW) 3" xfId="0"/>
    <cellStyle name="_DS_VSE WFP_100625_VSA Roll-Up (LW) 4" xfId="0"/>
    <cellStyle name="_DS_VSE WFP_100625_VSA Roll-Up (LW) 4 2" xfId="0"/>
    <cellStyle name="_DS_VSE WFP_100625_VSA Roll-Up (LW)_By Region" xfId="0"/>
    <cellStyle name="_DS_VSE WFP_100625_VSA Roll-Up (LW)_CORP SG&amp;A" xfId="0"/>
    <cellStyle name="_DS_VSE WFP_100625_VSA Roll-Up (LW)_LCD" xfId="0"/>
    <cellStyle name="_DS_VSE WFP_100625_VSA Roll-Up (LW)_PJ" xfId="0"/>
    <cellStyle name="_DS_VSE WFP_100708_3rd" xfId="0"/>
    <cellStyle name="_DS_VSE WFP_100708_3rd 2" xfId="0"/>
    <cellStyle name="_DS_VSE WFP_100708_3rd 3" xfId="0"/>
    <cellStyle name="_DS_VSE WFP_100708_3rd 4" xfId="0"/>
    <cellStyle name="_DS_VSE WFP_100708_3rd_By Region" xfId="0"/>
    <cellStyle name="_DS_VSE WFP_100708_3rd_CORP SG&amp;A" xfId="0"/>
    <cellStyle name="_DS_VSE WFP_100708_3rd_Digitizer" xfId="0"/>
    <cellStyle name="_DS_VSE WFP_100708_3rd_GPS OTHER" xfId="0"/>
    <cellStyle name="_DS_VSE WFP_100708_3rd_GPS OTHER 2" xfId="0"/>
    <cellStyle name="_DS_VSE WFP_100708_3rd_GPS OTHER 3" xfId="0"/>
    <cellStyle name="_DS_VSE WFP_100708_3rd_GPS OTHER 4" xfId="0"/>
    <cellStyle name="_DS_VSE WFP_100708_3rd_GPS OTHER 4 2" xfId="0"/>
    <cellStyle name="_DS_VSE WFP_100708_3rd_GPS OTHER_By Region" xfId="0"/>
    <cellStyle name="_DS_VSE WFP_100708_3rd_GPS OTHER_CORP SG&amp;A" xfId="0"/>
    <cellStyle name="_DS_VSE WFP_100708_3rd_GPS OTHER_LCD" xfId="0"/>
    <cellStyle name="_DS_VSE WFP_100708_3rd_GPS OTHER_PJ" xfId="0"/>
    <cellStyle name="_DS_VSE WFP_100708_3rd_LCD" xfId="0"/>
    <cellStyle name="_DS_VSE WFP_100708_3rd_LCD 2" xfId="0"/>
    <cellStyle name="_DS_VSE WFP_100708_3rd_LCD 3" xfId="0"/>
    <cellStyle name="_DS_VSE WFP_100708_3rd_LCD 4" xfId="0"/>
    <cellStyle name="_DS_VSE WFP_100708_3rd_LCD_By Region" xfId="0"/>
    <cellStyle name="_DS_VSE WFP_100708_3rd_LCD_CORP SG&amp;A" xfId="0"/>
    <cellStyle name="_DS_VSE WFP_100708_3rd_LCD_LCD" xfId="0"/>
    <cellStyle name="_DS_VSE WFP_100708_3rd_LCD_PJ" xfId="0"/>
    <cellStyle name="_DS_VSE WFP_100708_3rd_lightling" xfId="0"/>
    <cellStyle name="_DS_VSE WFP_100708_3rd_lightling 2" xfId="0"/>
    <cellStyle name="_DS_VSE WFP_100708_3rd_lightling 3" xfId="0"/>
    <cellStyle name="_DS_VSE WFP_100708_3rd_lightling_By Region" xfId="0"/>
    <cellStyle name="_DS_VSE WFP_100708_3rd_PC Products" xfId="0"/>
    <cellStyle name="_DS_VSE WFP_100708_3rd_PC Products 2" xfId="0"/>
    <cellStyle name="_DS_VSE WFP_100708_3rd_PC Products 3" xfId="0"/>
    <cellStyle name="_DS_VSE WFP_100708_3rd_PC Products 4" xfId="0"/>
    <cellStyle name="_DS_VSE WFP_100708_3rd_PC Products 4 2" xfId="0"/>
    <cellStyle name="_DS_VSE WFP_100708_3rd_PC Products_By Region" xfId="0"/>
    <cellStyle name="_DS_VSE WFP_100708_3rd_PC Products_CORP SG&amp;A" xfId="0"/>
    <cellStyle name="_DS_VSE WFP_100708_3rd_PC Products_LCD" xfId="0"/>
    <cellStyle name="_DS_VSE WFP_100708_3rd_PC Products_PJ" xfId="0"/>
    <cellStyle name="_DS_VSE WFP_100708_3rd_VSA 111014" xfId="0"/>
    <cellStyle name="_DS_VSE WFP_100708_3rd_VSA 111014 2" xfId="0"/>
    <cellStyle name="_DS_VSE WFP_100708_3rd_VSA 111014 3" xfId="0"/>
    <cellStyle name="_DS_VSE WFP_100708_3rd_VSA 111014 4" xfId="0"/>
    <cellStyle name="_DS_VSE WFP_100708_3rd_VSA 111014 4 2" xfId="0"/>
    <cellStyle name="_DS_VSE WFP_100708_3rd_VSA 111014_By Region" xfId="0"/>
    <cellStyle name="_DS_VSE WFP_100708_3rd_VSA 111014_CORP SG&amp;A" xfId="0"/>
    <cellStyle name="_DS_VSE WFP_100708_3rd_VSA 111014_LCD" xfId="0"/>
    <cellStyle name="_DS_VSE WFP_100708_3rd_VSA 111014_PJ" xfId="0"/>
    <cellStyle name="_DS_VSE WFP_100708_3rd_VSA Roll-Up (LW)" xfId="0"/>
    <cellStyle name="_DS_VSE WFP_100708_3rd_VSA Roll-Up (LW) 2" xfId="0"/>
    <cellStyle name="_DS_VSE WFP_100708_3rd_VSA Roll-Up (LW) 3" xfId="0"/>
    <cellStyle name="_DS_VSE WFP_100708_3rd_VSA Roll-Up (LW) 4" xfId="0"/>
    <cellStyle name="_DS_VSE WFP_100708_3rd_VSA Roll-Up (LW) 4 2" xfId="0"/>
    <cellStyle name="_DS_VSE WFP_100708_3rd_VSA Roll-Up (LW)_By Region" xfId="0"/>
    <cellStyle name="_DS_VSE WFP_100708_3rd_VSA Roll-Up (LW)_CORP SG&amp;A" xfId="0"/>
    <cellStyle name="_DS_VSE WFP_100708_3rd_VSA Roll-Up (LW)_LCD" xfId="0"/>
    <cellStyle name="_DS_VSE WFP_100708_3rd_VSA Roll-Up (LW)_PJ" xfId="0"/>
    <cellStyle name="_DS_VSE WFP_100726" xfId="0"/>
    <cellStyle name="_DS_VSE WFP_100726 2" xfId="0"/>
    <cellStyle name="_DS_VSE WFP_100726 3" xfId="0"/>
    <cellStyle name="_DS_VSE WFP_100726 4" xfId="0"/>
    <cellStyle name="_DS_VSE WFP_100726-1" xfId="0"/>
    <cellStyle name="_DS_VSE WFP_100726-1 2" xfId="0"/>
    <cellStyle name="_DS_VSE WFP_100726-1 3" xfId="0"/>
    <cellStyle name="_DS_VSE WFP_100726-1 4" xfId="0"/>
    <cellStyle name="_DS_VSE WFP_100726-1_By Region" xfId="0"/>
    <cellStyle name="_DS_VSE WFP_100726-1_CORP SG&amp;A" xfId="0"/>
    <cellStyle name="_DS_VSE WFP_100726-1_Digitizer" xfId="0"/>
    <cellStyle name="_DS_VSE WFP_100726-1_GPS OTHER" xfId="0"/>
    <cellStyle name="_DS_VSE WFP_100726-1_GPS OTHER 2" xfId="0"/>
    <cellStyle name="_DS_VSE WFP_100726-1_GPS OTHER 3" xfId="0"/>
    <cellStyle name="_DS_VSE WFP_100726-1_GPS OTHER 4" xfId="0"/>
    <cellStyle name="_DS_VSE WFP_100726-1_GPS OTHER 4 2" xfId="0"/>
    <cellStyle name="_DS_VSE WFP_100726-1_GPS OTHER_By Region" xfId="0"/>
    <cellStyle name="_DS_VSE WFP_100726-1_GPS OTHER_CORP SG&amp;A" xfId="0"/>
    <cellStyle name="_DS_VSE WFP_100726-1_GPS OTHER_LCD" xfId="0"/>
    <cellStyle name="_DS_VSE WFP_100726-1_GPS OTHER_PJ" xfId="0"/>
    <cellStyle name="_DS_VSE WFP_100726-1_LCD" xfId="0"/>
    <cellStyle name="_DS_VSE WFP_100726-1_LCD 2" xfId="0"/>
    <cellStyle name="_DS_VSE WFP_100726-1_LCD 3" xfId="0"/>
    <cellStyle name="_DS_VSE WFP_100726-1_LCD 4" xfId="0"/>
    <cellStyle name="_DS_VSE WFP_100726-1_LCD_By Region" xfId="0"/>
    <cellStyle name="_DS_VSE WFP_100726-1_LCD_CORP SG&amp;A" xfId="0"/>
    <cellStyle name="_DS_VSE WFP_100726-1_LCD_LCD" xfId="0"/>
    <cellStyle name="_DS_VSE WFP_100726-1_LCD_PJ" xfId="0"/>
    <cellStyle name="_DS_VSE WFP_100726-1_lightling" xfId="0"/>
    <cellStyle name="_DS_VSE WFP_100726-1_lightling 2" xfId="0"/>
    <cellStyle name="_DS_VSE WFP_100726-1_lightling 3" xfId="0"/>
    <cellStyle name="_DS_VSE WFP_100726-1_lightling_By Region" xfId="0"/>
    <cellStyle name="_DS_VSE WFP_100726-1_PC Products" xfId="0"/>
    <cellStyle name="_DS_VSE WFP_100726-1_PC Products 2" xfId="0"/>
    <cellStyle name="_DS_VSE WFP_100726-1_PC Products 3" xfId="0"/>
    <cellStyle name="_DS_VSE WFP_100726-1_PC Products 4" xfId="0"/>
    <cellStyle name="_DS_VSE WFP_100726-1_PC Products 4 2" xfId="0"/>
    <cellStyle name="_DS_VSE WFP_100726-1_PC Products_By Region" xfId="0"/>
    <cellStyle name="_DS_VSE WFP_100726-1_PC Products_CORP SG&amp;A" xfId="0"/>
    <cellStyle name="_DS_VSE WFP_100726-1_PC Products_LCD" xfId="0"/>
    <cellStyle name="_DS_VSE WFP_100726-1_PC Products_PJ" xfId="0"/>
    <cellStyle name="_DS_VSE WFP_100726-1_VSA 111014" xfId="0"/>
    <cellStyle name="_DS_VSE WFP_100726-1_VSA 111014 2" xfId="0"/>
    <cellStyle name="_DS_VSE WFP_100726-1_VSA 111014 3" xfId="0"/>
    <cellStyle name="_DS_VSE WFP_100726-1_VSA 111014 4" xfId="0"/>
    <cellStyle name="_DS_VSE WFP_100726-1_VSA 111014 4 2" xfId="0"/>
    <cellStyle name="_DS_VSE WFP_100726-1_VSA 111014_By Region" xfId="0"/>
    <cellStyle name="_DS_VSE WFP_100726-1_VSA 111014_CORP SG&amp;A" xfId="0"/>
    <cellStyle name="_DS_VSE WFP_100726-1_VSA 111014_LCD" xfId="0"/>
    <cellStyle name="_DS_VSE WFP_100726-1_VSA 111014_PJ" xfId="0"/>
    <cellStyle name="_DS_VSE WFP_100726-1_VSA Roll-Up (LW)" xfId="0"/>
    <cellStyle name="_DS_VSE WFP_100726-1_VSA Roll-Up (LW) 2" xfId="0"/>
    <cellStyle name="_DS_VSE WFP_100726-1_VSA Roll-Up (LW) 3" xfId="0"/>
    <cellStyle name="_DS_VSE WFP_100726-1_VSA Roll-Up (LW) 4" xfId="0"/>
    <cellStyle name="_DS_VSE WFP_100726-1_VSA Roll-Up (LW) 4 2" xfId="0"/>
    <cellStyle name="_DS_VSE WFP_100726-1_VSA Roll-Up (LW)_By Region" xfId="0"/>
    <cellStyle name="_DS_VSE WFP_100726-1_VSA Roll-Up (LW)_CORP SG&amp;A" xfId="0"/>
    <cellStyle name="_DS_VSE WFP_100726-1_VSA Roll-Up (LW)_LCD" xfId="0"/>
    <cellStyle name="_DS_VSE WFP_100726-1_VSA Roll-Up (LW)_PJ" xfId="0"/>
    <cellStyle name="_DS_VSE WFP_100726-2-yc" xfId="0"/>
    <cellStyle name="_DS_VSE WFP_100726-2-yc 2" xfId="0"/>
    <cellStyle name="_DS_VSE WFP_100726-2-yc 3" xfId="0"/>
    <cellStyle name="_DS_VSE WFP_100726-2-yc 4" xfId="0"/>
    <cellStyle name="_DS_VSE WFP_100726-2-yc_By Region" xfId="0"/>
    <cellStyle name="_DS_VSE WFP_100726-2-yc_CORP SG&amp;A" xfId="0"/>
    <cellStyle name="_DS_VSE WFP_100726-2-yc_Digitizer" xfId="0"/>
    <cellStyle name="_DS_VSE WFP_100726-2-yc_GPS OTHER" xfId="0"/>
    <cellStyle name="_DS_VSE WFP_100726-2-yc_GPS OTHER 2" xfId="0"/>
    <cellStyle name="_DS_VSE WFP_100726-2-yc_GPS OTHER 3" xfId="0"/>
    <cellStyle name="_DS_VSE WFP_100726-2-yc_GPS OTHER 4" xfId="0"/>
    <cellStyle name="_DS_VSE WFP_100726-2-yc_GPS OTHER 4 2" xfId="0"/>
    <cellStyle name="_DS_VSE WFP_100726-2-yc_GPS OTHER_By Region" xfId="0"/>
    <cellStyle name="_DS_VSE WFP_100726-2-yc_GPS OTHER_CORP SG&amp;A" xfId="0"/>
    <cellStyle name="_DS_VSE WFP_100726-2-yc_GPS OTHER_LCD" xfId="0"/>
    <cellStyle name="_DS_VSE WFP_100726-2-yc_GPS OTHER_PJ" xfId="0"/>
    <cellStyle name="_DS_VSE WFP_100726-2-yc_LCD" xfId="0"/>
    <cellStyle name="_DS_VSE WFP_100726-2-yc_LCD 2" xfId="0"/>
    <cellStyle name="_DS_VSE WFP_100726-2-yc_LCD 3" xfId="0"/>
    <cellStyle name="_DS_VSE WFP_100726-2-yc_LCD 4" xfId="0"/>
    <cellStyle name="_DS_VSE WFP_100726-2-yc_LCD_By Region" xfId="0"/>
    <cellStyle name="_DS_VSE WFP_100726-2-yc_LCD_CORP SG&amp;A" xfId="0"/>
    <cellStyle name="_DS_VSE WFP_100726-2-yc_LCD_LCD" xfId="0"/>
    <cellStyle name="_DS_VSE WFP_100726-2-yc_LCD_PJ" xfId="0"/>
    <cellStyle name="_DS_VSE WFP_100726-2-yc_lightling" xfId="0"/>
    <cellStyle name="_DS_VSE WFP_100726-2-yc_lightling 2" xfId="0"/>
    <cellStyle name="_DS_VSE WFP_100726-2-yc_lightling 3" xfId="0"/>
    <cellStyle name="_DS_VSE WFP_100726-2-yc_lightling_By Region" xfId="0"/>
    <cellStyle name="_DS_VSE WFP_100726-2-yc_PC Products" xfId="0"/>
    <cellStyle name="_DS_VSE WFP_100726-2-yc_PC Products 2" xfId="0"/>
    <cellStyle name="_DS_VSE WFP_100726-2-yc_PC Products 3" xfId="0"/>
    <cellStyle name="_DS_VSE WFP_100726-2-yc_PC Products 4" xfId="0"/>
    <cellStyle name="_DS_VSE WFP_100726-2-yc_PC Products 4 2" xfId="0"/>
    <cellStyle name="_DS_VSE WFP_100726-2-yc_PC Products_By Region" xfId="0"/>
    <cellStyle name="_DS_VSE WFP_100726-2-yc_PC Products_CORP SG&amp;A" xfId="0"/>
    <cellStyle name="_DS_VSE WFP_100726-2-yc_PC Products_LCD" xfId="0"/>
    <cellStyle name="_DS_VSE WFP_100726-2-yc_PC Products_PJ" xfId="0"/>
    <cellStyle name="_DS_VSE WFP_100726-2-yc_VSA 111014" xfId="0"/>
    <cellStyle name="_DS_VSE WFP_100726-2-yc_VSA 111014 2" xfId="0"/>
    <cellStyle name="_DS_VSE WFP_100726-2-yc_VSA 111014 3" xfId="0"/>
    <cellStyle name="_DS_VSE WFP_100726-2-yc_VSA 111014 4" xfId="0"/>
    <cellStyle name="_DS_VSE WFP_100726-2-yc_VSA 111014 4 2" xfId="0"/>
    <cellStyle name="_DS_VSE WFP_100726-2-yc_VSA 111014_By Region" xfId="0"/>
    <cellStyle name="_DS_VSE WFP_100726-2-yc_VSA 111014_CORP SG&amp;A" xfId="0"/>
    <cellStyle name="_DS_VSE WFP_100726-2-yc_VSA 111014_LCD" xfId="0"/>
    <cellStyle name="_DS_VSE WFP_100726-2-yc_VSA 111014_PJ" xfId="0"/>
    <cellStyle name="_DS_VSE WFP_100726-2-yc_VSA Roll-Up (LW)" xfId="0"/>
    <cellStyle name="_DS_VSE WFP_100726-2-yc_VSA Roll-Up (LW) 2" xfId="0"/>
    <cellStyle name="_DS_VSE WFP_100726-2-yc_VSA Roll-Up (LW) 3" xfId="0"/>
    <cellStyle name="_DS_VSE WFP_100726-2-yc_VSA Roll-Up (LW) 4" xfId="0"/>
    <cellStyle name="_DS_VSE WFP_100726-2-yc_VSA Roll-Up (LW) 4 2" xfId="0"/>
    <cellStyle name="_DS_VSE WFP_100726-2-yc_VSA Roll-Up (LW)_By Region" xfId="0"/>
    <cellStyle name="_DS_VSE WFP_100726-2-yc_VSA Roll-Up (LW)_CORP SG&amp;A" xfId="0"/>
    <cellStyle name="_DS_VSE WFP_100726-2-yc_VSA Roll-Up (LW)_LCD" xfId="0"/>
    <cellStyle name="_DS_VSE WFP_100726-2-yc_VSA Roll-Up (LW)_PJ" xfId="0"/>
    <cellStyle name="_DS_VSE WFP_100726_By Region" xfId="0"/>
    <cellStyle name="_DS_VSE WFP_100726_CORP SG&amp;A" xfId="0"/>
    <cellStyle name="_DS_VSE WFP_100726_Digitizer" xfId="0"/>
    <cellStyle name="_DS_VSE WFP_100726_GPS OTHER" xfId="0"/>
    <cellStyle name="_DS_VSE WFP_100726_GPS OTHER 2" xfId="0"/>
    <cellStyle name="_DS_VSE WFP_100726_GPS OTHER 3" xfId="0"/>
    <cellStyle name="_DS_VSE WFP_100726_GPS OTHER 4" xfId="0"/>
    <cellStyle name="_DS_VSE WFP_100726_GPS OTHER 4 2" xfId="0"/>
    <cellStyle name="_DS_VSE WFP_100726_GPS OTHER_By Region" xfId="0"/>
    <cellStyle name="_DS_VSE WFP_100726_GPS OTHER_CORP SG&amp;A" xfId="0"/>
    <cellStyle name="_DS_VSE WFP_100726_GPS OTHER_LCD" xfId="0"/>
    <cellStyle name="_DS_VSE WFP_100726_GPS OTHER_PJ" xfId="0"/>
    <cellStyle name="_DS_VSE WFP_100726_LCD" xfId="0"/>
    <cellStyle name="_DS_VSE WFP_100726_LCD 2" xfId="0"/>
    <cellStyle name="_DS_VSE WFP_100726_LCD 3" xfId="0"/>
    <cellStyle name="_DS_VSE WFP_100726_LCD 4" xfId="0"/>
    <cellStyle name="_DS_VSE WFP_100726_LCD_By Region" xfId="0"/>
    <cellStyle name="_DS_VSE WFP_100726_LCD_CORP SG&amp;A" xfId="0"/>
    <cellStyle name="_DS_VSE WFP_100726_LCD_LCD" xfId="0"/>
    <cellStyle name="_DS_VSE WFP_100726_LCD_PJ" xfId="0"/>
    <cellStyle name="_DS_VSE WFP_100726_lightling" xfId="0"/>
    <cellStyle name="_DS_VSE WFP_100726_lightling 2" xfId="0"/>
    <cellStyle name="_DS_VSE WFP_100726_lightling 3" xfId="0"/>
    <cellStyle name="_DS_VSE WFP_100726_lightling_By Region" xfId="0"/>
    <cellStyle name="_DS_VSE WFP_100726_PC Products" xfId="0"/>
    <cellStyle name="_DS_VSE WFP_100726_PC Products 2" xfId="0"/>
    <cellStyle name="_DS_VSE WFP_100726_PC Products 3" xfId="0"/>
    <cellStyle name="_DS_VSE WFP_100726_PC Products 4" xfId="0"/>
    <cellStyle name="_DS_VSE WFP_100726_PC Products 4 2" xfId="0"/>
    <cellStyle name="_DS_VSE WFP_100726_PC Products_By Region" xfId="0"/>
    <cellStyle name="_DS_VSE WFP_100726_PC Products_CORP SG&amp;A" xfId="0"/>
    <cellStyle name="_DS_VSE WFP_100726_PC Products_LCD" xfId="0"/>
    <cellStyle name="_DS_VSE WFP_100726_PC Products_PJ" xfId="0"/>
    <cellStyle name="_DS_VSE WFP_100726_VSA 111014" xfId="0"/>
    <cellStyle name="_DS_VSE WFP_100726_VSA 111014 2" xfId="0"/>
    <cellStyle name="_DS_VSE WFP_100726_VSA 111014 3" xfId="0"/>
    <cellStyle name="_DS_VSE WFP_100726_VSA 111014 4" xfId="0"/>
    <cellStyle name="_DS_VSE WFP_100726_VSA 111014 4 2" xfId="0"/>
    <cellStyle name="_DS_VSE WFP_100726_VSA 111014_By Region" xfId="0"/>
    <cellStyle name="_DS_VSE WFP_100726_VSA 111014_CORP SG&amp;A" xfId="0"/>
    <cellStyle name="_DS_VSE WFP_100726_VSA 111014_LCD" xfId="0"/>
    <cellStyle name="_DS_VSE WFP_100726_VSA 111014_PJ" xfId="0"/>
    <cellStyle name="_DS_VSE WFP_100726_VSA Roll-Up (LW)" xfId="0"/>
    <cellStyle name="_DS_VSE WFP_100726_VSA Roll-Up (LW) 2" xfId="0"/>
    <cellStyle name="_DS_VSE WFP_100726_VSA Roll-Up (LW) 3" xfId="0"/>
    <cellStyle name="_DS_VSE WFP_100726_VSA Roll-Up (LW) 4" xfId="0"/>
    <cellStyle name="_DS_VSE WFP_100726_VSA Roll-Up (LW) 4 2" xfId="0"/>
    <cellStyle name="_DS_VSE WFP_100726_VSA Roll-Up (LW)_By Region" xfId="0"/>
    <cellStyle name="_DS_VSE WFP_100726_VSA Roll-Up (LW)_CORP SG&amp;A" xfId="0"/>
    <cellStyle name="_DS_VSE WFP_100726_VSA Roll-Up (LW)_LCD" xfId="0"/>
    <cellStyle name="_DS_VSE WFP_100726_VSA Roll-Up (LW)_PJ" xfId="0"/>
    <cellStyle name="_DS_VSE WFP_100827-1" xfId="0"/>
    <cellStyle name="_DS_VSE WFP_100827-1 2" xfId="0"/>
    <cellStyle name="_DS_VSE WFP_100827-1 3" xfId="0"/>
    <cellStyle name="_DS_VSE WFP_100827-1 4" xfId="0"/>
    <cellStyle name="_DS_VSE WFP_100827-1_By Region" xfId="0"/>
    <cellStyle name="_DS_VSE WFP_100827-1_CORP SG&amp;A" xfId="0"/>
    <cellStyle name="_DS_VSE WFP_100827-1_Digitizer" xfId="0"/>
    <cellStyle name="_DS_VSE WFP_100827-1_GPS OTHER" xfId="0"/>
    <cellStyle name="_DS_VSE WFP_100827-1_GPS OTHER 2" xfId="0"/>
    <cellStyle name="_DS_VSE WFP_100827-1_GPS OTHER 3" xfId="0"/>
    <cellStyle name="_DS_VSE WFP_100827-1_GPS OTHER 4" xfId="0"/>
    <cellStyle name="_DS_VSE WFP_100827-1_GPS OTHER 4 2" xfId="0"/>
    <cellStyle name="_DS_VSE WFP_100827-1_GPS OTHER_By Region" xfId="0"/>
    <cellStyle name="_DS_VSE WFP_100827-1_GPS OTHER_CORP SG&amp;A" xfId="0"/>
    <cellStyle name="_DS_VSE WFP_100827-1_GPS OTHER_LCD" xfId="0"/>
    <cellStyle name="_DS_VSE WFP_100827-1_GPS OTHER_PJ" xfId="0"/>
    <cellStyle name="_DS_VSE WFP_100827-1_LCD" xfId="0"/>
    <cellStyle name="_DS_VSE WFP_100827-1_LCD 2" xfId="0"/>
    <cellStyle name="_DS_VSE WFP_100827-1_LCD 3" xfId="0"/>
    <cellStyle name="_DS_VSE WFP_100827-1_LCD 4" xfId="0"/>
    <cellStyle name="_DS_VSE WFP_100827-1_LCD_By Region" xfId="0"/>
    <cellStyle name="_DS_VSE WFP_100827-1_LCD_CORP SG&amp;A" xfId="0"/>
    <cellStyle name="_DS_VSE WFP_100827-1_LCD_LCD" xfId="0"/>
    <cellStyle name="_DS_VSE WFP_100827-1_LCD_PJ" xfId="0"/>
    <cellStyle name="_DS_VSE WFP_100827-1_lightling" xfId="0"/>
    <cellStyle name="_DS_VSE WFP_100827-1_lightling 2" xfId="0"/>
    <cellStyle name="_DS_VSE WFP_100827-1_lightling 3" xfId="0"/>
    <cellStyle name="_DS_VSE WFP_100827-1_lightling_By Region" xfId="0"/>
    <cellStyle name="_DS_VSE WFP_100827-1_PC Products" xfId="0"/>
    <cellStyle name="_DS_VSE WFP_100827-1_PC Products 2" xfId="0"/>
    <cellStyle name="_DS_VSE WFP_100827-1_PC Products 3" xfId="0"/>
    <cellStyle name="_DS_VSE WFP_100827-1_PC Products 4" xfId="0"/>
    <cellStyle name="_DS_VSE WFP_100827-1_PC Products 4 2" xfId="0"/>
    <cellStyle name="_DS_VSE WFP_100827-1_PC Products_By Region" xfId="0"/>
    <cellStyle name="_DS_VSE WFP_100827-1_PC Products_CORP SG&amp;A" xfId="0"/>
    <cellStyle name="_DS_VSE WFP_100827-1_PC Products_LCD" xfId="0"/>
    <cellStyle name="_DS_VSE WFP_100827-1_PC Products_PJ" xfId="0"/>
    <cellStyle name="_DS_VSE WFP_100827-1_VSA 111014" xfId="0"/>
    <cellStyle name="_DS_VSE WFP_100827-1_VSA 111014 2" xfId="0"/>
    <cellStyle name="_DS_VSE WFP_100827-1_VSA 111014 3" xfId="0"/>
    <cellStyle name="_DS_VSE WFP_100827-1_VSA 111014 4" xfId="0"/>
    <cellStyle name="_DS_VSE WFP_100827-1_VSA 111014 4 2" xfId="0"/>
    <cellStyle name="_DS_VSE WFP_100827-1_VSA 111014_By Region" xfId="0"/>
    <cellStyle name="_DS_VSE WFP_100827-1_VSA 111014_CORP SG&amp;A" xfId="0"/>
    <cellStyle name="_DS_VSE WFP_100827-1_VSA 111014_LCD" xfId="0"/>
    <cellStyle name="_DS_VSE WFP_100827-1_VSA 111014_PJ" xfId="0"/>
    <cellStyle name="_DS_VSE WFP_100827-1_VSA Roll-Up (LW)" xfId="0"/>
    <cellStyle name="_DS_VSE WFP_100827-1_VSA Roll-Up (LW) 2" xfId="0"/>
    <cellStyle name="_DS_VSE WFP_100827-1_VSA Roll-Up (LW) 3" xfId="0"/>
    <cellStyle name="_DS_VSE WFP_100827-1_VSA Roll-Up (LW) 4" xfId="0"/>
    <cellStyle name="_DS_VSE WFP_100827-1_VSA Roll-Up (LW) 4 2" xfId="0"/>
    <cellStyle name="_DS_VSE WFP_100827-1_VSA Roll-Up (LW)_By Region" xfId="0"/>
    <cellStyle name="_DS_VSE WFP_100827-1_VSA Roll-Up (LW)_CORP SG&amp;A" xfId="0"/>
    <cellStyle name="_DS_VSE WFP_100827-1_VSA Roll-Up (LW)_LCD" xfId="0"/>
    <cellStyle name="_DS_VSE WFP_100827-1_VSA Roll-Up (LW)_PJ" xfId="0"/>
    <cellStyle name="_DS_VSE WFP_101001" xfId="0"/>
    <cellStyle name="_DS_VSE WFP_101001 2" xfId="0"/>
    <cellStyle name="_DS_VSE WFP_101001 3" xfId="0"/>
    <cellStyle name="_DS_VSE WFP_101001 4" xfId="0"/>
    <cellStyle name="_DS_VSE WFP_101001_By Region" xfId="0"/>
    <cellStyle name="_DS_VSE WFP_101001_CORP SG&amp;A" xfId="0"/>
    <cellStyle name="_DS_VSE WFP_101001_Digitizer" xfId="0"/>
    <cellStyle name="_DS_VSE WFP_101001_GPS OTHER" xfId="0"/>
    <cellStyle name="_DS_VSE WFP_101001_GPS OTHER 2" xfId="0"/>
    <cellStyle name="_DS_VSE WFP_101001_GPS OTHER 3" xfId="0"/>
    <cellStyle name="_DS_VSE WFP_101001_GPS OTHER 4" xfId="0"/>
    <cellStyle name="_DS_VSE WFP_101001_GPS OTHER 4 2" xfId="0"/>
    <cellStyle name="_DS_VSE WFP_101001_GPS OTHER_By Region" xfId="0"/>
    <cellStyle name="_DS_VSE WFP_101001_GPS OTHER_CORP SG&amp;A" xfId="0"/>
    <cellStyle name="_DS_VSE WFP_101001_GPS OTHER_LCD" xfId="0"/>
    <cellStyle name="_DS_VSE WFP_101001_GPS OTHER_PJ" xfId="0"/>
    <cellStyle name="_DS_VSE WFP_101001_LCD" xfId="0"/>
    <cellStyle name="_DS_VSE WFP_101001_LCD 2" xfId="0"/>
    <cellStyle name="_DS_VSE WFP_101001_LCD 3" xfId="0"/>
    <cellStyle name="_DS_VSE WFP_101001_LCD 4" xfId="0"/>
    <cellStyle name="_DS_VSE WFP_101001_LCD_By Region" xfId="0"/>
    <cellStyle name="_DS_VSE WFP_101001_LCD_CORP SG&amp;A" xfId="0"/>
    <cellStyle name="_DS_VSE WFP_101001_LCD_LCD" xfId="0"/>
    <cellStyle name="_DS_VSE WFP_101001_LCD_PJ" xfId="0"/>
    <cellStyle name="_DS_VSE WFP_101001_lightling" xfId="0"/>
    <cellStyle name="_DS_VSE WFP_101001_lightling 2" xfId="0"/>
    <cellStyle name="_DS_VSE WFP_101001_lightling 3" xfId="0"/>
    <cellStyle name="_DS_VSE WFP_101001_lightling_By Region" xfId="0"/>
    <cellStyle name="_DS_VSE WFP_101001_PC Products" xfId="0"/>
    <cellStyle name="_DS_VSE WFP_101001_PC Products 2" xfId="0"/>
    <cellStyle name="_DS_VSE WFP_101001_PC Products 3" xfId="0"/>
    <cellStyle name="_DS_VSE WFP_101001_PC Products 4" xfId="0"/>
    <cellStyle name="_DS_VSE WFP_101001_PC Products 4 2" xfId="0"/>
    <cellStyle name="_DS_VSE WFP_101001_PC Products_By Region" xfId="0"/>
    <cellStyle name="_DS_VSE WFP_101001_PC Products_CORP SG&amp;A" xfId="0"/>
    <cellStyle name="_DS_VSE WFP_101001_PC Products_LCD" xfId="0"/>
    <cellStyle name="_DS_VSE WFP_101001_PC Products_PJ" xfId="0"/>
    <cellStyle name="_DS_VSE WFP_101001_VSA 111014" xfId="0"/>
    <cellStyle name="_DS_VSE WFP_101001_VSA 111014 2" xfId="0"/>
    <cellStyle name="_DS_VSE WFP_101001_VSA 111014 3" xfId="0"/>
    <cellStyle name="_DS_VSE WFP_101001_VSA 111014 4" xfId="0"/>
    <cellStyle name="_DS_VSE WFP_101001_VSA 111014 4 2" xfId="0"/>
    <cellStyle name="_DS_VSE WFP_101001_VSA 111014_By Region" xfId="0"/>
    <cellStyle name="_DS_VSE WFP_101001_VSA 111014_CORP SG&amp;A" xfId="0"/>
    <cellStyle name="_DS_VSE WFP_101001_VSA 111014_LCD" xfId="0"/>
    <cellStyle name="_DS_VSE WFP_101001_VSA 111014_PJ" xfId="0"/>
    <cellStyle name="_DS_VSE WFP_101001_VSA Roll-Up (LW)" xfId="0"/>
    <cellStyle name="_DS_VSE WFP_101001_VSA Roll-Up (LW) 2" xfId="0"/>
    <cellStyle name="_DS_VSE WFP_101001_VSA Roll-Up (LW) 3" xfId="0"/>
    <cellStyle name="_DS_VSE WFP_101001_VSA Roll-Up (LW) 4" xfId="0"/>
    <cellStyle name="_DS_VSE WFP_101001_VSA Roll-Up (LW) 4 2" xfId="0"/>
    <cellStyle name="_DS_VSE WFP_101001_VSA Roll-Up (LW)_By Region" xfId="0"/>
    <cellStyle name="_DS_VSE WFP_101001_VSA Roll-Up (LW)_CORP SG&amp;A" xfId="0"/>
    <cellStyle name="_DS_VSE WFP_101001_VSA Roll-Up (LW)_LCD" xfId="0"/>
    <cellStyle name="_DS_VSE WFP_101001_VSA Roll-Up (LW)_PJ" xfId="0"/>
    <cellStyle name="_DS_VSE WFP_101029-with more ViewPad 7" xfId="0"/>
    <cellStyle name="_DS_VSE WFP_101029-with more ViewPad 7 2" xfId="0"/>
    <cellStyle name="_DS_VSE WFP_101029-with more ViewPad 7 3" xfId="0"/>
    <cellStyle name="_DS_VSE WFP_101029-with more ViewPad 7 4" xfId="0"/>
    <cellStyle name="_DS_VSE WFP_101029-with more ViewPad 7_By Region" xfId="0"/>
    <cellStyle name="_DS_VSE WFP_101029-with more ViewPad 7_CORP SG&amp;A" xfId="0"/>
    <cellStyle name="_DS_VSE WFP_101029-with more ViewPad 7_Digitizer" xfId="0"/>
    <cellStyle name="_DS_VSE WFP_101029-with more ViewPad 7_GPS OTHER" xfId="0"/>
    <cellStyle name="_DS_VSE WFP_101029-with more ViewPad 7_GPS OTHER 2" xfId="0"/>
    <cellStyle name="_DS_VSE WFP_101029-with more ViewPad 7_GPS OTHER 3" xfId="0"/>
    <cellStyle name="_DS_VSE WFP_101029-with more ViewPad 7_GPS OTHER 4" xfId="0"/>
    <cellStyle name="_DS_VSE WFP_101029-with more ViewPad 7_GPS OTHER 4 2" xfId="0"/>
    <cellStyle name="_DS_VSE WFP_101029-with more ViewPad 7_GPS OTHER_By Region" xfId="0"/>
    <cellStyle name="_DS_VSE WFP_101029-with more ViewPad 7_GPS OTHER_CORP SG&amp;A" xfId="0"/>
    <cellStyle name="_DS_VSE WFP_101029-with more ViewPad 7_GPS OTHER_LCD" xfId="0"/>
    <cellStyle name="_DS_VSE WFP_101029-with more ViewPad 7_GPS OTHER_PJ" xfId="0"/>
    <cellStyle name="_DS_VSE WFP_101029-with more ViewPad 7_LCD" xfId="0"/>
    <cellStyle name="_DS_VSE WFP_101029-with more ViewPad 7_LCD 2" xfId="0"/>
    <cellStyle name="_DS_VSE WFP_101029-with more ViewPad 7_LCD 3" xfId="0"/>
    <cellStyle name="_DS_VSE WFP_101029-with more ViewPad 7_LCD 4" xfId="0"/>
    <cellStyle name="_DS_VSE WFP_101029-with more ViewPad 7_LCD_By Region" xfId="0"/>
    <cellStyle name="_DS_VSE WFP_101029-with more ViewPad 7_LCD_CORP SG&amp;A" xfId="0"/>
    <cellStyle name="_DS_VSE WFP_101029-with more ViewPad 7_LCD_LCD" xfId="0"/>
    <cellStyle name="_DS_VSE WFP_101029-with more ViewPad 7_LCD_PJ" xfId="0"/>
    <cellStyle name="_DS_VSE WFP_101029-with more ViewPad 7_lightling" xfId="0"/>
    <cellStyle name="_DS_VSE WFP_101029-with more ViewPad 7_lightling 2" xfId="0"/>
    <cellStyle name="_DS_VSE WFP_101029-with more ViewPad 7_lightling 3" xfId="0"/>
    <cellStyle name="_DS_VSE WFP_101029-with more ViewPad 7_lightling_By Region" xfId="0"/>
    <cellStyle name="_DS_VSE WFP_101029-with more ViewPad 7_PC Products" xfId="0"/>
    <cellStyle name="_DS_VSE WFP_101029-with more ViewPad 7_PC Products 2" xfId="0"/>
    <cellStyle name="_DS_VSE WFP_101029-with more ViewPad 7_PC Products 3" xfId="0"/>
    <cellStyle name="_DS_VSE WFP_101029-with more ViewPad 7_PC Products 4" xfId="0"/>
    <cellStyle name="_DS_VSE WFP_101029-with more ViewPad 7_PC Products 4 2" xfId="0"/>
    <cellStyle name="_DS_VSE WFP_101029-with more ViewPad 7_PC Products_By Region" xfId="0"/>
    <cellStyle name="_DS_VSE WFP_101029-with more ViewPad 7_PC Products_CORP SG&amp;A" xfId="0"/>
    <cellStyle name="_DS_VSE WFP_101029-with more ViewPad 7_PC Products_LCD" xfId="0"/>
    <cellStyle name="_DS_VSE WFP_101029-with more ViewPad 7_PC Products_PJ" xfId="0"/>
    <cellStyle name="_DS_VSE WFP_101029-with more ViewPad 7_VSA 111014" xfId="0"/>
    <cellStyle name="_DS_VSE WFP_101029-with more ViewPad 7_VSA 111014 2" xfId="0"/>
    <cellStyle name="_DS_VSE WFP_101029-with more ViewPad 7_VSA 111014 3" xfId="0"/>
    <cellStyle name="_DS_VSE WFP_101029-with more ViewPad 7_VSA 111014 4" xfId="0"/>
    <cellStyle name="_DS_VSE WFP_101029-with more ViewPad 7_VSA 111014 4 2" xfId="0"/>
    <cellStyle name="_DS_VSE WFP_101029-with more ViewPad 7_VSA 111014_By Region" xfId="0"/>
    <cellStyle name="_DS_VSE WFP_101029-with more ViewPad 7_VSA 111014_CORP SG&amp;A" xfId="0"/>
    <cellStyle name="_DS_VSE WFP_101029-with more ViewPad 7_VSA 111014_LCD" xfId="0"/>
    <cellStyle name="_DS_VSE WFP_101029-with more ViewPad 7_VSA 111014_PJ" xfId="0"/>
    <cellStyle name="_DS_VSE WFP_101029-with more ViewPad 7_VSA Roll-Up (LW)" xfId="0"/>
    <cellStyle name="_DS_VSE WFP_101029-with more ViewPad 7_VSA Roll-Up (LW) 2" xfId="0"/>
    <cellStyle name="_DS_VSE WFP_101029-with more ViewPad 7_VSA Roll-Up (LW) 3" xfId="0"/>
    <cellStyle name="_DS_VSE WFP_101029-with more ViewPad 7_VSA Roll-Up (LW) 4" xfId="0"/>
    <cellStyle name="_DS_VSE WFP_101029-with more ViewPad 7_VSA Roll-Up (LW) 4 2" xfId="0"/>
    <cellStyle name="_DS_VSE WFP_101029-with more ViewPad 7_VSA Roll-Up (LW)_By Region" xfId="0"/>
    <cellStyle name="_DS_VSE WFP_101029-with more ViewPad 7_VSA Roll-Up (LW)_CORP SG&amp;A" xfId="0"/>
    <cellStyle name="_DS_VSE WFP_101029-with more ViewPad 7_VSA Roll-Up (LW)_LCD" xfId="0"/>
    <cellStyle name="_DS_VSE WFP_101029-with more ViewPad 7_VSA Roll-Up (LW)_PJ" xfId="0"/>
    <cellStyle name="_DSBvsWFP" xfId="0"/>
    <cellStyle name="_DSBvsWFP 2" xfId="0"/>
    <cellStyle name="_EUR" xfId="0"/>
    <cellStyle name="_EUR 2" xfId="0"/>
    <cellStyle name="_Euro BPA " xfId="0"/>
    <cellStyle name="_Euro BPA  2" xfId="0"/>
    <cellStyle name="_Euro BPA  2 10" xfId="0"/>
    <cellStyle name="_Euro BPA  2 10 2" xfId="0"/>
    <cellStyle name="_Euro BPA  2 11" xfId="0"/>
    <cellStyle name="_Euro BPA  2 11 2" xfId="0"/>
    <cellStyle name="_Euro BPA  2 12" xfId="0"/>
    <cellStyle name="_Euro BPA  2 12 2" xfId="0"/>
    <cellStyle name="_Euro BPA  2 2" xfId="0"/>
    <cellStyle name="_Euro BPA  2_cash balance" xfId="0"/>
    <cellStyle name="_Euro BPA  2_cash balance 2" xfId="0"/>
    <cellStyle name="_Euro BPA  3" xfId="0"/>
    <cellStyle name="_Euro BPA  3 2" xfId="0"/>
    <cellStyle name="_Euro BPA  3_cash balance" xfId="0"/>
    <cellStyle name="_Euro BPA  3_cash balance 2" xfId="0"/>
    <cellStyle name="_Euro BPA  4" xfId="0"/>
    <cellStyle name="_Euro BPA  4 2" xfId="0"/>
    <cellStyle name="_Euro BPA  4_cash balance" xfId="0"/>
    <cellStyle name="_Euro BPA  4_cash balance 2" xfId="0"/>
    <cellStyle name="_Euro BPA  5" xfId="0"/>
    <cellStyle name="_Euro BPA  5 2" xfId="0"/>
    <cellStyle name="_Euro BPA  6" xfId="0"/>
    <cellStyle name="_Evercest" xfId="0"/>
    <cellStyle name="_Evercest 2" xfId="0"/>
    <cellStyle name="_FA ledger APR-09-standard" xfId="0"/>
    <cellStyle name="_FA ledger APR-09-standard 2" xfId="0"/>
    <cellStyle name="_FA ledger APR-09-standard_2011 FA (TWD) vsi" xfId="0"/>
    <cellStyle name="_FA ledger APR-09-standard_2011 FA (TWD) vsi 2" xfId="0"/>
    <cellStyle name="_FA ledger APR-09-standard_2011 FA (USD) vsi " xfId="0"/>
    <cellStyle name="_FA ledger APR-09-standard_2011 FA (USD) vsi  2" xfId="0"/>
    <cellStyle name="_FA ledger APR-09-standard_2012 FA (TWD) vsi" xfId="0"/>
    <cellStyle name="_FA ledger APR-09-standard_2012 FA (TWD) vsi 2" xfId="0"/>
    <cellStyle name="_FA ledger APR-09-standard_2012 FA (USD) vsi " xfId="0"/>
    <cellStyle name="_FA ledger APR-09-standard_2012 FA (USD) vsi  2" xfId="0"/>
    <cellStyle name="_FA ledger APR-09-standard_RETIREMEN vsi" xfId="0"/>
    <cellStyle name="_FA ledger APR-09-standard_RETIREMEN vsi 2" xfId="0"/>
    <cellStyle name="_FA ledger APR-09-standard_TB-TWD" xfId="0"/>
    <cellStyle name="_FA ledger APR-09-standard_TB-TWD 2" xfId="0"/>
    <cellStyle name="_FA ledger APR-09-standard_VSI FA Rollforward 1003" xfId="0"/>
    <cellStyle name="_FA ledger APR-09-standard_VSI FA Rollforward 1003 2" xfId="0"/>
    <cellStyle name="_FA ledger APR-09-standard_VSI FA Rollforward 1003_RETIREMEN vsi" xfId="0"/>
    <cellStyle name="_FA ledger APR-09-standard_VSI FA Rollforward 1003_RETIREMEN vsi 2" xfId="0"/>
    <cellStyle name="_FA ledger MAR-09 " xfId="0"/>
    <cellStyle name="_FA ledger MAR-09  2" xfId="0"/>
    <cellStyle name="_FA ledger MAR-09 _2011 FA (TWD) vsi" xfId="0"/>
    <cellStyle name="_FA ledger MAR-09 _2011 FA (TWD) vsi 2" xfId="0"/>
    <cellStyle name="_FA ledger MAR-09 _2011 FA (USD) vsi " xfId="0"/>
    <cellStyle name="_FA ledger MAR-09 _2011 FA (USD) vsi  2" xfId="0"/>
    <cellStyle name="_FA ledger MAR-09 _2012 FA (TWD) vsi" xfId="0"/>
    <cellStyle name="_FA ledger MAR-09 _2012 FA (TWD) vsi 2" xfId="0"/>
    <cellStyle name="_FA ledger MAR-09 _2012 FA (USD) vsi " xfId="0"/>
    <cellStyle name="_FA ledger MAR-09 _2012 FA (USD) vsi  2" xfId="0"/>
    <cellStyle name="_FA ledger MAR-09 _RETIREMEN vsi" xfId="0"/>
    <cellStyle name="_FA ledger MAR-09 _RETIREMEN vsi 2" xfId="0"/>
    <cellStyle name="_FA ledger MAR-09 _TB-TWD" xfId="0"/>
    <cellStyle name="_FA ledger MAR-09 _TB-TWD 2" xfId="0"/>
    <cellStyle name="_FA ledger MAR-09 _VSI FA Rollforward 1003" xfId="0"/>
    <cellStyle name="_FA ledger MAR-09 _VSI FA Rollforward 1003 2" xfId="0"/>
    <cellStyle name="_FA ledger MAR-09 _VSI FA Rollforward 1003_RETIREMEN vsi" xfId="0"/>
    <cellStyle name="_FA ledger MAR-09 _VSI FA Rollforward 1003_RETIREMEN vsi 2" xfId="0"/>
    <cellStyle name="_ForecastPrdtVendor-042409xls (2)" xfId="0"/>
    <cellStyle name="_ForecastPrdtVendor-042409xls (2) 2" xfId="0"/>
    <cellStyle name="_ForecastPrdtVendor-042409xls (2)_VSA Cash Forecast 04-4-10" xfId="0"/>
    <cellStyle name="_ForecastPrdtVendor-042409xls (2)_VSA Cash Forecast 04-4-10 2" xfId="0"/>
    <cellStyle name="_GBP" xfId="0"/>
    <cellStyle name="_GBP 2" xfId="0"/>
    <cellStyle name="_GBP No.2" xfId="0"/>
    <cellStyle name="_GBP No.2 2" xfId="0"/>
    <cellStyle name="_GBP No.2 2 2" xfId="0"/>
    <cellStyle name="_GBP No.2 2_cash balance" xfId="0"/>
    <cellStyle name="_GBP No.2 2_cash balance 2" xfId="0"/>
    <cellStyle name="_GBP No.2 3" xfId="0"/>
    <cellStyle name="_GBP No.2 3 2" xfId="0"/>
    <cellStyle name="_GBP No.2 3_cash balance" xfId="0"/>
    <cellStyle name="_GBP No.2 3_cash balance 2" xfId="0"/>
    <cellStyle name="_GBP No.2 4" xfId="0"/>
    <cellStyle name="_GBP No.2 4 2" xfId="0"/>
    <cellStyle name="_GBP No.2 4_cash balance" xfId="0"/>
    <cellStyle name="_GBP No.2 4_cash balance 2" xfId="0"/>
    <cellStyle name="_GBP No.2 5" xfId="0"/>
    <cellStyle name="_GBP No.2 5 2" xfId="0"/>
    <cellStyle name="_GBP No.2 6" xfId="0"/>
    <cellStyle name="_HannStar" xfId="0"/>
    <cellStyle name="_HannStar 2" xfId="0"/>
    <cellStyle name="_HannStar Display Corporation" xfId="0"/>
    <cellStyle name="_HannStar Display Corporation 2" xfId="0"/>
    <cellStyle name="_Highgrade Tech" xfId="0"/>
    <cellStyle name="_Highgrade Tech 2" xfId="0"/>
    <cellStyle name="_Hitach" xfId="0"/>
    <cellStyle name="_Hitach 2" xfId="0"/>
    <cellStyle name="_Hitachi" xfId="0"/>
    <cellStyle name="_Hitachi 2" xfId="0"/>
    <cellStyle name="_Hon Hai" xfId="0"/>
    <cellStyle name="_Hon Hai 2" xfId="0"/>
    <cellStyle name="_Honhai" xfId="0"/>
    <cellStyle name="_Honhai 2" xfId="0"/>
    <cellStyle name="_Innolux" xfId="0"/>
    <cellStyle name="_Innolux 2" xfId="0"/>
    <cellStyle name="_Innolux Display Corporation" xfId="0"/>
    <cellStyle name="_Innolux Display Corporation 2" xfId="0"/>
    <cellStyle name="_Innolux_1" xfId="0"/>
    <cellStyle name="_Innolux_1 2" xfId="0"/>
    <cellStyle name="_INVENTORY CASH FLOW_100226" xfId="0"/>
    <cellStyle name="_INVENTORY CASH FLOW_100226 2" xfId="0"/>
    <cellStyle name="_INVENTORY CASH FLOW_100312" xfId="0"/>
    <cellStyle name="_INVENTORY CASH FLOW_100312 2" xfId="0"/>
    <cellStyle name="_INVENTORY CASH FLOW_100319" xfId="0"/>
    <cellStyle name="_INVENTORY CASH FLOW_100319 2" xfId="0"/>
    <cellStyle name="_INVENTORY CASH FLOW_100806" xfId="0"/>
    <cellStyle name="_INVENTORY CASH FLOW_100806 2" xfId="0"/>
    <cellStyle name="_INVENTORY CASH FLOW_1010029" xfId="0"/>
    <cellStyle name="_INVENTORY CASH FLOW_1010029 2" xfId="0"/>
    <cellStyle name="_Inventory Cashflow" xfId="0"/>
    <cellStyle name="_Inventory Cashflow 2" xfId="0"/>
    <cellStyle name="_Invoice" xfId="0"/>
    <cellStyle name="_Invoice 2" xfId="0"/>
    <cellStyle name="_J &amp; W Technology Ltd" xfId="0"/>
    <cellStyle name="_J &amp; W Technology Ltd 2" xfId="0"/>
    <cellStyle name="_Jan 08 Margin" xfId="0"/>
    <cellStyle name="_Jan 08 Margin 2" xfId="0"/>
    <cellStyle name="_Jean" xfId="0"/>
    <cellStyle name="_Jean 2" xfId="0"/>
    <cellStyle name="_Jun 08 Margin" xfId="0"/>
    <cellStyle name="_Jun 08 Margin 2" xfId="0"/>
    <cellStyle name="_Jun 08 Margin-1" xfId="0"/>
    <cellStyle name="_Jun 08 Margin-1 2" xfId="0"/>
    <cellStyle name="_Jun-09" xfId="0"/>
    <cellStyle name="_Jun-09 2" xfId="0"/>
    <cellStyle name="_Keen High Technologies Ltd" xfId="0"/>
    <cellStyle name="_Keen High Technologies Ltd 2" xfId="0"/>
    <cellStyle name="_Keen High Technologies Ltd 2 2" xfId="0"/>
    <cellStyle name="_Keen High Technologies Ltd 3" xfId="0"/>
    <cellStyle name="_Keen High Technologies Ltd 3 2" xfId="0"/>
    <cellStyle name="_Keen High Technologies Ltd 4" xfId="0"/>
    <cellStyle name="_LC 12-13-2010" xfId="0"/>
    <cellStyle name="_LC 12-13-2010 2" xfId="0"/>
    <cellStyle name="_LCD" xfId="0"/>
    <cellStyle name="_LCD 2" xfId="0"/>
    <cellStyle name="_LCD 3" xfId="0"/>
    <cellStyle name="_LCD 4" xfId="0"/>
    <cellStyle name="_LCD 5" xfId="0"/>
    <cellStyle name="_LCD DCR" xfId="0"/>
    <cellStyle name="_LCD DCR 2" xfId="0"/>
    <cellStyle name="_LCD DCR_VSE DCR Planning Model and Trend Charts 20100118" xfId="0"/>
    <cellStyle name="_LCD DCR_VSE DCR Planning Model and Trend Charts 20100118 2" xfId="0"/>
    <cellStyle name="_LCD DCR_VSE DCR Planning Model and Trend Charts 20100315" xfId="0"/>
    <cellStyle name="_LCD DCR_VSE DCR Planning Model and Trend Charts 20100315 2" xfId="0"/>
    <cellStyle name="_LCD_By Region" xfId="0"/>
    <cellStyle name="_LCD_CIS" xfId="0"/>
    <cellStyle name="_LCD_CIS 2" xfId="0"/>
    <cellStyle name="_LCD_CIS 3" xfId="0"/>
    <cellStyle name="_LCD_CIS 4" xfId="0"/>
    <cellStyle name="_LCD_CIS_By Region" xfId="0"/>
    <cellStyle name="_LCD_CIS_CORP SG&amp;A" xfId="0"/>
    <cellStyle name="_LCD_CIS_Digitizer" xfId="0"/>
    <cellStyle name="_LCD_CIS_GPS OTHER" xfId="0"/>
    <cellStyle name="_LCD_CIS_GPS OTHER 2" xfId="0"/>
    <cellStyle name="_LCD_CIS_GPS OTHER 3" xfId="0"/>
    <cellStyle name="_LCD_CIS_GPS OTHER 4" xfId="0"/>
    <cellStyle name="_LCD_CIS_GPS OTHER 4 2" xfId="0"/>
    <cellStyle name="_LCD_CIS_GPS OTHER_By Region" xfId="0"/>
    <cellStyle name="_LCD_CIS_GPS OTHER_CORP SG&amp;A" xfId="0"/>
    <cellStyle name="_LCD_CIS_GPS OTHER_LCD" xfId="0"/>
    <cellStyle name="_LCD_CIS_GPS OTHER_PJ" xfId="0"/>
    <cellStyle name="_LCD_CIS_LCD" xfId="0"/>
    <cellStyle name="_LCD_CIS_LCD 2" xfId="0"/>
    <cellStyle name="_LCD_CIS_LCD 3" xfId="0"/>
    <cellStyle name="_LCD_CIS_LCD 4" xfId="0"/>
    <cellStyle name="_LCD_CIS_LCD_By Region" xfId="0"/>
    <cellStyle name="_LCD_CIS_LCD_CORP SG&amp;A" xfId="0"/>
    <cellStyle name="_LCD_CIS_LCD_LCD" xfId="0"/>
    <cellStyle name="_LCD_CIS_LCD_PJ" xfId="0"/>
    <cellStyle name="_LCD_CIS_lightling" xfId="0"/>
    <cellStyle name="_LCD_CIS_lightling 2" xfId="0"/>
    <cellStyle name="_LCD_CIS_lightling 3" xfId="0"/>
    <cellStyle name="_LCD_CIS_lightling_By Region" xfId="0"/>
    <cellStyle name="_LCD_CIS_PC Products" xfId="0"/>
    <cellStyle name="_LCD_CIS_PC Products 2" xfId="0"/>
    <cellStyle name="_LCD_CIS_PC Products 3" xfId="0"/>
    <cellStyle name="_LCD_CIS_PC Products 4" xfId="0"/>
    <cellStyle name="_LCD_CIS_PC Products 4 2" xfId="0"/>
    <cellStyle name="_LCD_CIS_PC Products_By Region" xfId="0"/>
    <cellStyle name="_LCD_CIS_PC Products_CORP SG&amp;A" xfId="0"/>
    <cellStyle name="_LCD_CIS_PC Products_LCD" xfId="0"/>
    <cellStyle name="_LCD_CIS_PC Products_PJ" xfId="0"/>
    <cellStyle name="_LCD_CIS_VSA 111014" xfId="0"/>
    <cellStyle name="_LCD_CIS_VSA 111014 2" xfId="0"/>
    <cellStyle name="_LCD_CIS_VSA 111014 3" xfId="0"/>
    <cellStyle name="_LCD_CIS_VSA 111014 4" xfId="0"/>
    <cellStyle name="_LCD_CIS_VSA 111014 4 2" xfId="0"/>
    <cellStyle name="_LCD_CIS_VSA 111014_By Region" xfId="0"/>
    <cellStyle name="_LCD_CIS_VSA 111014_CORP SG&amp;A" xfId="0"/>
    <cellStyle name="_LCD_CIS_VSA 111014_LCD" xfId="0"/>
    <cellStyle name="_LCD_CIS_VSA 111014_PJ" xfId="0"/>
    <cellStyle name="_LCD_CIS_VSA Roll-Up (LW)" xfId="0"/>
    <cellStyle name="_LCD_CIS_VSA Roll-Up (LW) 2" xfId="0"/>
    <cellStyle name="_LCD_CIS_VSA Roll-Up (LW) 3" xfId="0"/>
    <cellStyle name="_LCD_CIS_VSA Roll-Up (LW) 4" xfId="0"/>
    <cellStyle name="_LCD_CIS_VSA Roll-Up (LW) 4 2" xfId="0"/>
    <cellStyle name="_LCD_CIS_VSA Roll-Up (LW)_By Region" xfId="0"/>
    <cellStyle name="_LCD_CIS_VSA Roll-Up (LW)_CORP SG&amp;A" xfId="0"/>
    <cellStyle name="_LCD_CIS_VSA Roll-Up (LW)_LCD" xfId="0"/>
    <cellStyle name="_LCD_CIS_VSA Roll-Up (LW)_PJ" xfId="0"/>
    <cellStyle name="_LCD_CORP SG&amp;A" xfId="0"/>
    <cellStyle name="_LCD_CRT" xfId="0"/>
    <cellStyle name="_LCD_CRT 2" xfId="0"/>
    <cellStyle name="_LCD_CRT 3" xfId="0"/>
    <cellStyle name="_LCD_CRT 4" xfId="0"/>
    <cellStyle name="_LCD_CRT_By Region" xfId="0"/>
    <cellStyle name="_LCD_CRT_CORP SG&amp;A" xfId="0"/>
    <cellStyle name="_LCD_CRT_Digitizer" xfId="0"/>
    <cellStyle name="_LCD_CRT_GPS OTHER" xfId="0"/>
    <cellStyle name="_LCD_CRT_GPS OTHER 2" xfId="0"/>
    <cellStyle name="_LCD_CRT_GPS OTHER 3" xfId="0"/>
    <cellStyle name="_LCD_CRT_GPS OTHER 4" xfId="0"/>
    <cellStyle name="_LCD_CRT_GPS OTHER 4 2" xfId="0"/>
    <cellStyle name="_LCD_CRT_GPS OTHER_By Region" xfId="0"/>
    <cellStyle name="_LCD_CRT_GPS OTHER_CORP SG&amp;A" xfId="0"/>
    <cellStyle name="_LCD_CRT_GPS OTHER_LCD" xfId="0"/>
    <cellStyle name="_LCD_CRT_GPS OTHER_PJ" xfId="0"/>
    <cellStyle name="_LCD_CRT_LCD" xfId="0"/>
    <cellStyle name="_LCD_CRT_LCD 2" xfId="0"/>
    <cellStyle name="_LCD_CRT_LCD 3" xfId="0"/>
    <cellStyle name="_LCD_CRT_LCD 4" xfId="0"/>
    <cellStyle name="_LCD_CRT_LCD_By Region" xfId="0"/>
    <cellStyle name="_LCD_CRT_LCD_CORP SG&amp;A" xfId="0"/>
    <cellStyle name="_LCD_CRT_LCD_LCD" xfId="0"/>
    <cellStyle name="_LCD_CRT_LCD_PJ" xfId="0"/>
    <cellStyle name="_LCD_CRT_PC Products" xfId="0"/>
    <cellStyle name="_LCD_CRT_PC Products 2" xfId="0"/>
    <cellStyle name="_LCD_CRT_PC Products 3" xfId="0"/>
    <cellStyle name="_LCD_CRT_PC Products 4" xfId="0"/>
    <cellStyle name="_LCD_CRT_PC Products 4 2" xfId="0"/>
    <cellStyle name="_LCD_CRT_PC Products_By Region" xfId="0"/>
    <cellStyle name="_LCD_CRT_PC Products_CORP SG&amp;A" xfId="0"/>
    <cellStyle name="_LCD_CRT_PC Products_LCD" xfId="0"/>
    <cellStyle name="_LCD_CRT_PC Products_PJ" xfId="0"/>
    <cellStyle name="_LCD_CRT_VSA 111014" xfId="0"/>
    <cellStyle name="_LCD_CRT_VSA 111014 2" xfId="0"/>
    <cellStyle name="_LCD_CRT_VSA 111014 3" xfId="0"/>
    <cellStyle name="_LCD_CRT_VSA 111014 4" xfId="0"/>
    <cellStyle name="_LCD_CRT_VSA 111014 4 2" xfId="0"/>
    <cellStyle name="_LCD_CRT_VSA 111014_By Region" xfId="0"/>
    <cellStyle name="_LCD_CRT_VSA 111014_CORP SG&amp;A" xfId="0"/>
    <cellStyle name="_LCD_CRT_VSA 111014_LCD" xfId="0"/>
    <cellStyle name="_LCD_CRT_VSA 111014_PJ" xfId="0"/>
    <cellStyle name="_LCD_CRT_VSA Roll-Up (LW)" xfId="0"/>
    <cellStyle name="_LCD_CRT_VSA Roll-Up (LW) 2" xfId="0"/>
    <cellStyle name="_LCD_CRT_VSA Roll-Up (LW) 3" xfId="0"/>
    <cellStyle name="_LCD_CRT_VSA Roll-Up (LW) 4" xfId="0"/>
    <cellStyle name="_LCD_CRT_VSA Roll-Up (LW) 4 2" xfId="0"/>
    <cellStyle name="_LCD_CRT_VSA Roll-Up (LW)_By Region" xfId="0"/>
    <cellStyle name="_LCD_CRT_VSA Roll-Up (LW)_CORP SG&amp;A" xfId="0"/>
    <cellStyle name="_LCD_CRT_VSA Roll-Up (LW)_LCD" xfId="0"/>
    <cellStyle name="_LCD_CRT_VSA Roll-Up (LW)_PJ" xfId="0"/>
    <cellStyle name="_LCD_Diff" xfId="0"/>
    <cellStyle name="_LCD_Diff 2" xfId="0"/>
    <cellStyle name="_LCD_Diff 3" xfId="0"/>
    <cellStyle name="_LCD_Diff 4" xfId="0"/>
    <cellStyle name="_LCD_Diff_By Region" xfId="0"/>
    <cellStyle name="_LCD_Diff_CORP SG&amp;A" xfId="0"/>
    <cellStyle name="_LCD_Diff_Digitizer" xfId="0"/>
    <cellStyle name="_LCD_Diff_GPS OTHER" xfId="0"/>
    <cellStyle name="_LCD_Diff_GPS OTHER 2" xfId="0"/>
    <cellStyle name="_LCD_Diff_GPS OTHER 3" xfId="0"/>
    <cellStyle name="_LCD_Diff_GPS OTHER 4" xfId="0"/>
    <cellStyle name="_LCD_Diff_GPS OTHER 4 2" xfId="0"/>
    <cellStyle name="_LCD_Diff_GPS OTHER_By Region" xfId="0"/>
    <cellStyle name="_LCD_Diff_GPS OTHER_CORP SG&amp;A" xfId="0"/>
    <cellStyle name="_LCD_Diff_GPS OTHER_LCD" xfId="0"/>
    <cellStyle name="_LCD_Diff_GPS OTHER_PJ" xfId="0"/>
    <cellStyle name="_LCD_Diff_LCD" xfId="0"/>
    <cellStyle name="_LCD_Diff_LCD 2" xfId="0"/>
    <cellStyle name="_LCD_Diff_LCD 3" xfId="0"/>
    <cellStyle name="_LCD_Diff_LCD 4" xfId="0"/>
    <cellStyle name="_LCD_Diff_LCD_By Region" xfId="0"/>
    <cellStyle name="_LCD_Diff_LCD_CORP SG&amp;A" xfId="0"/>
    <cellStyle name="_LCD_Diff_LCD_LCD" xfId="0"/>
    <cellStyle name="_LCD_Diff_LCD_PJ" xfId="0"/>
    <cellStyle name="_LCD_Diff_PC Products" xfId="0"/>
    <cellStyle name="_LCD_Diff_PC Products 2" xfId="0"/>
    <cellStyle name="_LCD_Diff_PC Products 3" xfId="0"/>
    <cellStyle name="_LCD_Diff_PC Products 4" xfId="0"/>
    <cellStyle name="_LCD_Diff_PC Products 4 2" xfId="0"/>
    <cellStyle name="_LCD_Diff_PC Products_By Region" xfId="0"/>
    <cellStyle name="_LCD_Diff_PC Products_CORP SG&amp;A" xfId="0"/>
    <cellStyle name="_LCD_Diff_PC Products_LCD" xfId="0"/>
    <cellStyle name="_LCD_Diff_PC Products_PJ" xfId="0"/>
    <cellStyle name="_LCD_Diff_VSA 111014" xfId="0"/>
    <cellStyle name="_LCD_Diff_VSA 111014 2" xfId="0"/>
    <cellStyle name="_LCD_Diff_VSA 111014 3" xfId="0"/>
    <cellStyle name="_LCD_Diff_VSA 111014 4" xfId="0"/>
    <cellStyle name="_LCD_Diff_VSA 111014 4 2" xfId="0"/>
    <cellStyle name="_LCD_Diff_VSA 111014_By Region" xfId="0"/>
    <cellStyle name="_LCD_Diff_VSA 111014_CORP SG&amp;A" xfId="0"/>
    <cellStyle name="_LCD_Diff_VSA 111014_LCD" xfId="0"/>
    <cellStyle name="_LCD_Diff_VSA 111014_PJ" xfId="0"/>
    <cellStyle name="_LCD_Diff_VSA Roll-Up (LW)" xfId="0"/>
    <cellStyle name="_LCD_Diff_VSA Roll-Up (LW) 2" xfId="0"/>
    <cellStyle name="_LCD_Diff_VSA Roll-Up (LW) 3" xfId="0"/>
    <cellStyle name="_LCD_Diff_VSA Roll-Up (LW) 4" xfId="0"/>
    <cellStyle name="_LCD_Diff_VSA Roll-Up (LW) 4 2" xfId="0"/>
    <cellStyle name="_LCD_Diff_VSA Roll-Up (LW)_By Region" xfId="0"/>
    <cellStyle name="_LCD_Diff_VSA Roll-Up (LW)_CORP SG&amp;A" xfId="0"/>
    <cellStyle name="_LCD_Diff_VSA Roll-Up (LW)_LCD" xfId="0"/>
    <cellStyle name="_LCD_Diff_VSA Roll-Up (LW)_PJ" xfId="0"/>
    <cellStyle name="_LCD_Digital Product" xfId="0"/>
    <cellStyle name="_LCD_Digital Product 2" xfId="0"/>
    <cellStyle name="_LCD_Digital Product 3" xfId="0"/>
    <cellStyle name="_LCD_Digital Product 4" xfId="0"/>
    <cellStyle name="_LCD_Digital Product_By Region" xfId="0"/>
    <cellStyle name="_LCD_Digital Product_CORP SG&amp;A" xfId="0"/>
    <cellStyle name="_LCD_Digital Product_Digitizer" xfId="0"/>
    <cellStyle name="_LCD_Digital Product_GPS OTHER" xfId="0"/>
    <cellStyle name="_LCD_Digital Product_GPS OTHER 2" xfId="0"/>
    <cellStyle name="_LCD_Digital Product_GPS OTHER 3" xfId="0"/>
    <cellStyle name="_LCD_Digital Product_GPS OTHER 4" xfId="0"/>
    <cellStyle name="_LCD_Digital Product_GPS OTHER 4 2" xfId="0"/>
    <cellStyle name="_LCD_Digital Product_GPS OTHER_By Region" xfId="0"/>
    <cellStyle name="_LCD_Digital Product_GPS OTHER_CORP SG&amp;A" xfId="0"/>
    <cellStyle name="_LCD_Digital Product_GPS OTHER_LCD" xfId="0"/>
    <cellStyle name="_LCD_Digital Product_GPS OTHER_PJ" xfId="0"/>
    <cellStyle name="_LCD_Digital Product_LCD" xfId="0"/>
    <cellStyle name="_LCD_Digital Product_LCD 2" xfId="0"/>
    <cellStyle name="_LCD_Digital Product_LCD 3" xfId="0"/>
    <cellStyle name="_LCD_Digital Product_LCD 4" xfId="0"/>
    <cellStyle name="_LCD_Digital Product_LCD_By Region" xfId="0"/>
    <cellStyle name="_LCD_Digital Product_LCD_CORP SG&amp;A" xfId="0"/>
    <cellStyle name="_LCD_Digital Product_LCD_LCD" xfId="0"/>
    <cellStyle name="_LCD_Digital Product_LCD_PJ" xfId="0"/>
    <cellStyle name="_LCD_Digital Product_PC Products" xfId="0"/>
    <cellStyle name="_LCD_Digital Product_PC Products 2" xfId="0"/>
    <cellStyle name="_LCD_Digital Product_PC Products 3" xfId="0"/>
    <cellStyle name="_LCD_Digital Product_PC Products 4" xfId="0"/>
    <cellStyle name="_LCD_Digital Product_PC Products 4 2" xfId="0"/>
    <cellStyle name="_LCD_Digital Product_PC Products_By Region" xfId="0"/>
    <cellStyle name="_LCD_Digital Product_PC Products_CORP SG&amp;A" xfId="0"/>
    <cellStyle name="_LCD_Digital Product_PC Products_LCD" xfId="0"/>
    <cellStyle name="_LCD_Digital Product_PC Products_PJ" xfId="0"/>
    <cellStyle name="_LCD_Digital Product_VSA 111014" xfId="0"/>
    <cellStyle name="_LCD_Digital Product_VSA 111014 2" xfId="0"/>
    <cellStyle name="_LCD_Digital Product_VSA 111014 3" xfId="0"/>
    <cellStyle name="_LCD_Digital Product_VSA 111014 4" xfId="0"/>
    <cellStyle name="_LCD_Digital Product_VSA 111014 4 2" xfId="0"/>
    <cellStyle name="_LCD_Digital Product_VSA 111014_By Region" xfId="0"/>
    <cellStyle name="_LCD_Digital Product_VSA 111014_CORP SG&amp;A" xfId="0"/>
    <cellStyle name="_LCD_Digital Product_VSA 111014_LCD" xfId="0"/>
    <cellStyle name="_LCD_Digital Product_VSA 111014_PJ" xfId="0"/>
    <cellStyle name="_LCD_Digital Product_VSA Roll-Up (LW)" xfId="0"/>
    <cellStyle name="_LCD_Digital Product_VSA Roll-Up (LW) 2" xfId="0"/>
    <cellStyle name="_LCD_Digital Product_VSA Roll-Up (LW) 3" xfId="0"/>
    <cellStyle name="_LCD_Digital Product_VSA Roll-Up (LW) 4" xfId="0"/>
    <cellStyle name="_LCD_Digital Product_VSA Roll-Up (LW) 4 2" xfId="0"/>
    <cellStyle name="_LCD_Digital Product_VSA Roll-Up (LW)_By Region" xfId="0"/>
    <cellStyle name="_LCD_Digital Product_VSA Roll-Up (LW)_CORP SG&amp;A" xfId="0"/>
    <cellStyle name="_LCD_Digital Product_VSA Roll-Up (LW)_LCD" xfId="0"/>
    <cellStyle name="_LCD_Digital Product_VSA Roll-Up (LW)_PJ" xfId="0"/>
    <cellStyle name="_LCD_Digital Signage" xfId="0"/>
    <cellStyle name="_LCD_Digital Signage 2" xfId="0"/>
    <cellStyle name="_LCD_Digital Signage 3" xfId="0"/>
    <cellStyle name="_LCD_Digital Signage 4" xfId="0"/>
    <cellStyle name="_LCD_Digital Signage_By Region" xfId="0"/>
    <cellStyle name="_LCD_Digital Signage_CORP SG&amp;A" xfId="0"/>
    <cellStyle name="_LCD_Digital Signage_Digitizer" xfId="0"/>
    <cellStyle name="_LCD_Digital Signage_GPS OTHER" xfId="0"/>
    <cellStyle name="_LCD_Digital Signage_GPS OTHER 2" xfId="0"/>
    <cellStyle name="_LCD_Digital Signage_GPS OTHER 3" xfId="0"/>
    <cellStyle name="_LCD_Digital Signage_GPS OTHER 4" xfId="0"/>
    <cellStyle name="_LCD_Digital Signage_GPS OTHER 4 2" xfId="0"/>
    <cellStyle name="_LCD_Digital Signage_GPS OTHER_By Region" xfId="0"/>
    <cellStyle name="_LCD_Digital Signage_GPS OTHER_CORP SG&amp;A" xfId="0"/>
    <cellStyle name="_LCD_Digital Signage_GPS OTHER_LCD" xfId="0"/>
    <cellStyle name="_LCD_Digital Signage_GPS OTHER_PJ" xfId="0"/>
    <cellStyle name="_LCD_Digital Signage_LCD" xfId="0"/>
    <cellStyle name="_LCD_Digital Signage_LCD 2" xfId="0"/>
    <cellStyle name="_LCD_Digital Signage_LCD 3" xfId="0"/>
    <cellStyle name="_LCD_Digital Signage_LCD 4" xfId="0"/>
    <cellStyle name="_LCD_Digital Signage_LCD_By Region" xfId="0"/>
    <cellStyle name="_LCD_Digital Signage_LCD_CORP SG&amp;A" xfId="0"/>
    <cellStyle name="_LCD_Digital Signage_LCD_LCD" xfId="0"/>
    <cellStyle name="_LCD_Digital Signage_LCD_PJ" xfId="0"/>
    <cellStyle name="_LCD_Digital Signage_PC Products" xfId="0"/>
    <cellStyle name="_LCD_Digital Signage_PC Products 2" xfId="0"/>
    <cellStyle name="_LCD_Digital Signage_PC Products 3" xfId="0"/>
    <cellStyle name="_LCD_Digital Signage_PC Products 4" xfId="0"/>
    <cellStyle name="_LCD_Digital Signage_PC Products 4 2" xfId="0"/>
    <cellStyle name="_LCD_Digital Signage_PC Products_By Region" xfId="0"/>
    <cellStyle name="_LCD_Digital Signage_PC Products_CORP SG&amp;A" xfId="0"/>
    <cellStyle name="_LCD_Digital Signage_PC Products_LCD" xfId="0"/>
    <cellStyle name="_LCD_Digital Signage_PC Products_PJ" xfId="0"/>
    <cellStyle name="_LCD_Digital Signage_VSA 111014" xfId="0"/>
    <cellStyle name="_LCD_Digital Signage_VSA 111014 2" xfId="0"/>
    <cellStyle name="_LCD_Digital Signage_VSA 111014 3" xfId="0"/>
    <cellStyle name="_LCD_Digital Signage_VSA 111014 4" xfId="0"/>
    <cellStyle name="_LCD_Digital Signage_VSA 111014 4 2" xfId="0"/>
    <cellStyle name="_LCD_Digital Signage_VSA 111014_By Region" xfId="0"/>
    <cellStyle name="_LCD_Digital Signage_VSA 111014_CORP SG&amp;A" xfId="0"/>
    <cellStyle name="_LCD_Digital Signage_VSA 111014_LCD" xfId="0"/>
    <cellStyle name="_LCD_Digital Signage_VSA 111014_PJ" xfId="0"/>
    <cellStyle name="_LCD_Digital Signage_VSA Roll-Up (LW)" xfId="0"/>
    <cellStyle name="_LCD_Digital Signage_VSA Roll-Up (LW) 2" xfId="0"/>
    <cellStyle name="_LCD_Digital Signage_VSA Roll-Up (LW) 3" xfId="0"/>
    <cellStyle name="_LCD_Digital Signage_VSA Roll-Up (LW) 4" xfId="0"/>
    <cellStyle name="_LCD_Digital Signage_VSA Roll-Up (LW) 4 2" xfId="0"/>
    <cellStyle name="_LCD_Digital Signage_VSA Roll-Up (LW)_By Region" xfId="0"/>
    <cellStyle name="_LCD_Digital Signage_VSA Roll-Up (LW)_CORP SG&amp;A" xfId="0"/>
    <cellStyle name="_LCD_Digital Signage_VSA Roll-Up (LW)_LCD" xfId="0"/>
    <cellStyle name="_LCD_Digital Signage_VSA Roll-Up (LW)_PJ" xfId="0"/>
    <cellStyle name="_LCD_Digitizer" xfId="0"/>
    <cellStyle name="_LCD_DMA(VMP)" xfId="0"/>
    <cellStyle name="_LCD_DMA(VMP) 2" xfId="0"/>
    <cellStyle name="_LCD_DMA(VMP) 3" xfId="0"/>
    <cellStyle name="_LCD_DMA(VMP) 4" xfId="0"/>
    <cellStyle name="_LCD_DMA(VMP)_By Region" xfId="0"/>
    <cellStyle name="_LCD_DMA(VMP)_CORP SG&amp;A" xfId="0"/>
    <cellStyle name="_LCD_DMA(VMP)_Digitizer" xfId="0"/>
    <cellStyle name="_LCD_DMA(VMP)_GPS OTHER" xfId="0"/>
    <cellStyle name="_LCD_DMA(VMP)_GPS OTHER 2" xfId="0"/>
    <cellStyle name="_LCD_DMA(VMP)_GPS OTHER 3" xfId="0"/>
    <cellStyle name="_LCD_DMA(VMP)_GPS OTHER 4" xfId="0"/>
    <cellStyle name="_LCD_DMA(VMP)_GPS OTHER 4 2" xfId="0"/>
    <cellStyle name="_LCD_DMA(VMP)_GPS OTHER_By Region" xfId="0"/>
    <cellStyle name="_LCD_DMA(VMP)_GPS OTHER_CORP SG&amp;A" xfId="0"/>
    <cellStyle name="_LCD_DMA(VMP)_GPS OTHER_LCD" xfId="0"/>
    <cellStyle name="_LCD_DMA(VMP)_GPS OTHER_PJ" xfId="0"/>
    <cellStyle name="_LCD_DMA(VMP)_LCD" xfId="0"/>
    <cellStyle name="_LCD_DMA(VMP)_LCD 2" xfId="0"/>
    <cellStyle name="_LCD_DMA(VMP)_LCD 3" xfId="0"/>
    <cellStyle name="_LCD_DMA(VMP)_LCD 4" xfId="0"/>
    <cellStyle name="_LCD_DMA(VMP)_LCD_By Region" xfId="0"/>
    <cellStyle name="_LCD_DMA(VMP)_LCD_CORP SG&amp;A" xfId="0"/>
    <cellStyle name="_LCD_DMA(VMP)_LCD_LCD" xfId="0"/>
    <cellStyle name="_LCD_DMA(VMP)_LCD_PJ" xfId="0"/>
    <cellStyle name="_LCD_DMA(VMP)_PC Products" xfId="0"/>
    <cellStyle name="_LCD_DMA(VMP)_PC Products 2" xfId="0"/>
    <cellStyle name="_LCD_DMA(VMP)_PC Products 3" xfId="0"/>
    <cellStyle name="_LCD_DMA(VMP)_PC Products 4" xfId="0"/>
    <cellStyle name="_LCD_DMA(VMP)_PC Products 4 2" xfId="0"/>
    <cellStyle name="_LCD_DMA(VMP)_PC Products_By Region" xfId="0"/>
    <cellStyle name="_LCD_DMA(VMP)_PC Products_CORP SG&amp;A" xfId="0"/>
    <cellStyle name="_LCD_DMA(VMP)_PC Products_LCD" xfId="0"/>
    <cellStyle name="_LCD_DMA(VMP)_PC Products_PJ" xfId="0"/>
    <cellStyle name="_LCD_DMA(VMP)_VSA 111014" xfId="0"/>
    <cellStyle name="_LCD_DMA(VMP)_VSA 111014 2" xfId="0"/>
    <cellStyle name="_LCD_DMA(VMP)_VSA 111014 3" xfId="0"/>
    <cellStyle name="_LCD_DMA(VMP)_VSA 111014 4" xfId="0"/>
    <cellStyle name="_LCD_DMA(VMP)_VSA 111014 4 2" xfId="0"/>
    <cellStyle name="_LCD_DMA(VMP)_VSA 111014_By Region" xfId="0"/>
    <cellStyle name="_LCD_DMA(VMP)_VSA 111014_CORP SG&amp;A" xfId="0"/>
    <cellStyle name="_LCD_DMA(VMP)_VSA 111014_LCD" xfId="0"/>
    <cellStyle name="_LCD_DMA(VMP)_VSA 111014_PJ" xfId="0"/>
    <cellStyle name="_LCD_DMA(VMP)_VSA Roll-Up (LW)" xfId="0"/>
    <cellStyle name="_LCD_DMA(VMP)_VSA Roll-Up (LW) 2" xfId="0"/>
    <cellStyle name="_LCD_DMA(VMP)_VSA Roll-Up (LW) 3" xfId="0"/>
    <cellStyle name="_LCD_DMA(VMP)_VSA Roll-Up (LW) 4" xfId="0"/>
    <cellStyle name="_LCD_DMA(VMP)_VSA Roll-Up (LW) 4 2" xfId="0"/>
    <cellStyle name="_LCD_DMA(VMP)_VSA Roll-Up (LW)_By Region" xfId="0"/>
    <cellStyle name="_LCD_DMA(VMP)_VSA Roll-Up (LW)_CORP SG&amp;A" xfId="0"/>
    <cellStyle name="_LCD_DMA(VMP)_VSA Roll-Up (LW)_LCD" xfId="0"/>
    <cellStyle name="_LCD_DMA(VMP)_VSA Roll-Up (LW)_PJ" xfId="0"/>
    <cellStyle name="_LCD_DPF" xfId="0"/>
    <cellStyle name="_LCD_DPF 2" xfId="0"/>
    <cellStyle name="_LCD_DPF 3" xfId="0"/>
    <cellStyle name="_LCD_DPF 4" xfId="0"/>
    <cellStyle name="_LCD_DPF_By Region" xfId="0"/>
    <cellStyle name="_LCD_DPF_CORP SG&amp;A" xfId="0"/>
    <cellStyle name="_LCD_DPF_Digitizer" xfId="0"/>
    <cellStyle name="_LCD_DPF_GPS OTHER" xfId="0"/>
    <cellStyle name="_LCD_DPF_GPS OTHER 2" xfId="0"/>
    <cellStyle name="_LCD_DPF_GPS OTHER 3" xfId="0"/>
    <cellStyle name="_LCD_DPF_GPS OTHER 4" xfId="0"/>
    <cellStyle name="_LCD_DPF_GPS OTHER 4 2" xfId="0"/>
    <cellStyle name="_LCD_DPF_GPS OTHER_By Region" xfId="0"/>
    <cellStyle name="_LCD_DPF_GPS OTHER_CORP SG&amp;A" xfId="0"/>
    <cellStyle name="_LCD_DPF_GPS OTHER_LCD" xfId="0"/>
    <cellStyle name="_LCD_DPF_GPS OTHER_PJ" xfId="0"/>
    <cellStyle name="_LCD_DPF_LCD" xfId="0"/>
    <cellStyle name="_LCD_DPF_LCD 2" xfId="0"/>
    <cellStyle name="_LCD_DPF_LCD 3" xfId="0"/>
    <cellStyle name="_LCD_DPF_LCD 4" xfId="0"/>
    <cellStyle name="_LCD_DPF_LCD_By Region" xfId="0"/>
    <cellStyle name="_LCD_DPF_LCD_CORP SG&amp;A" xfId="0"/>
    <cellStyle name="_LCD_DPF_LCD_LCD" xfId="0"/>
    <cellStyle name="_LCD_DPF_LCD_PJ" xfId="0"/>
    <cellStyle name="_LCD_DPF_PC Products" xfId="0"/>
    <cellStyle name="_LCD_DPF_PC Products 2" xfId="0"/>
    <cellStyle name="_LCD_DPF_PC Products 3" xfId="0"/>
    <cellStyle name="_LCD_DPF_PC Products 4" xfId="0"/>
    <cellStyle name="_LCD_DPF_PC Products 4 2" xfId="0"/>
    <cellStyle name="_LCD_DPF_PC Products_By Region" xfId="0"/>
    <cellStyle name="_LCD_DPF_PC Products_CORP SG&amp;A" xfId="0"/>
    <cellStyle name="_LCD_DPF_PC Products_LCD" xfId="0"/>
    <cellStyle name="_LCD_DPF_PC Products_PJ" xfId="0"/>
    <cellStyle name="_LCD_DPF_VSA 111014" xfId="0"/>
    <cellStyle name="_LCD_DPF_VSA 111014 2" xfId="0"/>
    <cellStyle name="_LCD_DPF_VSA 111014 3" xfId="0"/>
    <cellStyle name="_LCD_DPF_VSA 111014 4" xfId="0"/>
    <cellStyle name="_LCD_DPF_VSA 111014 4 2" xfId="0"/>
    <cellStyle name="_LCD_DPF_VSA 111014_By Region" xfId="0"/>
    <cellStyle name="_LCD_DPF_VSA 111014_CORP SG&amp;A" xfId="0"/>
    <cellStyle name="_LCD_DPF_VSA 111014_LCD" xfId="0"/>
    <cellStyle name="_LCD_DPF_VSA 111014_PJ" xfId="0"/>
    <cellStyle name="_LCD_DPF_VSA Roll-Up (LW)" xfId="0"/>
    <cellStyle name="_LCD_DPF_VSA Roll-Up (LW) 2" xfId="0"/>
    <cellStyle name="_LCD_DPF_VSA Roll-Up (LW) 3" xfId="0"/>
    <cellStyle name="_LCD_DPF_VSA Roll-Up (LW) 4" xfId="0"/>
    <cellStyle name="_LCD_DPF_VSA Roll-Up (LW) 4 2" xfId="0"/>
    <cellStyle name="_LCD_DPF_VSA Roll-Up (LW)_By Region" xfId="0"/>
    <cellStyle name="_LCD_DPF_VSA Roll-Up (LW)_CORP SG&amp;A" xfId="0"/>
    <cellStyle name="_LCD_DPF_VSA Roll-Up (LW)_LCD" xfId="0"/>
    <cellStyle name="_LCD_DPF_VSA Roll-Up (LW)_PJ" xfId="0"/>
    <cellStyle name="_LCD_DS" xfId="0"/>
    <cellStyle name="_LCD_DS 2" xfId="0"/>
    <cellStyle name="_LCD_DS 3" xfId="0"/>
    <cellStyle name="_LCD_DS 4" xfId="0"/>
    <cellStyle name="_LCD_DS_By Region" xfId="0"/>
    <cellStyle name="_LCD_DS_CORP SG&amp;A" xfId="0"/>
    <cellStyle name="_LCD_DS_Digitizer" xfId="0"/>
    <cellStyle name="_LCD_DS_GPS OTHER" xfId="0"/>
    <cellStyle name="_LCD_DS_GPS OTHER 2" xfId="0"/>
    <cellStyle name="_LCD_DS_GPS OTHER 3" xfId="0"/>
    <cellStyle name="_LCD_DS_GPS OTHER 4" xfId="0"/>
    <cellStyle name="_LCD_DS_GPS OTHER 4 2" xfId="0"/>
    <cellStyle name="_LCD_DS_GPS OTHER_By Region" xfId="0"/>
    <cellStyle name="_LCD_DS_GPS OTHER_CORP SG&amp;A" xfId="0"/>
    <cellStyle name="_LCD_DS_GPS OTHER_LCD" xfId="0"/>
    <cellStyle name="_LCD_DS_GPS OTHER_PJ" xfId="0"/>
    <cellStyle name="_LCD_DS_LCD" xfId="0"/>
    <cellStyle name="_LCD_DS_LCD 2" xfId="0"/>
    <cellStyle name="_LCD_DS_LCD 3" xfId="0"/>
    <cellStyle name="_LCD_DS_LCD 4" xfId="0"/>
    <cellStyle name="_LCD_DS_LCD_By Region" xfId="0"/>
    <cellStyle name="_LCD_DS_LCD_CORP SG&amp;A" xfId="0"/>
    <cellStyle name="_LCD_DS_LCD_LCD" xfId="0"/>
    <cellStyle name="_LCD_DS_LCD_PJ" xfId="0"/>
    <cellStyle name="_LCD_DS_PC Products" xfId="0"/>
    <cellStyle name="_LCD_DS_PC Products 2" xfId="0"/>
    <cellStyle name="_LCD_DS_PC Products 3" xfId="0"/>
    <cellStyle name="_LCD_DS_PC Products 4" xfId="0"/>
    <cellStyle name="_LCD_DS_PC Products 4 2" xfId="0"/>
    <cellStyle name="_LCD_DS_PC Products_By Region" xfId="0"/>
    <cellStyle name="_LCD_DS_PC Products_CORP SG&amp;A" xfId="0"/>
    <cellStyle name="_LCD_DS_PC Products_LCD" xfId="0"/>
    <cellStyle name="_LCD_DS_PC Products_PJ" xfId="0"/>
    <cellStyle name="_LCD_DS_VSA 111014" xfId="0"/>
    <cellStyle name="_LCD_DS_VSA 111014 2" xfId="0"/>
    <cellStyle name="_LCD_DS_VSA 111014 3" xfId="0"/>
    <cellStyle name="_LCD_DS_VSA 111014 4" xfId="0"/>
    <cellStyle name="_LCD_DS_VSA 111014 4 2" xfId="0"/>
    <cellStyle name="_LCD_DS_VSA 111014_By Region" xfId="0"/>
    <cellStyle name="_LCD_DS_VSA 111014_CORP SG&amp;A" xfId="0"/>
    <cellStyle name="_LCD_DS_VSA 111014_LCD" xfId="0"/>
    <cellStyle name="_LCD_DS_VSA 111014_PJ" xfId="0"/>
    <cellStyle name="_LCD_DS_VSA Roll-Up (LW)" xfId="0"/>
    <cellStyle name="_LCD_DS_VSA Roll-Up (LW) 2" xfId="0"/>
    <cellStyle name="_LCD_DS_VSA Roll-Up (LW) 3" xfId="0"/>
    <cellStyle name="_LCD_DS_VSA Roll-Up (LW) 4" xfId="0"/>
    <cellStyle name="_LCD_DS_VSA Roll-Up (LW) 4 2" xfId="0"/>
    <cellStyle name="_LCD_DS_VSA Roll-Up (LW)_By Region" xfId="0"/>
    <cellStyle name="_LCD_DS_VSA Roll-Up (LW)_CORP SG&amp;A" xfId="0"/>
    <cellStyle name="_LCD_DS_VSA Roll-Up (LW)_LCD" xfId="0"/>
    <cellStyle name="_LCD_DS_VSA Roll-Up (LW)_PJ" xfId="0"/>
    <cellStyle name="_LCD_DVD_TV" xfId="0"/>
    <cellStyle name="_LCD_DVD_TV 2" xfId="0"/>
    <cellStyle name="_LCD_DVD_TV 3" xfId="0"/>
    <cellStyle name="_LCD_DVD_TV 4" xfId="0"/>
    <cellStyle name="_LCD_DVD_TV_By Region" xfId="0"/>
    <cellStyle name="_LCD_DVD_TV_CORP SG&amp;A" xfId="0"/>
    <cellStyle name="_LCD_DVD_TV_Digitizer" xfId="0"/>
    <cellStyle name="_LCD_DVD_TV_GPS OTHER" xfId="0"/>
    <cellStyle name="_LCD_DVD_TV_GPS OTHER 2" xfId="0"/>
    <cellStyle name="_LCD_DVD_TV_GPS OTHER 3" xfId="0"/>
    <cellStyle name="_LCD_DVD_TV_GPS OTHER 4" xfId="0"/>
    <cellStyle name="_LCD_DVD_TV_GPS OTHER 4 2" xfId="0"/>
    <cellStyle name="_LCD_DVD_TV_GPS OTHER_By Region" xfId="0"/>
    <cellStyle name="_LCD_DVD_TV_GPS OTHER_CORP SG&amp;A" xfId="0"/>
    <cellStyle name="_LCD_DVD_TV_GPS OTHER_LCD" xfId="0"/>
    <cellStyle name="_LCD_DVD_TV_GPS OTHER_PJ" xfId="0"/>
    <cellStyle name="_LCD_DVD_TV_LCD" xfId="0"/>
    <cellStyle name="_LCD_DVD_TV_LCD 2" xfId="0"/>
    <cellStyle name="_LCD_DVD_TV_LCD 3" xfId="0"/>
    <cellStyle name="_LCD_DVD_TV_LCD 4" xfId="0"/>
    <cellStyle name="_LCD_DVD_TV_LCD_By Region" xfId="0"/>
    <cellStyle name="_LCD_DVD_TV_LCD_CORP SG&amp;A" xfId="0"/>
    <cellStyle name="_LCD_DVD_TV_LCD_LCD" xfId="0"/>
    <cellStyle name="_LCD_DVD_TV_LCD_PJ" xfId="0"/>
    <cellStyle name="_LCD_DVD_TV_PC Products" xfId="0"/>
    <cellStyle name="_LCD_DVD_TV_PC Products 2" xfId="0"/>
    <cellStyle name="_LCD_DVD_TV_PC Products 3" xfId="0"/>
    <cellStyle name="_LCD_DVD_TV_PC Products 4" xfId="0"/>
    <cellStyle name="_LCD_DVD_TV_PC Products 4 2" xfId="0"/>
    <cellStyle name="_LCD_DVD_TV_PC Products_By Region" xfId="0"/>
    <cellStyle name="_LCD_DVD_TV_PC Products_CORP SG&amp;A" xfId="0"/>
    <cellStyle name="_LCD_DVD_TV_PC Products_LCD" xfId="0"/>
    <cellStyle name="_LCD_DVD_TV_PC Products_PJ" xfId="0"/>
    <cellStyle name="_LCD_DVD_TV_VSA 111014" xfId="0"/>
    <cellStyle name="_LCD_DVD_TV_VSA 111014 2" xfId="0"/>
    <cellStyle name="_LCD_DVD_TV_VSA 111014 3" xfId="0"/>
    <cellStyle name="_LCD_DVD_TV_VSA 111014 4" xfId="0"/>
    <cellStyle name="_LCD_DVD_TV_VSA 111014 4 2" xfId="0"/>
    <cellStyle name="_LCD_DVD_TV_VSA 111014_By Region" xfId="0"/>
    <cellStyle name="_LCD_DVD_TV_VSA 111014_CORP SG&amp;A" xfId="0"/>
    <cellStyle name="_LCD_DVD_TV_VSA 111014_LCD" xfId="0"/>
    <cellStyle name="_LCD_DVD_TV_VSA 111014_PJ" xfId="0"/>
    <cellStyle name="_LCD_DVD_TV_VSA Roll-Up (LW)" xfId="0"/>
    <cellStyle name="_LCD_DVD_TV_VSA Roll-Up (LW) 2" xfId="0"/>
    <cellStyle name="_LCD_DVD_TV_VSA Roll-Up (LW) 3" xfId="0"/>
    <cellStyle name="_LCD_DVD_TV_VSA Roll-Up (LW) 4" xfId="0"/>
    <cellStyle name="_LCD_DVD_TV_VSA Roll-Up (LW) 4 2" xfId="0"/>
    <cellStyle name="_LCD_DVD_TV_VSA Roll-Up (LW)_By Region" xfId="0"/>
    <cellStyle name="_LCD_DVD_TV_VSA Roll-Up (LW)_CORP SG&amp;A" xfId="0"/>
    <cellStyle name="_LCD_DVD_TV_VSA Roll-Up (LW)_LCD" xfId="0"/>
    <cellStyle name="_LCD_DVD_TV_VSA Roll-Up (LW)_PJ" xfId="0"/>
    <cellStyle name="_LCD_GPS OTHER" xfId="0"/>
    <cellStyle name="_LCD_GPS OTHER 2" xfId="0"/>
    <cellStyle name="_LCD_GPS OTHER 3" xfId="0"/>
    <cellStyle name="_LCD_GPS OTHER 4" xfId="0"/>
    <cellStyle name="_LCD_GPS OTHER 4 2" xfId="0"/>
    <cellStyle name="_LCD_GPS OTHER_By Region" xfId="0"/>
    <cellStyle name="_LCD_GPS OTHER_CORP SG&amp;A" xfId="0"/>
    <cellStyle name="_LCD_GPS OTHER_LCD" xfId="0"/>
    <cellStyle name="_LCD_GPS OTHER_PJ" xfId="0"/>
    <cellStyle name="_LCD_LCD" xfId="0"/>
    <cellStyle name="_LCD_LCD 2" xfId="0"/>
    <cellStyle name="_LCD_LCD 3" xfId="0"/>
    <cellStyle name="_LCD_LCD 4" xfId="0"/>
    <cellStyle name="_LCD_LCD_1" xfId="0"/>
    <cellStyle name="_LCD_LCD_1 2" xfId="0"/>
    <cellStyle name="_LCD_LCD_1 3" xfId="0"/>
    <cellStyle name="_LCD_LCD_1 4" xfId="0"/>
    <cellStyle name="_LCD_LCD_1_By Region" xfId="0"/>
    <cellStyle name="_LCD_LCD_1_CORP SG&amp;A" xfId="0"/>
    <cellStyle name="_LCD_LCD_1_LCD" xfId="0"/>
    <cellStyle name="_LCD_LCD_1_PJ" xfId="0"/>
    <cellStyle name="_LCD_LCD_By Region" xfId="0"/>
    <cellStyle name="_LCD_LCD_CORP SG&amp;A" xfId="0"/>
    <cellStyle name="_LCD_LCD_Digitizer" xfId="0"/>
    <cellStyle name="_LCD_LCD_GPS OTHER" xfId="0"/>
    <cellStyle name="_LCD_LCD_GPS OTHER 2" xfId="0"/>
    <cellStyle name="_LCD_LCD_GPS OTHER 3" xfId="0"/>
    <cellStyle name="_LCD_LCD_GPS OTHER 4" xfId="0"/>
    <cellStyle name="_LCD_LCD_GPS OTHER 4 2" xfId="0"/>
    <cellStyle name="_LCD_LCD_GPS OTHER_By Region" xfId="0"/>
    <cellStyle name="_LCD_LCD_GPS OTHER_CORP SG&amp;A" xfId="0"/>
    <cellStyle name="_LCD_LCD_GPS OTHER_LCD" xfId="0"/>
    <cellStyle name="_LCD_LCD_GPS OTHER_PJ" xfId="0"/>
    <cellStyle name="_LCD_LCD_LCD" xfId="0"/>
    <cellStyle name="_LCD_LCD_LCD 2" xfId="0"/>
    <cellStyle name="_LCD_LCD_LCD 3" xfId="0"/>
    <cellStyle name="_LCD_LCD_LCD 4" xfId="0"/>
    <cellStyle name="_LCD_LCD_LCD_By Region" xfId="0"/>
    <cellStyle name="_LCD_LCD_LCD_CORP SG&amp;A" xfId="0"/>
    <cellStyle name="_LCD_LCD_LCD_LCD" xfId="0"/>
    <cellStyle name="_LCD_LCD_LCD_PJ" xfId="0"/>
    <cellStyle name="_LCD_LCD_PC Products" xfId="0"/>
    <cellStyle name="_LCD_LCD_PC Products 2" xfId="0"/>
    <cellStyle name="_LCD_LCD_PC Products 3" xfId="0"/>
    <cellStyle name="_LCD_LCD_PC Products 4" xfId="0"/>
    <cellStyle name="_LCD_LCD_PC Products 4 2" xfId="0"/>
    <cellStyle name="_LCD_LCD_PC Products_By Region" xfId="0"/>
    <cellStyle name="_LCD_LCD_PC Products_CORP SG&amp;A" xfId="0"/>
    <cellStyle name="_LCD_LCD_PC Products_LCD" xfId="0"/>
    <cellStyle name="_LCD_LCD_PC Products_PJ" xfId="0"/>
    <cellStyle name="_LCD_LCD_VSA 111014" xfId="0"/>
    <cellStyle name="_LCD_LCD_VSA 111014 2" xfId="0"/>
    <cellStyle name="_LCD_LCD_VSA 111014 3" xfId="0"/>
    <cellStyle name="_LCD_LCD_VSA 111014 4" xfId="0"/>
    <cellStyle name="_LCD_LCD_VSA 111014 4 2" xfId="0"/>
    <cellStyle name="_LCD_LCD_VSA 111014_By Region" xfId="0"/>
    <cellStyle name="_LCD_LCD_VSA 111014_CORP SG&amp;A" xfId="0"/>
    <cellStyle name="_LCD_LCD_VSA 111014_LCD" xfId="0"/>
    <cellStyle name="_LCD_LCD_VSA 111014_PJ" xfId="0"/>
    <cellStyle name="_LCD_LCD_VSA Roll-Up (LW)" xfId="0"/>
    <cellStyle name="_LCD_LCD_VSA Roll-Up (LW) 2" xfId="0"/>
    <cellStyle name="_LCD_LCD_VSA Roll-Up (LW) 3" xfId="0"/>
    <cellStyle name="_LCD_LCD_VSA Roll-Up (LW) 4" xfId="0"/>
    <cellStyle name="_LCD_LCD_VSA Roll-Up (LW) 4 2" xfId="0"/>
    <cellStyle name="_LCD_LCD_VSA Roll-Up (LW)_By Region" xfId="0"/>
    <cellStyle name="_LCD_LCD_VSA Roll-Up (LW)_CORP SG&amp;A" xfId="0"/>
    <cellStyle name="_LCD_LCD_VSA Roll-Up (LW)_LCD" xfId="0"/>
    <cellStyle name="_LCD_LCD_VSA Roll-Up (LW)_PJ" xfId="0"/>
    <cellStyle name="_LCD_LCDTV" xfId="0"/>
    <cellStyle name="_LCD_LCDTV 2" xfId="0"/>
    <cellStyle name="_LCD_LCDTV 3" xfId="0"/>
    <cellStyle name="_LCD_LCDTV 4" xfId="0"/>
    <cellStyle name="_LCD_LCDTV_By Region" xfId="0"/>
    <cellStyle name="_LCD_LCDTV_CORP SG&amp;A" xfId="0"/>
    <cellStyle name="_LCD_LCDTV_Digitizer" xfId="0"/>
    <cellStyle name="_LCD_LCDTV_GPS OTHER" xfId="0"/>
    <cellStyle name="_LCD_LCDTV_GPS OTHER 2" xfId="0"/>
    <cellStyle name="_LCD_LCDTV_GPS OTHER 3" xfId="0"/>
    <cellStyle name="_LCD_LCDTV_GPS OTHER 4" xfId="0"/>
    <cellStyle name="_LCD_LCDTV_GPS OTHER 4 2" xfId="0"/>
    <cellStyle name="_LCD_LCDTV_GPS OTHER_By Region" xfId="0"/>
    <cellStyle name="_LCD_LCDTV_GPS OTHER_CORP SG&amp;A" xfId="0"/>
    <cellStyle name="_LCD_LCDTV_GPS OTHER_LCD" xfId="0"/>
    <cellStyle name="_LCD_LCDTV_GPS OTHER_PJ" xfId="0"/>
    <cellStyle name="_LCD_LCDTV_LCD" xfId="0"/>
    <cellStyle name="_LCD_LCDTV_LCD 2" xfId="0"/>
    <cellStyle name="_LCD_LCDTV_LCD 3" xfId="0"/>
    <cellStyle name="_LCD_LCDTV_LCD 4" xfId="0"/>
    <cellStyle name="_LCD_LCDTV_LCD_By Region" xfId="0"/>
    <cellStyle name="_LCD_LCDTV_LCD_CORP SG&amp;A" xfId="0"/>
    <cellStyle name="_LCD_LCDTV_LCD_LCD" xfId="0"/>
    <cellStyle name="_LCD_LCDTV_LCD_PJ" xfId="0"/>
    <cellStyle name="_LCD_LCDTV_PC Products" xfId="0"/>
    <cellStyle name="_LCD_LCDTV_PC Products 2" xfId="0"/>
    <cellStyle name="_LCD_LCDTV_PC Products 3" xfId="0"/>
    <cellStyle name="_LCD_LCDTV_PC Products 4" xfId="0"/>
    <cellStyle name="_LCD_LCDTV_PC Products 4 2" xfId="0"/>
    <cellStyle name="_LCD_LCDTV_PC Products_By Region" xfId="0"/>
    <cellStyle name="_LCD_LCDTV_PC Products_CORP SG&amp;A" xfId="0"/>
    <cellStyle name="_LCD_LCDTV_PC Products_LCD" xfId="0"/>
    <cellStyle name="_LCD_LCDTV_PC Products_PJ" xfId="0"/>
    <cellStyle name="_LCD_LCDTV_VSA 111014" xfId="0"/>
    <cellStyle name="_LCD_LCDTV_VSA 111014 2" xfId="0"/>
    <cellStyle name="_LCD_LCDTV_VSA 111014 3" xfId="0"/>
    <cellStyle name="_LCD_LCDTV_VSA 111014 4" xfId="0"/>
    <cellStyle name="_LCD_LCDTV_VSA 111014 4 2" xfId="0"/>
    <cellStyle name="_LCD_LCDTV_VSA 111014_By Region" xfId="0"/>
    <cellStyle name="_LCD_LCDTV_VSA 111014_CORP SG&amp;A" xfId="0"/>
    <cellStyle name="_LCD_LCDTV_VSA 111014_LCD" xfId="0"/>
    <cellStyle name="_LCD_LCDTV_VSA 111014_PJ" xfId="0"/>
    <cellStyle name="_LCD_LCDTV_VSA Roll-Up (LW)" xfId="0"/>
    <cellStyle name="_LCD_LCDTV_VSA Roll-Up (LW) 2" xfId="0"/>
    <cellStyle name="_LCD_LCDTV_VSA Roll-Up (LW) 3" xfId="0"/>
    <cellStyle name="_LCD_LCDTV_VSA Roll-Up (LW) 4" xfId="0"/>
    <cellStyle name="_LCD_LCDTV_VSA Roll-Up (LW) 4 2" xfId="0"/>
    <cellStyle name="_LCD_LCDTV_VSA Roll-Up (LW)_By Region" xfId="0"/>
    <cellStyle name="_LCD_LCDTV_VSA Roll-Up (LW)_CORP SG&amp;A" xfId="0"/>
    <cellStyle name="_LCD_LCDTV_VSA Roll-Up (LW)_LCD" xfId="0"/>
    <cellStyle name="_LCD_LCDTV_VSA Roll-Up (LW)_PJ" xfId="0"/>
    <cellStyle name="_LCD_lightling" xfId="0"/>
    <cellStyle name="_LCD_lightling 2" xfId="0"/>
    <cellStyle name="_LCD_lightling 3" xfId="0"/>
    <cellStyle name="_LCD_lightling_By Region" xfId="0"/>
    <cellStyle name="_LCD_MNT" xfId="0"/>
    <cellStyle name="_LCD_MNT 2" xfId="0"/>
    <cellStyle name="_LCD_MNT 3" xfId="0"/>
    <cellStyle name="_LCD_MNT 4" xfId="0"/>
    <cellStyle name="_LCD_MNT_By Region" xfId="0"/>
    <cellStyle name="_LCD_MNT_CORP SG&amp;A" xfId="0"/>
    <cellStyle name="_LCD_MNT_Digitizer" xfId="0"/>
    <cellStyle name="_LCD_MNT_GPS OTHER" xfId="0"/>
    <cellStyle name="_LCD_MNT_GPS OTHER 2" xfId="0"/>
    <cellStyle name="_LCD_MNT_GPS OTHER 3" xfId="0"/>
    <cellStyle name="_LCD_MNT_GPS OTHER 4" xfId="0"/>
    <cellStyle name="_LCD_MNT_GPS OTHER 4 2" xfId="0"/>
    <cellStyle name="_LCD_MNT_GPS OTHER_By Region" xfId="0"/>
    <cellStyle name="_LCD_MNT_GPS OTHER_CORP SG&amp;A" xfId="0"/>
    <cellStyle name="_LCD_MNT_GPS OTHER_LCD" xfId="0"/>
    <cellStyle name="_LCD_MNT_GPS OTHER_PJ" xfId="0"/>
    <cellStyle name="_LCD_MNT_LCD" xfId="0"/>
    <cellStyle name="_LCD_MNT_LCD 2" xfId="0"/>
    <cellStyle name="_LCD_MNT_LCD 3" xfId="0"/>
    <cellStyle name="_LCD_MNT_LCD 4" xfId="0"/>
    <cellStyle name="_LCD_MNT_LCD_By Region" xfId="0"/>
    <cellStyle name="_LCD_MNT_LCD_CORP SG&amp;A" xfId="0"/>
    <cellStyle name="_LCD_MNT_LCD_LCD" xfId="0"/>
    <cellStyle name="_LCD_MNT_LCD_PJ" xfId="0"/>
    <cellStyle name="_LCD_MNT_PC Products" xfId="0"/>
    <cellStyle name="_LCD_MNT_PC Products 2" xfId="0"/>
    <cellStyle name="_LCD_MNT_PC Products 3" xfId="0"/>
    <cellStyle name="_LCD_MNT_PC Products 4" xfId="0"/>
    <cellStyle name="_LCD_MNT_PC Products 4 2" xfId="0"/>
    <cellStyle name="_LCD_MNT_PC Products_By Region" xfId="0"/>
    <cellStyle name="_LCD_MNT_PC Products_CORP SG&amp;A" xfId="0"/>
    <cellStyle name="_LCD_MNT_PC Products_LCD" xfId="0"/>
    <cellStyle name="_LCD_MNT_PC Products_PJ" xfId="0"/>
    <cellStyle name="_LCD_MNT_VSA 111014" xfId="0"/>
    <cellStyle name="_LCD_MNT_VSA 111014 2" xfId="0"/>
    <cellStyle name="_LCD_MNT_VSA 111014 3" xfId="0"/>
    <cellStyle name="_LCD_MNT_VSA 111014 4" xfId="0"/>
    <cellStyle name="_LCD_MNT_VSA 111014 4 2" xfId="0"/>
    <cellStyle name="_LCD_MNT_VSA 111014_By Region" xfId="0"/>
    <cellStyle name="_LCD_MNT_VSA 111014_CORP SG&amp;A" xfId="0"/>
    <cellStyle name="_LCD_MNT_VSA 111014_LCD" xfId="0"/>
    <cellStyle name="_LCD_MNT_VSA 111014_PJ" xfId="0"/>
    <cellStyle name="_LCD_MNT_VSA Roll-Up (LW)" xfId="0"/>
    <cellStyle name="_LCD_MNT_VSA Roll-Up (LW) 2" xfId="0"/>
    <cellStyle name="_LCD_MNT_VSA Roll-Up (LW) 3" xfId="0"/>
    <cellStyle name="_LCD_MNT_VSA Roll-Up (LW) 4" xfId="0"/>
    <cellStyle name="_LCD_MNT_VSA Roll-Up (LW) 4 2" xfId="0"/>
    <cellStyle name="_LCD_MNT_VSA Roll-Up (LW)_By Region" xfId="0"/>
    <cellStyle name="_LCD_MNT_VSA Roll-Up (LW)_CORP SG&amp;A" xfId="0"/>
    <cellStyle name="_LCD_MNT_VSA Roll-Up (LW)_LCD" xfId="0"/>
    <cellStyle name="_LCD_MNT_VSA Roll-Up (LW)_PJ" xfId="0"/>
    <cellStyle name="_LCD_Other" xfId="0"/>
    <cellStyle name="_LCD_Other 2" xfId="0"/>
    <cellStyle name="_LCD_Other 3" xfId="0"/>
    <cellStyle name="_LCD_Other 4" xfId="0"/>
    <cellStyle name="_LCD_Other_By Region" xfId="0"/>
    <cellStyle name="_LCD_Other_CORP SG&amp;A" xfId="0"/>
    <cellStyle name="_LCD_Other_Digitizer" xfId="0"/>
    <cellStyle name="_LCD_Other_GPS OTHER" xfId="0"/>
    <cellStyle name="_LCD_Other_GPS OTHER 2" xfId="0"/>
    <cellStyle name="_LCD_Other_GPS OTHER 3" xfId="0"/>
    <cellStyle name="_LCD_Other_GPS OTHER 4" xfId="0"/>
    <cellStyle name="_LCD_Other_GPS OTHER 4 2" xfId="0"/>
    <cellStyle name="_LCD_Other_GPS OTHER_By Region" xfId="0"/>
    <cellStyle name="_LCD_Other_GPS OTHER_CORP SG&amp;A" xfId="0"/>
    <cellStyle name="_LCD_Other_GPS OTHER_LCD" xfId="0"/>
    <cellStyle name="_LCD_Other_GPS OTHER_PJ" xfId="0"/>
    <cellStyle name="_LCD_Other_LCD" xfId="0"/>
    <cellStyle name="_LCD_Other_LCD 2" xfId="0"/>
    <cellStyle name="_LCD_Other_LCD 3" xfId="0"/>
    <cellStyle name="_LCD_Other_LCD 4" xfId="0"/>
    <cellStyle name="_LCD_Other_LCD_By Region" xfId="0"/>
    <cellStyle name="_LCD_Other_LCD_CORP SG&amp;A" xfId="0"/>
    <cellStyle name="_LCD_Other_LCD_LCD" xfId="0"/>
    <cellStyle name="_LCD_Other_LCD_PJ" xfId="0"/>
    <cellStyle name="_LCD_Other_PC Products" xfId="0"/>
    <cellStyle name="_LCD_Other_PC Products 2" xfId="0"/>
    <cellStyle name="_LCD_Other_PC Products 3" xfId="0"/>
    <cellStyle name="_LCD_Other_PC Products 4" xfId="0"/>
    <cellStyle name="_LCD_Other_PC Products 4 2" xfId="0"/>
    <cellStyle name="_LCD_Other_PC Products_By Region" xfId="0"/>
    <cellStyle name="_LCD_Other_PC Products_CORP SG&amp;A" xfId="0"/>
    <cellStyle name="_LCD_Other_PC Products_LCD" xfId="0"/>
    <cellStyle name="_LCD_Other_PC Products_PJ" xfId="0"/>
    <cellStyle name="_LCD_Other_VSA 111014" xfId="0"/>
    <cellStyle name="_LCD_Other_VSA 111014 2" xfId="0"/>
    <cellStyle name="_LCD_Other_VSA 111014 3" xfId="0"/>
    <cellStyle name="_LCD_Other_VSA 111014 4" xfId="0"/>
    <cellStyle name="_LCD_Other_VSA 111014 4 2" xfId="0"/>
    <cellStyle name="_LCD_Other_VSA 111014_By Region" xfId="0"/>
    <cellStyle name="_LCD_Other_VSA 111014_CORP SG&amp;A" xfId="0"/>
    <cellStyle name="_LCD_Other_VSA 111014_LCD" xfId="0"/>
    <cellStyle name="_LCD_Other_VSA 111014_PJ" xfId="0"/>
    <cellStyle name="_LCD_Other_VSA Roll-Up (LW)" xfId="0"/>
    <cellStyle name="_LCD_Other_VSA Roll-Up (LW) 2" xfId="0"/>
    <cellStyle name="_LCD_Other_VSA Roll-Up (LW) 3" xfId="0"/>
    <cellStyle name="_LCD_Other_VSA Roll-Up (LW) 4" xfId="0"/>
    <cellStyle name="_LCD_Other_VSA Roll-Up (LW) 4 2" xfId="0"/>
    <cellStyle name="_LCD_Other_VSA Roll-Up (LW)_By Region" xfId="0"/>
    <cellStyle name="_LCD_Other_VSA Roll-Up (LW)_CORP SG&amp;A" xfId="0"/>
    <cellStyle name="_LCD_Other_VSA Roll-Up (LW)_LCD" xfId="0"/>
    <cellStyle name="_LCD_Other_VSA Roll-Up (LW)_PJ" xfId="0"/>
    <cellStyle name="_LCD_PC" xfId="0"/>
    <cellStyle name="_LCD_PC 2" xfId="0"/>
    <cellStyle name="_LCD_PC 3" xfId="0"/>
    <cellStyle name="_LCD_PC 4" xfId="0"/>
    <cellStyle name="_LCD_PC Products" xfId="0"/>
    <cellStyle name="_LCD_PC Products 2" xfId="0"/>
    <cellStyle name="_LCD_PC Products 3" xfId="0"/>
    <cellStyle name="_LCD_PC Products 4" xfId="0"/>
    <cellStyle name="_LCD_PC Products 4 2" xfId="0"/>
    <cellStyle name="_LCD_PC Products_By Region" xfId="0"/>
    <cellStyle name="_LCD_PC Products_CORP SG&amp;A" xfId="0"/>
    <cellStyle name="_LCD_PC Products_LCD" xfId="0"/>
    <cellStyle name="_LCD_PC Products_PJ" xfId="0"/>
    <cellStyle name="_LCD_PC_By Region" xfId="0"/>
    <cellStyle name="_LCD_PC_CORP SG&amp;A" xfId="0"/>
    <cellStyle name="_LCD_PC_Digitizer" xfId="0"/>
    <cellStyle name="_LCD_PC_DT" xfId="0"/>
    <cellStyle name="_LCD_PC_DT 2" xfId="0"/>
    <cellStyle name="_LCD_PC_DT 3" xfId="0"/>
    <cellStyle name="_LCD_PC_DT_By Region" xfId="0"/>
    <cellStyle name="_LCD_PC_GPS OTHER" xfId="0"/>
    <cellStyle name="_LCD_PC_GPS OTHER 2" xfId="0"/>
    <cellStyle name="_LCD_PC_GPS OTHER 3" xfId="0"/>
    <cellStyle name="_LCD_PC_GPS OTHER 4" xfId="0"/>
    <cellStyle name="_LCD_PC_GPS OTHER 4 2" xfId="0"/>
    <cellStyle name="_LCD_PC_GPS OTHER_By Region" xfId="0"/>
    <cellStyle name="_LCD_PC_GPS OTHER_CORP SG&amp;A" xfId="0"/>
    <cellStyle name="_LCD_PC_GPS OTHER_LCD" xfId="0"/>
    <cellStyle name="_LCD_PC_GPS OTHER_PJ" xfId="0"/>
    <cellStyle name="_LCD_PC_LCD" xfId="0"/>
    <cellStyle name="_LCD_PC_LCD 2" xfId="0"/>
    <cellStyle name="_LCD_PC_LCD 3" xfId="0"/>
    <cellStyle name="_LCD_PC_LCD 4" xfId="0"/>
    <cellStyle name="_LCD_PC_LCD_By Region" xfId="0"/>
    <cellStyle name="_LCD_PC_LCD_CORP SG&amp;A" xfId="0"/>
    <cellStyle name="_LCD_PC_LCD_LCD" xfId="0"/>
    <cellStyle name="_LCD_PC_LCD_PJ" xfId="0"/>
    <cellStyle name="_LCD_PC_PC Products" xfId="0"/>
    <cellStyle name="_LCD_PC_PC Products 2" xfId="0"/>
    <cellStyle name="_LCD_PC_PC Products 3" xfId="0"/>
    <cellStyle name="_LCD_PC_PC Products 4" xfId="0"/>
    <cellStyle name="_LCD_PC_PC Products 4 2" xfId="0"/>
    <cellStyle name="_LCD_PC_PC Products_By Region" xfId="0"/>
    <cellStyle name="_LCD_PC_PC Products_CORP SG&amp;A" xfId="0"/>
    <cellStyle name="_LCD_PC_PC Products_LCD" xfId="0"/>
    <cellStyle name="_LCD_PC_PC Products_PJ" xfId="0"/>
    <cellStyle name="_LCD_PC_TV" xfId="0"/>
    <cellStyle name="_LCD_PC_TV 2" xfId="0"/>
    <cellStyle name="_LCD_PC_TV 3" xfId="0"/>
    <cellStyle name="_LCD_PC_TV 4" xfId="0"/>
    <cellStyle name="_LCD_PC_TV_By Region" xfId="0"/>
    <cellStyle name="_LCD_PC_TV_CORP SG&amp;A" xfId="0"/>
    <cellStyle name="_LCD_PC_TV_Digitizer" xfId="0"/>
    <cellStyle name="_LCD_PC_TV_GPS OTHER" xfId="0"/>
    <cellStyle name="_LCD_PC_TV_GPS OTHER 2" xfId="0"/>
    <cellStyle name="_LCD_PC_TV_GPS OTHER 3" xfId="0"/>
    <cellStyle name="_LCD_PC_TV_GPS OTHER 4" xfId="0"/>
    <cellStyle name="_LCD_PC_TV_GPS OTHER 4 2" xfId="0"/>
    <cellStyle name="_LCD_PC_TV_GPS OTHER_By Region" xfId="0"/>
    <cellStyle name="_LCD_PC_TV_GPS OTHER_CORP SG&amp;A" xfId="0"/>
    <cellStyle name="_LCD_PC_TV_GPS OTHER_LCD" xfId="0"/>
    <cellStyle name="_LCD_PC_TV_GPS OTHER_PJ" xfId="0"/>
    <cellStyle name="_LCD_PC_TV_LCD" xfId="0"/>
    <cellStyle name="_LCD_PC_TV_LCD 2" xfId="0"/>
    <cellStyle name="_LCD_PC_TV_LCD 3" xfId="0"/>
    <cellStyle name="_LCD_PC_TV_LCD 4" xfId="0"/>
    <cellStyle name="_LCD_PC_TV_LCD_By Region" xfId="0"/>
    <cellStyle name="_LCD_PC_TV_LCD_CORP SG&amp;A" xfId="0"/>
    <cellStyle name="_LCD_PC_TV_LCD_LCD" xfId="0"/>
    <cellStyle name="_LCD_PC_TV_LCD_PJ" xfId="0"/>
    <cellStyle name="_LCD_PC_TV_PC Products" xfId="0"/>
    <cellStyle name="_LCD_PC_TV_PC Products 2" xfId="0"/>
    <cellStyle name="_LCD_PC_TV_PC Products 3" xfId="0"/>
    <cellStyle name="_LCD_PC_TV_PC Products 4" xfId="0"/>
    <cellStyle name="_LCD_PC_TV_PC Products 4 2" xfId="0"/>
    <cellStyle name="_LCD_PC_TV_PC Products_By Region" xfId="0"/>
    <cellStyle name="_LCD_PC_TV_PC Products_CORP SG&amp;A" xfId="0"/>
    <cellStyle name="_LCD_PC_TV_PC Products_LCD" xfId="0"/>
    <cellStyle name="_LCD_PC_TV_PC Products_PJ" xfId="0"/>
    <cellStyle name="_LCD_PC_TV_VSA 111014" xfId="0"/>
    <cellStyle name="_LCD_PC_TV_VSA 111014 2" xfId="0"/>
    <cellStyle name="_LCD_PC_TV_VSA 111014 3" xfId="0"/>
    <cellStyle name="_LCD_PC_TV_VSA 111014 4" xfId="0"/>
    <cellStyle name="_LCD_PC_TV_VSA 111014 4 2" xfId="0"/>
    <cellStyle name="_LCD_PC_TV_VSA 111014_By Region" xfId="0"/>
    <cellStyle name="_LCD_PC_TV_VSA 111014_CORP SG&amp;A" xfId="0"/>
    <cellStyle name="_LCD_PC_TV_VSA 111014_LCD" xfId="0"/>
    <cellStyle name="_LCD_PC_TV_VSA 111014_PJ" xfId="0"/>
    <cellStyle name="_LCD_PC_TV_VSA Roll-Up (LW)" xfId="0"/>
    <cellStyle name="_LCD_PC_TV_VSA Roll-Up (LW) 2" xfId="0"/>
    <cellStyle name="_LCD_PC_TV_VSA Roll-Up (LW) 3" xfId="0"/>
    <cellStyle name="_LCD_PC_TV_VSA Roll-Up (LW) 4" xfId="0"/>
    <cellStyle name="_LCD_PC_TV_VSA Roll-Up (LW) 4 2" xfId="0"/>
    <cellStyle name="_LCD_PC_TV_VSA Roll-Up (LW)_By Region" xfId="0"/>
    <cellStyle name="_LCD_PC_TV_VSA Roll-Up (LW)_CORP SG&amp;A" xfId="0"/>
    <cellStyle name="_LCD_PC_TV_VSA Roll-Up (LW)_LCD" xfId="0"/>
    <cellStyle name="_LCD_PC_TV_VSA Roll-Up (LW)_PJ" xfId="0"/>
    <cellStyle name="_LCD_PC_VSA 111014" xfId="0"/>
    <cellStyle name="_LCD_PC_VSA 111014 2" xfId="0"/>
    <cellStyle name="_LCD_PC_VSA 111014 3" xfId="0"/>
    <cellStyle name="_LCD_PC_VSA 111014 4" xfId="0"/>
    <cellStyle name="_LCD_PC_VSA 111014 4 2" xfId="0"/>
    <cellStyle name="_LCD_PC_VSA 111014_By Region" xfId="0"/>
    <cellStyle name="_LCD_PC_VSA 111014_CORP SG&amp;A" xfId="0"/>
    <cellStyle name="_LCD_PC_VSA 111014_LCD" xfId="0"/>
    <cellStyle name="_LCD_PC_VSA 111014_PJ" xfId="0"/>
    <cellStyle name="_LCD_PC_VSA Roll-Up (LW)" xfId="0"/>
    <cellStyle name="_LCD_PC_VSA Roll-Up (LW) 2" xfId="0"/>
    <cellStyle name="_LCD_PC_VSA Roll-Up (LW) 3" xfId="0"/>
    <cellStyle name="_LCD_PC_VSA Roll-Up (LW) 4" xfId="0"/>
    <cellStyle name="_LCD_PC_VSA Roll-Up (LW) 4 2" xfId="0"/>
    <cellStyle name="_LCD_PC_VSA Roll-Up (LW)_By Region" xfId="0"/>
    <cellStyle name="_LCD_PC_VSA Roll-Up (LW)_CORP SG&amp;A" xfId="0"/>
    <cellStyle name="_LCD_PC_VSA Roll-Up (LW)_LCD" xfId="0"/>
    <cellStyle name="_LCD_PC_VSA Roll-Up (LW)_PJ" xfId="0"/>
    <cellStyle name="_LCD_PJ" xfId="0"/>
    <cellStyle name="_LCD_PJ 2" xfId="0"/>
    <cellStyle name="_LCD_PJ 3" xfId="0"/>
    <cellStyle name="_LCD_PJ 4" xfId="0"/>
    <cellStyle name="_LCD_PJ_By Region" xfId="0"/>
    <cellStyle name="_LCD_PJ_CORP SG&amp;A" xfId="0"/>
    <cellStyle name="_LCD_PJ_Digitizer" xfId="0"/>
    <cellStyle name="_LCD_PJ_GPS OTHER" xfId="0"/>
    <cellStyle name="_LCD_PJ_GPS OTHER 2" xfId="0"/>
    <cellStyle name="_LCD_PJ_GPS OTHER 3" xfId="0"/>
    <cellStyle name="_LCD_PJ_GPS OTHER 4" xfId="0"/>
    <cellStyle name="_LCD_PJ_GPS OTHER 4 2" xfId="0"/>
    <cellStyle name="_LCD_PJ_GPS OTHER_By Region" xfId="0"/>
    <cellStyle name="_LCD_PJ_GPS OTHER_CORP SG&amp;A" xfId="0"/>
    <cellStyle name="_LCD_PJ_GPS OTHER_LCD" xfId="0"/>
    <cellStyle name="_LCD_PJ_GPS OTHER_PJ" xfId="0"/>
    <cellStyle name="_LCD_PJ_LCD" xfId="0"/>
    <cellStyle name="_LCD_PJ_LCD 2" xfId="0"/>
    <cellStyle name="_LCD_PJ_LCD 3" xfId="0"/>
    <cellStyle name="_LCD_PJ_LCD 4" xfId="0"/>
    <cellStyle name="_LCD_PJ_LCD_By Region" xfId="0"/>
    <cellStyle name="_LCD_PJ_LCD_CORP SG&amp;A" xfId="0"/>
    <cellStyle name="_LCD_PJ_LCD_LCD" xfId="0"/>
    <cellStyle name="_LCD_PJ_LCD_PJ" xfId="0"/>
    <cellStyle name="_LCD_PJ_PC Products" xfId="0"/>
    <cellStyle name="_LCD_PJ_PC Products 2" xfId="0"/>
    <cellStyle name="_LCD_PJ_PC Products 3" xfId="0"/>
    <cellStyle name="_LCD_PJ_PC Products 4" xfId="0"/>
    <cellStyle name="_LCD_PJ_PC Products 4 2" xfId="0"/>
    <cellStyle name="_LCD_PJ_PC Products_By Region" xfId="0"/>
    <cellStyle name="_LCD_PJ_PC Products_CORP SG&amp;A" xfId="0"/>
    <cellStyle name="_LCD_PJ_PC Products_LCD" xfId="0"/>
    <cellStyle name="_LCD_PJ_PC Products_PJ" xfId="0"/>
    <cellStyle name="_LCD_PJ_VSA 111014" xfId="0"/>
    <cellStyle name="_LCD_PJ_VSA 111014 2" xfId="0"/>
    <cellStyle name="_LCD_PJ_VSA 111014 3" xfId="0"/>
    <cellStyle name="_LCD_PJ_VSA 111014 4" xfId="0"/>
    <cellStyle name="_LCD_PJ_VSA 111014 4 2" xfId="0"/>
    <cellStyle name="_LCD_PJ_VSA 111014_By Region" xfId="0"/>
    <cellStyle name="_LCD_PJ_VSA 111014_CORP SG&amp;A" xfId="0"/>
    <cellStyle name="_LCD_PJ_VSA 111014_LCD" xfId="0"/>
    <cellStyle name="_LCD_PJ_VSA 111014_PJ" xfId="0"/>
    <cellStyle name="_LCD_PJ_VSA Roll-Up (LW)" xfId="0"/>
    <cellStyle name="_LCD_PJ_VSA Roll-Up (LW) 2" xfId="0"/>
    <cellStyle name="_LCD_PJ_VSA Roll-Up (LW) 3" xfId="0"/>
    <cellStyle name="_LCD_PJ_VSA Roll-Up (LW) 4" xfId="0"/>
    <cellStyle name="_LCD_PJ_VSA Roll-Up (LW) 4 2" xfId="0"/>
    <cellStyle name="_LCD_PJ_VSA Roll-Up (LW)_By Region" xfId="0"/>
    <cellStyle name="_LCD_PJ_VSA Roll-Up (LW)_CORP SG&amp;A" xfId="0"/>
    <cellStyle name="_LCD_PJ_VSA Roll-Up (LW)_LCD" xfId="0"/>
    <cellStyle name="_LCD_PJ_VSA Roll-Up (LW)_PJ" xfId="0"/>
    <cellStyle name="_LCD_PMP(VPD)" xfId="0"/>
    <cellStyle name="_LCD_PMP(VPD) 2" xfId="0"/>
    <cellStyle name="_LCD_PMP(VPD) 3" xfId="0"/>
    <cellStyle name="_LCD_PMP(VPD) 4" xfId="0"/>
    <cellStyle name="_LCD_PMP(VPD)_By Region" xfId="0"/>
    <cellStyle name="_LCD_PMP(VPD)_CORP SG&amp;A" xfId="0"/>
    <cellStyle name="_LCD_PMP(VPD)_Digitizer" xfId="0"/>
    <cellStyle name="_LCD_PMP(VPD)_GPS OTHER" xfId="0"/>
    <cellStyle name="_LCD_PMP(VPD)_GPS OTHER 2" xfId="0"/>
    <cellStyle name="_LCD_PMP(VPD)_GPS OTHER 3" xfId="0"/>
    <cellStyle name="_LCD_PMP(VPD)_GPS OTHER 4" xfId="0"/>
    <cellStyle name="_LCD_PMP(VPD)_GPS OTHER 4 2" xfId="0"/>
    <cellStyle name="_LCD_PMP(VPD)_GPS OTHER_By Region" xfId="0"/>
    <cellStyle name="_LCD_PMP(VPD)_GPS OTHER_CORP SG&amp;A" xfId="0"/>
    <cellStyle name="_LCD_PMP(VPD)_GPS OTHER_LCD" xfId="0"/>
    <cellStyle name="_LCD_PMP(VPD)_GPS OTHER_PJ" xfId="0"/>
    <cellStyle name="_LCD_PMP(VPD)_LCD" xfId="0"/>
    <cellStyle name="_LCD_PMP(VPD)_LCD 2" xfId="0"/>
    <cellStyle name="_LCD_PMP(VPD)_LCD 3" xfId="0"/>
    <cellStyle name="_LCD_PMP(VPD)_LCD 4" xfId="0"/>
    <cellStyle name="_LCD_PMP(VPD)_LCD_By Region" xfId="0"/>
    <cellStyle name="_LCD_PMP(VPD)_LCD_CORP SG&amp;A" xfId="0"/>
    <cellStyle name="_LCD_PMP(VPD)_LCD_LCD" xfId="0"/>
    <cellStyle name="_LCD_PMP(VPD)_LCD_PJ" xfId="0"/>
    <cellStyle name="_LCD_PMP(VPD)_PC Products" xfId="0"/>
    <cellStyle name="_LCD_PMP(VPD)_PC Products 2" xfId="0"/>
    <cellStyle name="_LCD_PMP(VPD)_PC Products 3" xfId="0"/>
    <cellStyle name="_LCD_PMP(VPD)_PC Products 4" xfId="0"/>
    <cellStyle name="_LCD_PMP(VPD)_PC Products 4 2" xfId="0"/>
    <cellStyle name="_LCD_PMP(VPD)_PC Products_By Region" xfId="0"/>
    <cellStyle name="_LCD_PMP(VPD)_PC Products_CORP SG&amp;A" xfId="0"/>
    <cellStyle name="_LCD_PMP(VPD)_PC Products_LCD" xfId="0"/>
    <cellStyle name="_LCD_PMP(VPD)_PC Products_PJ" xfId="0"/>
    <cellStyle name="_LCD_PMP(VPD)_VSA 111014" xfId="0"/>
    <cellStyle name="_LCD_PMP(VPD)_VSA 111014 2" xfId="0"/>
    <cellStyle name="_LCD_PMP(VPD)_VSA 111014 3" xfId="0"/>
    <cellStyle name="_LCD_PMP(VPD)_VSA 111014 4" xfId="0"/>
    <cellStyle name="_LCD_PMP(VPD)_VSA 111014 4 2" xfId="0"/>
    <cellStyle name="_LCD_PMP(VPD)_VSA 111014_By Region" xfId="0"/>
    <cellStyle name="_LCD_PMP(VPD)_VSA 111014_CORP SG&amp;A" xfId="0"/>
    <cellStyle name="_LCD_PMP(VPD)_VSA 111014_LCD" xfId="0"/>
    <cellStyle name="_LCD_PMP(VPD)_VSA 111014_PJ" xfId="0"/>
    <cellStyle name="_LCD_PMP(VPD)_VSA Roll-Up (LW)" xfId="0"/>
    <cellStyle name="_LCD_PMP(VPD)_VSA Roll-Up (LW) 2" xfId="0"/>
    <cellStyle name="_LCD_PMP(VPD)_VSA Roll-Up (LW) 3" xfId="0"/>
    <cellStyle name="_LCD_PMP(VPD)_VSA Roll-Up (LW) 4" xfId="0"/>
    <cellStyle name="_LCD_PMP(VPD)_VSA Roll-Up (LW) 4 2" xfId="0"/>
    <cellStyle name="_LCD_PMP(VPD)_VSA Roll-Up (LW)_By Region" xfId="0"/>
    <cellStyle name="_LCD_PMP(VPD)_VSA Roll-Up (LW)_CORP SG&amp;A" xfId="0"/>
    <cellStyle name="_LCD_PMP(VPD)_VSA Roll-Up (LW)_LCD" xfId="0"/>
    <cellStyle name="_LCD_PMP(VPD)_VSA Roll-Up (LW)_PJ" xfId="0"/>
    <cellStyle name="_LCD_Pocket TV" xfId="0"/>
    <cellStyle name="_LCD_Pocket TV 2" xfId="0"/>
    <cellStyle name="_LCD_Pocket TV 3" xfId="0"/>
    <cellStyle name="_LCD_Pocket TV 4" xfId="0"/>
    <cellStyle name="_LCD_Pocket TV_By Region" xfId="0"/>
    <cellStyle name="_LCD_Pocket TV_CORP SG&amp;A" xfId="0"/>
    <cellStyle name="_LCD_Pocket TV_Digitizer" xfId="0"/>
    <cellStyle name="_LCD_Pocket TV_GPS OTHER" xfId="0"/>
    <cellStyle name="_LCD_Pocket TV_GPS OTHER 2" xfId="0"/>
    <cellStyle name="_LCD_Pocket TV_GPS OTHER 3" xfId="0"/>
    <cellStyle name="_LCD_Pocket TV_GPS OTHER 4" xfId="0"/>
    <cellStyle name="_LCD_Pocket TV_GPS OTHER 4 2" xfId="0"/>
    <cellStyle name="_LCD_Pocket TV_GPS OTHER_By Region" xfId="0"/>
    <cellStyle name="_LCD_Pocket TV_GPS OTHER_CORP SG&amp;A" xfId="0"/>
    <cellStyle name="_LCD_Pocket TV_GPS OTHER_LCD" xfId="0"/>
    <cellStyle name="_LCD_Pocket TV_GPS OTHER_PJ" xfId="0"/>
    <cellStyle name="_LCD_Pocket TV_LCD" xfId="0"/>
    <cellStyle name="_LCD_Pocket TV_LCD 2" xfId="0"/>
    <cellStyle name="_LCD_Pocket TV_LCD 3" xfId="0"/>
    <cellStyle name="_LCD_Pocket TV_LCD 4" xfId="0"/>
    <cellStyle name="_LCD_Pocket TV_LCD_By Region" xfId="0"/>
    <cellStyle name="_LCD_Pocket TV_LCD_CORP SG&amp;A" xfId="0"/>
    <cellStyle name="_LCD_Pocket TV_LCD_LCD" xfId="0"/>
    <cellStyle name="_LCD_Pocket TV_LCD_PJ" xfId="0"/>
    <cellStyle name="_LCD_Pocket TV_PC Products" xfId="0"/>
    <cellStyle name="_LCD_Pocket TV_PC Products 2" xfId="0"/>
    <cellStyle name="_LCD_Pocket TV_PC Products 3" xfId="0"/>
    <cellStyle name="_LCD_Pocket TV_PC Products 4" xfId="0"/>
    <cellStyle name="_LCD_Pocket TV_PC Products 4 2" xfId="0"/>
    <cellStyle name="_LCD_Pocket TV_PC Products_By Region" xfId="0"/>
    <cellStyle name="_LCD_Pocket TV_PC Products_CORP SG&amp;A" xfId="0"/>
    <cellStyle name="_LCD_Pocket TV_PC Products_LCD" xfId="0"/>
    <cellStyle name="_LCD_Pocket TV_PC Products_PJ" xfId="0"/>
    <cellStyle name="_LCD_Pocket TV_VSA 111014" xfId="0"/>
    <cellStyle name="_LCD_Pocket TV_VSA 111014 2" xfId="0"/>
    <cellStyle name="_LCD_Pocket TV_VSA 111014 3" xfId="0"/>
    <cellStyle name="_LCD_Pocket TV_VSA 111014 4" xfId="0"/>
    <cellStyle name="_LCD_Pocket TV_VSA 111014 4 2" xfId="0"/>
    <cellStyle name="_LCD_Pocket TV_VSA 111014_By Region" xfId="0"/>
    <cellStyle name="_LCD_Pocket TV_VSA 111014_CORP SG&amp;A" xfId="0"/>
    <cellStyle name="_LCD_Pocket TV_VSA 111014_LCD" xfId="0"/>
    <cellStyle name="_LCD_Pocket TV_VSA 111014_PJ" xfId="0"/>
    <cellStyle name="_LCD_Pocket TV_VSA Roll-Up (LW)" xfId="0"/>
    <cellStyle name="_LCD_Pocket TV_VSA Roll-Up (LW) 2" xfId="0"/>
    <cellStyle name="_LCD_Pocket TV_VSA Roll-Up (LW) 3" xfId="0"/>
    <cellStyle name="_LCD_Pocket TV_VSA Roll-Up (LW) 4" xfId="0"/>
    <cellStyle name="_LCD_Pocket TV_VSA Roll-Up (LW) 4 2" xfId="0"/>
    <cellStyle name="_LCD_Pocket TV_VSA Roll-Up (LW)_By Region" xfId="0"/>
    <cellStyle name="_LCD_Pocket TV_VSA Roll-Up (LW)_CORP SG&amp;A" xfId="0"/>
    <cellStyle name="_LCD_Pocket TV_VSA Roll-Up (LW)_LCD" xfId="0"/>
    <cellStyle name="_LCD_Pocket TV_VSA Roll-Up (LW)_PJ" xfId="0"/>
    <cellStyle name="_LCD_Pocket_TV" xfId="0"/>
    <cellStyle name="_LCD_Pocket_TV 2" xfId="0"/>
    <cellStyle name="_LCD_Pocket_TV 3" xfId="0"/>
    <cellStyle name="_LCD_Pocket_TV 4" xfId="0"/>
    <cellStyle name="_LCD_Pocket_TV_By Region" xfId="0"/>
    <cellStyle name="_LCD_Pocket_TV_CORP SG&amp;A" xfId="0"/>
    <cellStyle name="_LCD_Pocket_TV_Digitizer" xfId="0"/>
    <cellStyle name="_LCD_Pocket_TV_GPS OTHER" xfId="0"/>
    <cellStyle name="_LCD_Pocket_TV_GPS OTHER 2" xfId="0"/>
    <cellStyle name="_LCD_Pocket_TV_GPS OTHER 3" xfId="0"/>
    <cellStyle name="_LCD_Pocket_TV_GPS OTHER 4" xfId="0"/>
    <cellStyle name="_LCD_Pocket_TV_GPS OTHER 4 2" xfId="0"/>
    <cellStyle name="_LCD_Pocket_TV_GPS OTHER_By Region" xfId="0"/>
    <cellStyle name="_LCD_Pocket_TV_GPS OTHER_CORP SG&amp;A" xfId="0"/>
    <cellStyle name="_LCD_Pocket_TV_GPS OTHER_LCD" xfId="0"/>
    <cellStyle name="_LCD_Pocket_TV_GPS OTHER_PJ" xfId="0"/>
    <cellStyle name="_LCD_Pocket_TV_LCD" xfId="0"/>
    <cellStyle name="_LCD_Pocket_TV_LCD 2" xfId="0"/>
    <cellStyle name="_LCD_Pocket_TV_LCD 3" xfId="0"/>
    <cellStyle name="_LCD_Pocket_TV_LCD 4" xfId="0"/>
    <cellStyle name="_LCD_Pocket_TV_LCD_By Region" xfId="0"/>
    <cellStyle name="_LCD_Pocket_TV_LCD_CORP SG&amp;A" xfId="0"/>
    <cellStyle name="_LCD_Pocket_TV_LCD_LCD" xfId="0"/>
    <cellStyle name="_LCD_Pocket_TV_LCD_PJ" xfId="0"/>
    <cellStyle name="_LCD_Pocket_TV_PC Products" xfId="0"/>
    <cellStyle name="_LCD_Pocket_TV_PC Products 2" xfId="0"/>
    <cellStyle name="_LCD_Pocket_TV_PC Products 3" xfId="0"/>
    <cellStyle name="_LCD_Pocket_TV_PC Products 4" xfId="0"/>
    <cellStyle name="_LCD_Pocket_TV_PC Products 4 2" xfId="0"/>
    <cellStyle name="_LCD_Pocket_TV_PC Products_By Region" xfId="0"/>
    <cellStyle name="_LCD_Pocket_TV_PC Products_CORP SG&amp;A" xfId="0"/>
    <cellStyle name="_LCD_Pocket_TV_PC Products_LCD" xfId="0"/>
    <cellStyle name="_LCD_Pocket_TV_PC Products_PJ" xfId="0"/>
    <cellStyle name="_LCD_Pocket_TV_VSA 111014" xfId="0"/>
    <cellStyle name="_LCD_Pocket_TV_VSA 111014 2" xfId="0"/>
    <cellStyle name="_LCD_Pocket_TV_VSA 111014 3" xfId="0"/>
    <cellStyle name="_LCD_Pocket_TV_VSA 111014 4" xfId="0"/>
    <cellStyle name="_LCD_Pocket_TV_VSA 111014 4 2" xfId="0"/>
    <cellStyle name="_LCD_Pocket_TV_VSA 111014_By Region" xfId="0"/>
    <cellStyle name="_LCD_Pocket_TV_VSA 111014_CORP SG&amp;A" xfId="0"/>
    <cellStyle name="_LCD_Pocket_TV_VSA 111014_LCD" xfId="0"/>
    <cellStyle name="_LCD_Pocket_TV_VSA 111014_PJ" xfId="0"/>
    <cellStyle name="_LCD_Pocket_TV_VSA Roll-Up (LW)" xfId="0"/>
    <cellStyle name="_LCD_Pocket_TV_VSA Roll-Up (LW) 2" xfId="0"/>
    <cellStyle name="_LCD_Pocket_TV_VSA Roll-Up (LW) 3" xfId="0"/>
    <cellStyle name="_LCD_Pocket_TV_VSA Roll-Up (LW) 4" xfId="0"/>
    <cellStyle name="_LCD_Pocket_TV_VSA Roll-Up (LW) 4 2" xfId="0"/>
    <cellStyle name="_LCD_Pocket_TV_VSA Roll-Up (LW)_By Region" xfId="0"/>
    <cellStyle name="_LCD_Pocket_TV_VSA Roll-Up (LW)_CORP SG&amp;A" xfId="0"/>
    <cellStyle name="_LCD_Pocket_TV_VSA Roll-Up (LW)_LCD" xfId="0"/>
    <cellStyle name="_LCD_Pocket_TV_VSA Roll-Up (LW)_PJ" xfId="0"/>
    <cellStyle name="_LCD_TV" xfId="0"/>
    <cellStyle name="_LCD_TV 2" xfId="0"/>
    <cellStyle name="_LCD_TV 3" xfId="0"/>
    <cellStyle name="_LCD_TV 4" xfId="0"/>
    <cellStyle name="_LCD_TV_By Region" xfId="0"/>
    <cellStyle name="_LCD_TV_CORP SG&amp;A" xfId="0"/>
    <cellStyle name="_LCD_TV_Digitizer" xfId="0"/>
    <cellStyle name="_LCD_TV_GPS OTHER" xfId="0"/>
    <cellStyle name="_LCD_TV_GPS OTHER 2" xfId="0"/>
    <cellStyle name="_LCD_TV_GPS OTHER 3" xfId="0"/>
    <cellStyle name="_LCD_TV_GPS OTHER 4" xfId="0"/>
    <cellStyle name="_LCD_TV_GPS OTHER 4 2" xfId="0"/>
    <cellStyle name="_LCD_TV_GPS OTHER_By Region" xfId="0"/>
    <cellStyle name="_LCD_TV_GPS OTHER_CORP SG&amp;A" xfId="0"/>
    <cellStyle name="_LCD_TV_GPS OTHER_LCD" xfId="0"/>
    <cellStyle name="_LCD_TV_GPS OTHER_PJ" xfId="0"/>
    <cellStyle name="_LCD_TV_LCD" xfId="0"/>
    <cellStyle name="_LCD_TV_LCD 2" xfId="0"/>
    <cellStyle name="_LCD_TV_LCD 3" xfId="0"/>
    <cellStyle name="_LCD_TV_LCD 4" xfId="0"/>
    <cellStyle name="_LCD_TV_LCD_By Region" xfId="0"/>
    <cellStyle name="_LCD_TV_LCD_CORP SG&amp;A" xfId="0"/>
    <cellStyle name="_LCD_TV_LCD_LCD" xfId="0"/>
    <cellStyle name="_LCD_TV_LCD_PJ" xfId="0"/>
    <cellStyle name="_LCD_TV_PC Products" xfId="0"/>
    <cellStyle name="_LCD_TV_PC Products 2" xfId="0"/>
    <cellStyle name="_LCD_TV_PC Products 3" xfId="0"/>
    <cellStyle name="_LCD_TV_PC Products 4" xfId="0"/>
    <cellStyle name="_LCD_TV_PC Products 4 2" xfId="0"/>
    <cellStyle name="_LCD_TV_PC Products_By Region" xfId="0"/>
    <cellStyle name="_LCD_TV_PC Products_CORP SG&amp;A" xfId="0"/>
    <cellStyle name="_LCD_TV_PC Products_LCD" xfId="0"/>
    <cellStyle name="_LCD_TV_PC Products_PJ" xfId="0"/>
    <cellStyle name="_LCD_TV_VSA 111014" xfId="0"/>
    <cellStyle name="_LCD_TV_VSA 111014 2" xfId="0"/>
    <cellStyle name="_LCD_TV_VSA 111014 3" xfId="0"/>
    <cellStyle name="_LCD_TV_VSA 111014 4" xfId="0"/>
    <cellStyle name="_LCD_TV_VSA 111014 4 2" xfId="0"/>
    <cellStyle name="_LCD_TV_VSA 111014_By Region" xfId="0"/>
    <cellStyle name="_LCD_TV_VSA 111014_CORP SG&amp;A" xfId="0"/>
    <cellStyle name="_LCD_TV_VSA 111014_LCD" xfId="0"/>
    <cellStyle name="_LCD_TV_VSA 111014_PJ" xfId="0"/>
    <cellStyle name="_LCD_TV_VSA Roll-Up (LW)" xfId="0"/>
    <cellStyle name="_LCD_TV_VSA Roll-Up (LW) 2" xfId="0"/>
    <cellStyle name="_LCD_TV_VSA Roll-Up (LW) 3" xfId="0"/>
    <cellStyle name="_LCD_TV_VSA Roll-Up (LW) 4" xfId="0"/>
    <cellStyle name="_LCD_TV_VSA Roll-Up (LW) 4 2" xfId="0"/>
    <cellStyle name="_LCD_TV_VSA Roll-Up (LW)_By Region" xfId="0"/>
    <cellStyle name="_LCD_TV_VSA Roll-Up (LW)_CORP SG&amp;A" xfId="0"/>
    <cellStyle name="_LCD_TV_VSA Roll-Up (LW)_LCD" xfId="0"/>
    <cellStyle name="_LCD_TV_VSA Roll-Up (LW)_PJ" xfId="0"/>
    <cellStyle name="_LCD_VD" xfId="0"/>
    <cellStyle name="_LCD_VD 2" xfId="0"/>
    <cellStyle name="_LCD_VD 3" xfId="0"/>
    <cellStyle name="_LCD_VD 4" xfId="0"/>
    <cellStyle name="_LCD_VD_By Region" xfId="0"/>
    <cellStyle name="_LCD_VD_CORP SG&amp;A" xfId="0"/>
    <cellStyle name="_LCD_VD_Digitizer" xfId="0"/>
    <cellStyle name="_LCD_VD_GPS OTHER" xfId="0"/>
    <cellStyle name="_LCD_VD_GPS OTHER 2" xfId="0"/>
    <cellStyle name="_LCD_VD_GPS OTHER 3" xfId="0"/>
    <cellStyle name="_LCD_VD_GPS OTHER 4" xfId="0"/>
    <cellStyle name="_LCD_VD_GPS OTHER 4 2" xfId="0"/>
    <cellStyle name="_LCD_VD_GPS OTHER_By Region" xfId="0"/>
    <cellStyle name="_LCD_VD_GPS OTHER_CORP SG&amp;A" xfId="0"/>
    <cellStyle name="_LCD_VD_GPS OTHER_LCD" xfId="0"/>
    <cellStyle name="_LCD_VD_GPS OTHER_PJ" xfId="0"/>
    <cellStyle name="_LCD_VD_LCD" xfId="0"/>
    <cellStyle name="_LCD_VD_LCD 2" xfId="0"/>
    <cellStyle name="_LCD_VD_LCD 3" xfId="0"/>
    <cellStyle name="_LCD_VD_LCD 4" xfId="0"/>
    <cellStyle name="_LCD_VD_LCD_By Region" xfId="0"/>
    <cellStyle name="_LCD_VD_LCD_CORP SG&amp;A" xfId="0"/>
    <cellStyle name="_LCD_VD_LCD_LCD" xfId="0"/>
    <cellStyle name="_LCD_VD_LCD_PJ" xfId="0"/>
    <cellStyle name="_LCD_VD_PC Products" xfId="0"/>
    <cellStyle name="_LCD_VD_PC Products 2" xfId="0"/>
    <cellStyle name="_LCD_VD_PC Products 3" xfId="0"/>
    <cellStyle name="_LCD_VD_PC Products 4" xfId="0"/>
    <cellStyle name="_LCD_VD_PC Products 4 2" xfId="0"/>
    <cellStyle name="_LCD_VD_PC Products_By Region" xfId="0"/>
    <cellStyle name="_LCD_VD_PC Products_CORP SG&amp;A" xfId="0"/>
    <cellStyle name="_LCD_VD_PC Products_LCD" xfId="0"/>
    <cellStyle name="_LCD_VD_PC Products_PJ" xfId="0"/>
    <cellStyle name="_LCD_VD_VSA 111014" xfId="0"/>
    <cellStyle name="_LCD_VD_VSA 111014 2" xfId="0"/>
    <cellStyle name="_LCD_VD_VSA 111014 3" xfId="0"/>
    <cellStyle name="_LCD_VD_VSA 111014 4" xfId="0"/>
    <cellStyle name="_LCD_VD_VSA 111014 4 2" xfId="0"/>
    <cellStyle name="_LCD_VD_VSA 111014_By Region" xfId="0"/>
    <cellStyle name="_LCD_VD_VSA 111014_CORP SG&amp;A" xfId="0"/>
    <cellStyle name="_LCD_VD_VSA 111014_LCD" xfId="0"/>
    <cellStyle name="_LCD_VD_VSA 111014_PJ" xfId="0"/>
    <cellStyle name="_LCD_VD_VSA Roll-Up (LW)" xfId="0"/>
    <cellStyle name="_LCD_VD_VSA Roll-Up (LW) 2" xfId="0"/>
    <cellStyle name="_LCD_VD_VSA Roll-Up (LW) 3" xfId="0"/>
    <cellStyle name="_LCD_VD_VSA Roll-Up (LW) 4" xfId="0"/>
    <cellStyle name="_LCD_VD_VSA Roll-Up (LW) 4 2" xfId="0"/>
    <cellStyle name="_LCD_VD_VSA Roll-Up (LW)_By Region" xfId="0"/>
    <cellStyle name="_LCD_VD_VSA Roll-Up (LW)_CORP SG&amp;A" xfId="0"/>
    <cellStyle name="_LCD_VD_VSA Roll-Up (LW)_LCD" xfId="0"/>
    <cellStyle name="_LCD_VD_VSA Roll-Up (LW)_PJ" xfId="0"/>
    <cellStyle name="_LCD_VSA 111014" xfId="0"/>
    <cellStyle name="_LCD_VSA 111014 2" xfId="0"/>
    <cellStyle name="_LCD_VSA 111014 3" xfId="0"/>
    <cellStyle name="_LCD_VSA 111014 4" xfId="0"/>
    <cellStyle name="_LCD_VSA 111014 4 2" xfId="0"/>
    <cellStyle name="_LCD_VSA 111014_By Region" xfId="0"/>
    <cellStyle name="_LCD_VSA 111014_CORP SG&amp;A" xfId="0"/>
    <cellStyle name="_LCD_VSA 111014_LCD" xfId="0"/>
    <cellStyle name="_LCD_VSA 111014_PJ" xfId="0"/>
    <cellStyle name="_LCD_VSA Roll-Up (LW)" xfId="0"/>
    <cellStyle name="_LCD_VSA Roll-Up (LW) 2" xfId="0"/>
    <cellStyle name="_LCD_VSA Roll-Up (LW) 3" xfId="0"/>
    <cellStyle name="_LCD_VSA Roll-Up (LW) 4" xfId="0"/>
    <cellStyle name="_LCD_VSA Roll-Up (LW) 4 2" xfId="0"/>
    <cellStyle name="_LCD_VSA Roll-Up (LW)_By Region" xfId="0"/>
    <cellStyle name="_LCD_VSA Roll-Up (LW)_CORP SG&amp;A" xfId="0"/>
    <cellStyle name="_LCD_VSA Roll-Up (LW)_LCD" xfId="0"/>
    <cellStyle name="_LCD_VSA Roll-Up (LW)_PJ" xfId="0"/>
    <cellStyle name="_LCD_VSE 2011 Budget" xfId="0"/>
    <cellStyle name="_LCD_VSE 2011 Budget 2" xfId="0"/>
    <cellStyle name="_LCD_VSE 2011 Budget 3" xfId="0"/>
    <cellStyle name="_LCD_VSE 2011 Budget 4" xfId="0"/>
    <cellStyle name="_LCD_VSE 2011 Budget_By Region" xfId="0"/>
    <cellStyle name="_LCD_VSE 2011 Budget_CORP SG&amp;A" xfId="0"/>
    <cellStyle name="_LCD_VSE 2011 Budget_Digitizer" xfId="0"/>
    <cellStyle name="_LCD_VSE 2011 Budget_GPS OTHER" xfId="0"/>
    <cellStyle name="_LCD_VSE 2011 Budget_GPS OTHER 2" xfId="0"/>
    <cellStyle name="_LCD_VSE 2011 Budget_GPS OTHER 3" xfId="0"/>
    <cellStyle name="_LCD_VSE 2011 Budget_GPS OTHER 4" xfId="0"/>
    <cellStyle name="_LCD_VSE 2011 Budget_GPS OTHER 4 2" xfId="0"/>
    <cellStyle name="_LCD_VSE 2011 Budget_GPS OTHER_By Region" xfId="0"/>
    <cellStyle name="_LCD_VSE 2011 Budget_GPS OTHER_CORP SG&amp;A" xfId="0"/>
    <cellStyle name="_LCD_VSE 2011 Budget_GPS OTHER_LCD" xfId="0"/>
    <cellStyle name="_LCD_VSE 2011 Budget_GPS OTHER_PJ" xfId="0"/>
    <cellStyle name="_LCD_VSE 2011 Budget_LCD" xfId="0"/>
    <cellStyle name="_LCD_VSE 2011 Budget_LCD 2" xfId="0"/>
    <cellStyle name="_LCD_VSE 2011 Budget_LCD 3" xfId="0"/>
    <cellStyle name="_LCD_VSE 2011 Budget_LCD 4" xfId="0"/>
    <cellStyle name="_LCD_VSE 2011 Budget_LCD_By Region" xfId="0"/>
    <cellStyle name="_LCD_VSE 2011 Budget_LCD_CORP SG&amp;A" xfId="0"/>
    <cellStyle name="_LCD_VSE 2011 Budget_LCD_LCD" xfId="0"/>
    <cellStyle name="_LCD_VSE 2011 Budget_LCD_PJ" xfId="0"/>
    <cellStyle name="_LCD_VSE 2011 Budget_PC Products" xfId="0"/>
    <cellStyle name="_LCD_VSE 2011 Budget_PC Products 2" xfId="0"/>
    <cellStyle name="_LCD_VSE 2011 Budget_PC Products 3" xfId="0"/>
    <cellStyle name="_LCD_VSE 2011 Budget_PC Products 4" xfId="0"/>
    <cellStyle name="_LCD_VSE 2011 Budget_PC Products 4 2" xfId="0"/>
    <cellStyle name="_LCD_VSE 2011 Budget_PC Products_By Region" xfId="0"/>
    <cellStyle name="_LCD_VSE 2011 Budget_PC Products_CORP SG&amp;A" xfId="0"/>
    <cellStyle name="_LCD_VSE 2011 Budget_PC Products_LCD" xfId="0"/>
    <cellStyle name="_LCD_VSE 2011 Budget_PC Products_PJ" xfId="0"/>
    <cellStyle name="_LCD_VSE 2011 Budget_VSA 111014" xfId="0"/>
    <cellStyle name="_LCD_VSE 2011 Budget_VSA 111014 2" xfId="0"/>
    <cellStyle name="_LCD_VSE 2011 Budget_VSA 111014 3" xfId="0"/>
    <cellStyle name="_LCD_VSE 2011 Budget_VSA 111014 4" xfId="0"/>
    <cellStyle name="_LCD_VSE 2011 Budget_VSA 111014 4 2" xfId="0"/>
    <cellStyle name="_LCD_VSE 2011 Budget_VSA 111014_By Region" xfId="0"/>
    <cellStyle name="_LCD_VSE 2011 Budget_VSA 111014_CORP SG&amp;A" xfId="0"/>
    <cellStyle name="_LCD_VSE 2011 Budget_VSA 111014_LCD" xfId="0"/>
    <cellStyle name="_LCD_VSE 2011 Budget_VSA 111014_PJ" xfId="0"/>
    <cellStyle name="_LCD_VSE 2011 Budget_VSA Roll-Up (LW)" xfId="0"/>
    <cellStyle name="_LCD_VSE 2011 Budget_VSA Roll-Up (LW) 2" xfId="0"/>
    <cellStyle name="_LCD_VSE 2011 Budget_VSA Roll-Up (LW) 3" xfId="0"/>
    <cellStyle name="_LCD_VSE 2011 Budget_VSA Roll-Up (LW) 4" xfId="0"/>
    <cellStyle name="_LCD_VSE 2011 Budget_VSA Roll-Up (LW) 4 2" xfId="0"/>
    <cellStyle name="_LCD_VSE 2011 Budget_VSA Roll-Up (LW)_By Region" xfId="0"/>
    <cellStyle name="_LCD_VSE 2011 Budget_VSA Roll-Up (LW)_CORP SG&amp;A" xfId="0"/>
    <cellStyle name="_LCD_VSE 2011 Budget_VSA Roll-Up (LW)_LCD" xfId="0"/>
    <cellStyle name="_LCD_VSE 2011 Budget_VSA Roll-Up (LW)_PJ" xfId="0"/>
    <cellStyle name="_LCD_VSE 2H  WFP review (Spring Global meeting)-conservative Adam working v3" xfId="0"/>
    <cellStyle name="_LCD_VSE 2H  WFP review (Spring Global meeting)-conservative Adam working v3 2" xfId="0"/>
    <cellStyle name="_LCD_VSE 2H  WFP review (Spring Global meeting)-conservative Adam working v3 3" xfId="0"/>
    <cellStyle name="_LCD_VSE 2H Rebalance 110712" xfId="0"/>
    <cellStyle name="_LCD_VSE 2H Rebalance 110712 2" xfId="0"/>
    <cellStyle name="_LCD_VSE 2H Rebalance 110712 3" xfId="0"/>
    <cellStyle name="_LCD_VSE 2H Rebalance 110712 4" xfId="0"/>
    <cellStyle name="_LCD_VSE 2H Rebalance 110712_By Region" xfId="0"/>
    <cellStyle name="_LCD_VSE 2H Rebalance 110712_CORP SG&amp;A" xfId="0"/>
    <cellStyle name="_LCD_VSE WFP 101203" xfId="0"/>
    <cellStyle name="_LCD_VSE WFP 101203 2" xfId="0"/>
    <cellStyle name="_LCD_VSE WFP 101203 3" xfId="0"/>
    <cellStyle name="_LCD_VSE WFP 101203 4" xfId="0"/>
    <cellStyle name="_LCD_VSE WFP 101203_By Region" xfId="0"/>
    <cellStyle name="_LCD_VSE WFP 101203_CORP SG&amp;A" xfId="0"/>
    <cellStyle name="_LCD_VSE WFP 110311" xfId="0"/>
    <cellStyle name="_LCD_VSE WFP 110311 2" xfId="0"/>
    <cellStyle name="_LCD_VSE WFP 110311 3" xfId="0"/>
    <cellStyle name="_LCD_VSE WFP 110311 4" xfId="0"/>
    <cellStyle name="_LCD_VSE WFP 110311_By Region" xfId="0"/>
    <cellStyle name="_LCD_VSE WFP 110311_CORP SG&amp;A" xfId="0"/>
    <cellStyle name="_LCD_VSE WFP 110415" xfId="0"/>
    <cellStyle name="_LCD_VSE WFP 110415 2" xfId="0"/>
    <cellStyle name="_LCD_VSE WFP 110415 3" xfId="0"/>
    <cellStyle name="_LCD_VSE WFP 110415 4" xfId="0"/>
    <cellStyle name="_LCD_VSE WFP 110415_By Region" xfId="0"/>
    <cellStyle name="_LCD_VSE WFP 110415_CORP SG&amp;A" xfId="0"/>
    <cellStyle name="_LCD_VSE WFP_100409" xfId="0"/>
    <cellStyle name="_LCD_VSE WFP_100409 2" xfId="0"/>
    <cellStyle name="_LCD_VSE WFP_100409 3" xfId="0"/>
    <cellStyle name="_LCD_VSE WFP_100409 4" xfId="0"/>
    <cellStyle name="_LCD_VSE WFP_100409_By Region" xfId="0"/>
    <cellStyle name="_LCD_VSE WFP_100409_CORP SG&amp;A" xfId="0"/>
    <cellStyle name="_LCD_VSE WFP_100409_Digitizer" xfId="0"/>
    <cellStyle name="_LCD_VSE WFP_100409_GPS OTHER" xfId="0"/>
    <cellStyle name="_LCD_VSE WFP_100409_GPS OTHER 2" xfId="0"/>
    <cellStyle name="_LCD_VSE WFP_100409_GPS OTHER 3" xfId="0"/>
    <cellStyle name="_LCD_VSE WFP_100409_GPS OTHER 4" xfId="0"/>
    <cellStyle name="_LCD_VSE WFP_100409_GPS OTHER 4 2" xfId="0"/>
    <cellStyle name="_LCD_VSE WFP_100409_GPS OTHER_By Region" xfId="0"/>
    <cellStyle name="_LCD_VSE WFP_100409_GPS OTHER_CORP SG&amp;A" xfId="0"/>
    <cellStyle name="_LCD_VSE WFP_100409_GPS OTHER_LCD" xfId="0"/>
    <cellStyle name="_LCD_VSE WFP_100409_GPS OTHER_PJ" xfId="0"/>
    <cellStyle name="_LCD_VSE WFP_100409_LCD" xfId="0"/>
    <cellStyle name="_LCD_VSE WFP_100409_LCD 2" xfId="0"/>
    <cellStyle name="_LCD_VSE WFP_100409_LCD 3" xfId="0"/>
    <cellStyle name="_LCD_VSE WFP_100409_LCD 4" xfId="0"/>
    <cellStyle name="_LCD_VSE WFP_100409_LCD_By Region" xfId="0"/>
    <cellStyle name="_LCD_VSE WFP_100409_LCD_CORP SG&amp;A" xfId="0"/>
    <cellStyle name="_LCD_VSE WFP_100409_LCD_LCD" xfId="0"/>
    <cellStyle name="_LCD_VSE WFP_100409_LCD_PJ" xfId="0"/>
    <cellStyle name="_LCD_VSE WFP_100409_PC Products" xfId="0"/>
    <cellStyle name="_LCD_VSE WFP_100409_PC Products 2" xfId="0"/>
    <cellStyle name="_LCD_VSE WFP_100409_PC Products 3" xfId="0"/>
    <cellStyle name="_LCD_VSE WFP_100409_PC Products 4" xfId="0"/>
    <cellStyle name="_LCD_VSE WFP_100409_PC Products 4 2" xfId="0"/>
    <cellStyle name="_LCD_VSE WFP_100409_PC Products_By Region" xfId="0"/>
    <cellStyle name="_LCD_VSE WFP_100409_PC Products_CORP SG&amp;A" xfId="0"/>
    <cellStyle name="_LCD_VSE WFP_100409_PC Products_LCD" xfId="0"/>
    <cellStyle name="_LCD_VSE WFP_100409_PC Products_PJ" xfId="0"/>
    <cellStyle name="_LCD_VSE WFP_100409_VSA 111014" xfId="0"/>
    <cellStyle name="_LCD_VSE WFP_100409_VSA 111014 2" xfId="0"/>
    <cellStyle name="_LCD_VSE WFP_100409_VSA 111014 3" xfId="0"/>
    <cellStyle name="_LCD_VSE WFP_100409_VSA 111014 4" xfId="0"/>
    <cellStyle name="_LCD_VSE WFP_100409_VSA 111014 4 2" xfId="0"/>
    <cellStyle name="_LCD_VSE WFP_100409_VSA 111014_By Region" xfId="0"/>
    <cellStyle name="_LCD_VSE WFP_100409_VSA 111014_CORP SG&amp;A" xfId="0"/>
    <cellStyle name="_LCD_VSE WFP_100409_VSA 111014_LCD" xfId="0"/>
    <cellStyle name="_LCD_VSE WFP_100409_VSA 111014_PJ" xfId="0"/>
    <cellStyle name="_LCD_VSE WFP_100409_VSA Roll-Up (LW)" xfId="0"/>
    <cellStyle name="_LCD_VSE WFP_100409_VSA Roll-Up (LW) 2" xfId="0"/>
    <cellStyle name="_LCD_VSE WFP_100409_VSA Roll-Up (LW) 3" xfId="0"/>
    <cellStyle name="_LCD_VSE WFP_100409_VSA Roll-Up (LW) 4" xfId="0"/>
    <cellStyle name="_LCD_VSE WFP_100409_VSA Roll-Up (LW) 4 2" xfId="0"/>
    <cellStyle name="_LCD_VSE WFP_100409_VSA Roll-Up (LW)_By Region" xfId="0"/>
    <cellStyle name="_LCD_VSE WFP_100409_VSA Roll-Up (LW)_CORP SG&amp;A" xfId="0"/>
    <cellStyle name="_LCD_VSE WFP_100409_VSA Roll-Up (LW)_LCD" xfId="0"/>
    <cellStyle name="_LCD_VSE WFP_100409_VSA Roll-Up (LW)_PJ" xfId="0"/>
    <cellStyle name="_LCD_VSE WFP_100421 v2" xfId="0"/>
    <cellStyle name="_LCD_VSE WFP_100421 v2 2" xfId="0"/>
    <cellStyle name="_LCD_VSE WFP_100421 v2 3" xfId="0"/>
    <cellStyle name="_LCD_VSE WFP_100421 v2 4" xfId="0"/>
    <cellStyle name="_LCD_VSE WFP_100421 v2_By Region" xfId="0"/>
    <cellStyle name="_LCD_VSE WFP_100421 v2_CORP SG&amp;A" xfId="0"/>
    <cellStyle name="_LCD_VSE WFP_100421 v2_Digitizer" xfId="0"/>
    <cellStyle name="_LCD_VSE WFP_100421 v2_GPS OTHER" xfId="0"/>
    <cellStyle name="_LCD_VSE WFP_100421 v2_GPS OTHER 2" xfId="0"/>
    <cellStyle name="_LCD_VSE WFP_100421 v2_GPS OTHER 3" xfId="0"/>
    <cellStyle name="_LCD_VSE WFP_100421 v2_GPS OTHER 4" xfId="0"/>
    <cellStyle name="_LCD_VSE WFP_100421 v2_GPS OTHER 4 2" xfId="0"/>
    <cellStyle name="_LCD_VSE WFP_100421 v2_GPS OTHER_By Region" xfId="0"/>
    <cellStyle name="_LCD_VSE WFP_100421 v2_GPS OTHER_CORP SG&amp;A" xfId="0"/>
    <cellStyle name="_LCD_VSE WFP_100421 v2_GPS OTHER_LCD" xfId="0"/>
    <cellStyle name="_LCD_VSE WFP_100421 v2_GPS OTHER_PJ" xfId="0"/>
    <cellStyle name="_LCD_VSE WFP_100421 v2_LCD" xfId="0"/>
    <cellStyle name="_LCD_VSE WFP_100421 v2_LCD 2" xfId="0"/>
    <cellStyle name="_LCD_VSE WFP_100421 v2_LCD 3" xfId="0"/>
    <cellStyle name="_LCD_VSE WFP_100421 v2_LCD 4" xfId="0"/>
    <cellStyle name="_LCD_VSE WFP_100421 v2_LCD_By Region" xfId="0"/>
    <cellStyle name="_LCD_VSE WFP_100421 v2_LCD_CORP SG&amp;A" xfId="0"/>
    <cellStyle name="_LCD_VSE WFP_100421 v2_LCD_LCD" xfId="0"/>
    <cellStyle name="_LCD_VSE WFP_100421 v2_LCD_PJ" xfId="0"/>
    <cellStyle name="_LCD_VSE WFP_100421 v2_PC Products" xfId="0"/>
    <cellStyle name="_LCD_VSE WFP_100421 v2_PC Products 2" xfId="0"/>
    <cellStyle name="_LCD_VSE WFP_100421 v2_PC Products 3" xfId="0"/>
    <cellStyle name="_LCD_VSE WFP_100421 v2_PC Products 4" xfId="0"/>
    <cellStyle name="_LCD_VSE WFP_100421 v2_PC Products 4 2" xfId="0"/>
    <cellStyle name="_LCD_VSE WFP_100421 v2_PC Products_By Region" xfId="0"/>
    <cellStyle name="_LCD_VSE WFP_100421 v2_PC Products_CORP SG&amp;A" xfId="0"/>
    <cellStyle name="_LCD_VSE WFP_100421 v2_PC Products_LCD" xfId="0"/>
    <cellStyle name="_LCD_VSE WFP_100421 v2_PC Products_PJ" xfId="0"/>
    <cellStyle name="_LCD_VSE WFP_100421 v2_VSA 111014" xfId="0"/>
    <cellStyle name="_LCD_VSE WFP_100421 v2_VSA 111014 2" xfId="0"/>
    <cellStyle name="_LCD_VSE WFP_100421 v2_VSA 111014 3" xfId="0"/>
    <cellStyle name="_LCD_VSE WFP_100421 v2_VSA 111014 4" xfId="0"/>
    <cellStyle name="_LCD_VSE WFP_100421 v2_VSA 111014 4 2" xfId="0"/>
    <cellStyle name="_LCD_VSE WFP_100421 v2_VSA 111014_By Region" xfId="0"/>
    <cellStyle name="_LCD_VSE WFP_100421 v2_VSA 111014_CORP SG&amp;A" xfId="0"/>
    <cellStyle name="_LCD_VSE WFP_100421 v2_VSA 111014_LCD" xfId="0"/>
    <cellStyle name="_LCD_VSE WFP_100421 v2_VSA 111014_PJ" xfId="0"/>
    <cellStyle name="_LCD_VSE WFP_100421 v2_VSA Roll-Up (LW)" xfId="0"/>
    <cellStyle name="_LCD_VSE WFP_100421 v2_VSA Roll-Up (LW) 2" xfId="0"/>
    <cellStyle name="_LCD_VSE WFP_100421 v2_VSA Roll-Up (LW) 3" xfId="0"/>
    <cellStyle name="_LCD_VSE WFP_100421 v2_VSA Roll-Up (LW) 4" xfId="0"/>
    <cellStyle name="_LCD_VSE WFP_100421 v2_VSA Roll-Up (LW) 4 2" xfId="0"/>
    <cellStyle name="_LCD_VSE WFP_100421 v2_VSA Roll-Up (LW)_By Region" xfId="0"/>
    <cellStyle name="_LCD_VSE WFP_100421 v2_VSA Roll-Up (LW)_CORP SG&amp;A" xfId="0"/>
    <cellStyle name="_LCD_VSE WFP_100421 v2_VSA Roll-Up (LW)_LCD" xfId="0"/>
    <cellStyle name="_LCD_VSE WFP_100421 v2_VSA Roll-Up (LW)_PJ" xfId="0"/>
    <cellStyle name="_LCD_VSE WFP_100507" xfId="0"/>
    <cellStyle name="_LCD_VSE WFP_100507 2" xfId="0"/>
    <cellStyle name="_LCD_VSE WFP_100507 3" xfId="0"/>
    <cellStyle name="_LCD_VSE WFP_100507 4" xfId="0"/>
    <cellStyle name="_LCD_VSE WFP_100507_By Region" xfId="0"/>
    <cellStyle name="_LCD_VSE WFP_100507_CORP SG&amp;A" xfId="0"/>
    <cellStyle name="_LCD_VSE WFP_100507_Digitizer" xfId="0"/>
    <cellStyle name="_LCD_VSE WFP_100507_GPS OTHER" xfId="0"/>
    <cellStyle name="_LCD_VSE WFP_100507_GPS OTHER 2" xfId="0"/>
    <cellStyle name="_LCD_VSE WFP_100507_GPS OTHER 3" xfId="0"/>
    <cellStyle name="_LCD_VSE WFP_100507_GPS OTHER 4" xfId="0"/>
    <cellStyle name="_LCD_VSE WFP_100507_GPS OTHER 4 2" xfId="0"/>
    <cellStyle name="_LCD_VSE WFP_100507_GPS OTHER_By Region" xfId="0"/>
    <cellStyle name="_LCD_VSE WFP_100507_GPS OTHER_CORP SG&amp;A" xfId="0"/>
    <cellStyle name="_LCD_VSE WFP_100507_GPS OTHER_LCD" xfId="0"/>
    <cellStyle name="_LCD_VSE WFP_100507_GPS OTHER_PJ" xfId="0"/>
    <cellStyle name="_LCD_VSE WFP_100507_LCD" xfId="0"/>
    <cellStyle name="_LCD_VSE WFP_100507_LCD 2" xfId="0"/>
    <cellStyle name="_LCD_VSE WFP_100507_LCD 3" xfId="0"/>
    <cellStyle name="_LCD_VSE WFP_100507_LCD 4" xfId="0"/>
    <cellStyle name="_LCD_VSE WFP_100507_LCD_By Region" xfId="0"/>
    <cellStyle name="_LCD_VSE WFP_100507_LCD_CORP SG&amp;A" xfId="0"/>
    <cellStyle name="_LCD_VSE WFP_100507_LCD_LCD" xfId="0"/>
    <cellStyle name="_LCD_VSE WFP_100507_LCD_PJ" xfId="0"/>
    <cellStyle name="_LCD_VSE WFP_100507_PC Products" xfId="0"/>
    <cellStyle name="_LCD_VSE WFP_100507_PC Products 2" xfId="0"/>
    <cellStyle name="_LCD_VSE WFP_100507_PC Products 3" xfId="0"/>
    <cellStyle name="_LCD_VSE WFP_100507_PC Products 4" xfId="0"/>
    <cellStyle name="_LCD_VSE WFP_100507_PC Products 4 2" xfId="0"/>
    <cellStyle name="_LCD_VSE WFP_100507_PC Products_By Region" xfId="0"/>
    <cellStyle name="_LCD_VSE WFP_100507_PC Products_CORP SG&amp;A" xfId="0"/>
    <cellStyle name="_LCD_VSE WFP_100507_PC Products_LCD" xfId="0"/>
    <cellStyle name="_LCD_VSE WFP_100507_PC Products_PJ" xfId="0"/>
    <cellStyle name="_LCD_VSE WFP_100507_VSA 111014" xfId="0"/>
    <cellStyle name="_LCD_VSE WFP_100507_VSA 111014 2" xfId="0"/>
    <cellStyle name="_LCD_VSE WFP_100507_VSA 111014 3" xfId="0"/>
    <cellStyle name="_LCD_VSE WFP_100507_VSA 111014 4" xfId="0"/>
    <cellStyle name="_LCD_VSE WFP_100507_VSA 111014 4 2" xfId="0"/>
    <cellStyle name="_LCD_VSE WFP_100507_VSA 111014_By Region" xfId="0"/>
    <cellStyle name="_LCD_VSE WFP_100507_VSA 111014_CORP SG&amp;A" xfId="0"/>
    <cellStyle name="_LCD_VSE WFP_100507_VSA 111014_LCD" xfId="0"/>
    <cellStyle name="_LCD_VSE WFP_100507_VSA 111014_PJ" xfId="0"/>
    <cellStyle name="_LCD_VSE WFP_100507_VSA Roll-Up (LW)" xfId="0"/>
    <cellStyle name="_LCD_VSE WFP_100507_VSA Roll-Up (LW) 2" xfId="0"/>
    <cellStyle name="_LCD_VSE WFP_100507_VSA Roll-Up (LW) 3" xfId="0"/>
    <cellStyle name="_LCD_VSE WFP_100507_VSA Roll-Up (LW) 4" xfId="0"/>
    <cellStyle name="_LCD_VSE WFP_100507_VSA Roll-Up (LW) 4 2" xfId="0"/>
    <cellStyle name="_LCD_VSE WFP_100507_VSA Roll-Up (LW)_By Region" xfId="0"/>
    <cellStyle name="_LCD_VSE WFP_100507_VSA Roll-Up (LW)_CORP SG&amp;A" xfId="0"/>
    <cellStyle name="_LCD_VSE WFP_100507_VSA Roll-Up (LW)_LCD" xfId="0"/>
    <cellStyle name="_LCD_VSE WFP_100507_VSA Roll-Up (LW)_PJ" xfId="0"/>
    <cellStyle name="_LCD_VSE WFP_100608" xfId="0"/>
    <cellStyle name="_LCD_VSE WFP_100608 2" xfId="0"/>
    <cellStyle name="_LCD_VSE WFP_100608 3" xfId="0"/>
    <cellStyle name="_LCD_VSE WFP_100608 4" xfId="0"/>
    <cellStyle name="_LCD_VSE WFP_100608_By Region" xfId="0"/>
    <cellStyle name="_LCD_VSE WFP_100608_CORP SG&amp;A" xfId="0"/>
    <cellStyle name="_LCD_VSE WFP_100608_Digitizer" xfId="0"/>
    <cellStyle name="_LCD_VSE WFP_100608_GPS OTHER" xfId="0"/>
    <cellStyle name="_LCD_VSE WFP_100608_GPS OTHER 2" xfId="0"/>
    <cellStyle name="_LCD_VSE WFP_100608_GPS OTHER 3" xfId="0"/>
    <cellStyle name="_LCD_VSE WFP_100608_GPS OTHER 4" xfId="0"/>
    <cellStyle name="_LCD_VSE WFP_100608_GPS OTHER 4 2" xfId="0"/>
    <cellStyle name="_LCD_VSE WFP_100608_GPS OTHER_By Region" xfId="0"/>
    <cellStyle name="_LCD_VSE WFP_100608_GPS OTHER_CORP SG&amp;A" xfId="0"/>
    <cellStyle name="_LCD_VSE WFP_100608_GPS OTHER_LCD" xfId="0"/>
    <cellStyle name="_LCD_VSE WFP_100608_GPS OTHER_PJ" xfId="0"/>
    <cellStyle name="_LCD_VSE WFP_100608_LCD" xfId="0"/>
    <cellStyle name="_LCD_VSE WFP_100608_LCD 2" xfId="0"/>
    <cellStyle name="_LCD_VSE WFP_100608_LCD 3" xfId="0"/>
    <cellStyle name="_LCD_VSE WFP_100608_LCD 4" xfId="0"/>
    <cellStyle name="_LCD_VSE WFP_100608_LCD_By Region" xfId="0"/>
    <cellStyle name="_LCD_VSE WFP_100608_LCD_CORP SG&amp;A" xfId="0"/>
    <cellStyle name="_LCD_VSE WFP_100608_LCD_LCD" xfId="0"/>
    <cellStyle name="_LCD_VSE WFP_100608_LCD_PJ" xfId="0"/>
    <cellStyle name="_LCD_VSE WFP_100608_PC Products" xfId="0"/>
    <cellStyle name="_LCD_VSE WFP_100608_PC Products 2" xfId="0"/>
    <cellStyle name="_LCD_VSE WFP_100608_PC Products 3" xfId="0"/>
    <cellStyle name="_LCD_VSE WFP_100608_PC Products 4" xfId="0"/>
    <cellStyle name="_LCD_VSE WFP_100608_PC Products 4 2" xfId="0"/>
    <cellStyle name="_LCD_VSE WFP_100608_PC Products_By Region" xfId="0"/>
    <cellStyle name="_LCD_VSE WFP_100608_PC Products_CORP SG&amp;A" xfId="0"/>
    <cellStyle name="_LCD_VSE WFP_100608_PC Products_LCD" xfId="0"/>
    <cellStyle name="_LCD_VSE WFP_100608_PC Products_PJ" xfId="0"/>
    <cellStyle name="_LCD_VSE WFP_100608_VSA 111014" xfId="0"/>
    <cellStyle name="_LCD_VSE WFP_100608_VSA 111014 2" xfId="0"/>
    <cellStyle name="_LCD_VSE WFP_100608_VSA 111014 3" xfId="0"/>
    <cellStyle name="_LCD_VSE WFP_100608_VSA 111014 4" xfId="0"/>
    <cellStyle name="_LCD_VSE WFP_100608_VSA 111014 4 2" xfId="0"/>
    <cellStyle name="_LCD_VSE WFP_100608_VSA 111014_By Region" xfId="0"/>
    <cellStyle name="_LCD_VSE WFP_100608_VSA 111014_CORP SG&amp;A" xfId="0"/>
    <cellStyle name="_LCD_VSE WFP_100608_VSA 111014_LCD" xfId="0"/>
    <cellStyle name="_LCD_VSE WFP_100608_VSA 111014_PJ" xfId="0"/>
    <cellStyle name="_LCD_VSE WFP_100608_VSA Roll-Up (LW)" xfId="0"/>
    <cellStyle name="_LCD_VSE WFP_100608_VSA Roll-Up (LW) 2" xfId="0"/>
    <cellStyle name="_LCD_VSE WFP_100608_VSA Roll-Up (LW) 3" xfId="0"/>
    <cellStyle name="_LCD_VSE WFP_100608_VSA Roll-Up (LW) 4" xfId="0"/>
    <cellStyle name="_LCD_VSE WFP_100608_VSA Roll-Up (LW) 4 2" xfId="0"/>
    <cellStyle name="_LCD_VSE WFP_100608_VSA Roll-Up (LW)_By Region" xfId="0"/>
    <cellStyle name="_LCD_VSE WFP_100608_VSA Roll-Up (LW)_CORP SG&amp;A" xfId="0"/>
    <cellStyle name="_LCD_VSE WFP_100608_VSA Roll-Up (LW)_LCD" xfId="0"/>
    <cellStyle name="_LCD_VSE WFP_100608_VSA Roll-Up (LW)_PJ" xfId="0"/>
    <cellStyle name="_LCD_VSE WFP_100625" xfId="0"/>
    <cellStyle name="_LCD_VSE WFP_100625 2" xfId="0"/>
    <cellStyle name="_LCD_VSE WFP_100625 3" xfId="0"/>
    <cellStyle name="_LCD_VSE WFP_100625 4" xfId="0"/>
    <cellStyle name="_LCD_VSE WFP_100625_By Region" xfId="0"/>
    <cellStyle name="_LCD_VSE WFP_100625_CORP SG&amp;A" xfId="0"/>
    <cellStyle name="_LCD_VSE WFP_100625_Digitizer" xfId="0"/>
    <cellStyle name="_LCD_VSE WFP_100625_GPS OTHER" xfId="0"/>
    <cellStyle name="_LCD_VSE WFP_100625_GPS OTHER 2" xfId="0"/>
    <cellStyle name="_LCD_VSE WFP_100625_GPS OTHER 3" xfId="0"/>
    <cellStyle name="_LCD_VSE WFP_100625_GPS OTHER 4" xfId="0"/>
    <cellStyle name="_LCD_VSE WFP_100625_GPS OTHER 4 2" xfId="0"/>
    <cellStyle name="_LCD_VSE WFP_100625_GPS OTHER_By Region" xfId="0"/>
    <cellStyle name="_LCD_VSE WFP_100625_GPS OTHER_CORP SG&amp;A" xfId="0"/>
    <cellStyle name="_LCD_VSE WFP_100625_GPS OTHER_LCD" xfId="0"/>
    <cellStyle name="_LCD_VSE WFP_100625_GPS OTHER_PJ" xfId="0"/>
    <cellStyle name="_LCD_VSE WFP_100625_LCD" xfId="0"/>
    <cellStyle name="_LCD_VSE WFP_100625_LCD 2" xfId="0"/>
    <cellStyle name="_LCD_VSE WFP_100625_LCD 3" xfId="0"/>
    <cellStyle name="_LCD_VSE WFP_100625_LCD 4" xfId="0"/>
    <cellStyle name="_LCD_VSE WFP_100625_LCD_By Region" xfId="0"/>
    <cellStyle name="_LCD_VSE WFP_100625_LCD_CORP SG&amp;A" xfId="0"/>
    <cellStyle name="_LCD_VSE WFP_100625_LCD_LCD" xfId="0"/>
    <cellStyle name="_LCD_VSE WFP_100625_LCD_PJ" xfId="0"/>
    <cellStyle name="_LCD_VSE WFP_100625_PC Products" xfId="0"/>
    <cellStyle name="_LCD_VSE WFP_100625_PC Products 2" xfId="0"/>
    <cellStyle name="_LCD_VSE WFP_100625_PC Products 3" xfId="0"/>
    <cellStyle name="_LCD_VSE WFP_100625_PC Products 4" xfId="0"/>
    <cellStyle name="_LCD_VSE WFP_100625_PC Products 4 2" xfId="0"/>
    <cellStyle name="_LCD_VSE WFP_100625_PC Products_By Region" xfId="0"/>
    <cellStyle name="_LCD_VSE WFP_100625_PC Products_CORP SG&amp;A" xfId="0"/>
    <cellStyle name="_LCD_VSE WFP_100625_PC Products_LCD" xfId="0"/>
    <cellStyle name="_LCD_VSE WFP_100625_PC Products_PJ" xfId="0"/>
    <cellStyle name="_LCD_VSE WFP_100625_VSA 111014" xfId="0"/>
    <cellStyle name="_LCD_VSE WFP_100625_VSA 111014 2" xfId="0"/>
    <cellStyle name="_LCD_VSE WFP_100625_VSA 111014 3" xfId="0"/>
    <cellStyle name="_LCD_VSE WFP_100625_VSA 111014 4" xfId="0"/>
    <cellStyle name="_LCD_VSE WFP_100625_VSA 111014 4 2" xfId="0"/>
    <cellStyle name="_LCD_VSE WFP_100625_VSA 111014_By Region" xfId="0"/>
    <cellStyle name="_LCD_VSE WFP_100625_VSA 111014_CORP SG&amp;A" xfId="0"/>
    <cellStyle name="_LCD_VSE WFP_100625_VSA 111014_LCD" xfId="0"/>
    <cellStyle name="_LCD_VSE WFP_100625_VSA 111014_PJ" xfId="0"/>
    <cellStyle name="_LCD_VSE WFP_100625_VSA Roll-Up (LW)" xfId="0"/>
    <cellStyle name="_LCD_VSE WFP_100625_VSA Roll-Up (LW) 2" xfId="0"/>
    <cellStyle name="_LCD_VSE WFP_100625_VSA Roll-Up (LW) 3" xfId="0"/>
    <cellStyle name="_LCD_VSE WFP_100625_VSA Roll-Up (LW) 4" xfId="0"/>
    <cellStyle name="_LCD_VSE WFP_100625_VSA Roll-Up (LW) 4 2" xfId="0"/>
    <cellStyle name="_LCD_VSE WFP_100625_VSA Roll-Up (LW)_By Region" xfId="0"/>
    <cellStyle name="_LCD_VSE WFP_100625_VSA Roll-Up (LW)_CORP SG&amp;A" xfId="0"/>
    <cellStyle name="_LCD_VSE WFP_100625_VSA Roll-Up (LW)_LCD" xfId="0"/>
    <cellStyle name="_LCD_VSE WFP_100625_VSA Roll-Up (LW)_PJ" xfId="0"/>
    <cellStyle name="_LCD_VSE WFP_100708_3rd" xfId="0"/>
    <cellStyle name="_LCD_VSE WFP_100708_3rd 2" xfId="0"/>
    <cellStyle name="_LCD_VSE WFP_100708_3rd 3" xfId="0"/>
    <cellStyle name="_LCD_VSE WFP_100708_3rd 4" xfId="0"/>
    <cellStyle name="_LCD_VSE WFP_100708_3rd_By Region" xfId="0"/>
    <cellStyle name="_LCD_VSE WFP_100708_3rd_CORP SG&amp;A" xfId="0"/>
    <cellStyle name="_LCD_VSE WFP_100708_3rd_Digitizer" xfId="0"/>
    <cellStyle name="_LCD_VSE WFP_100708_3rd_GPS OTHER" xfId="0"/>
    <cellStyle name="_LCD_VSE WFP_100708_3rd_GPS OTHER 2" xfId="0"/>
    <cellStyle name="_LCD_VSE WFP_100708_3rd_GPS OTHER 3" xfId="0"/>
    <cellStyle name="_LCD_VSE WFP_100708_3rd_GPS OTHER 4" xfId="0"/>
    <cellStyle name="_LCD_VSE WFP_100708_3rd_GPS OTHER 4 2" xfId="0"/>
    <cellStyle name="_LCD_VSE WFP_100708_3rd_GPS OTHER_By Region" xfId="0"/>
    <cellStyle name="_LCD_VSE WFP_100708_3rd_GPS OTHER_CORP SG&amp;A" xfId="0"/>
    <cellStyle name="_LCD_VSE WFP_100708_3rd_GPS OTHER_LCD" xfId="0"/>
    <cellStyle name="_LCD_VSE WFP_100708_3rd_GPS OTHER_PJ" xfId="0"/>
    <cellStyle name="_LCD_VSE WFP_100708_3rd_LCD" xfId="0"/>
    <cellStyle name="_LCD_VSE WFP_100708_3rd_LCD 2" xfId="0"/>
    <cellStyle name="_LCD_VSE WFP_100708_3rd_LCD 3" xfId="0"/>
    <cellStyle name="_LCD_VSE WFP_100708_3rd_LCD 4" xfId="0"/>
    <cellStyle name="_LCD_VSE WFP_100708_3rd_LCD_By Region" xfId="0"/>
    <cellStyle name="_LCD_VSE WFP_100708_3rd_LCD_CORP SG&amp;A" xfId="0"/>
    <cellStyle name="_LCD_VSE WFP_100708_3rd_LCD_LCD" xfId="0"/>
    <cellStyle name="_LCD_VSE WFP_100708_3rd_LCD_PJ" xfId="0"/>
    <cellStyle name="_LCD_VSE WFP_100708_3rd_PC Products" xfId="0"/>
    <cellStyle name="_LCD_VSE WFP_100708_3rd_PC Products 2" xfId="0"/>
    <cellStyle name="_LCD_VSE WFP_100708_3rd_PC Products 3" xfId="0"/>
    <cellStyle name="_LCD_VSE WFP_100708_3rd_PC Products 4" xfId="0"/>
    <cellStyle name="_LCD_VSE WFP_100708_3rd_PC Products 4 2" xfId="0"/>
    <cellStyle name="_LCD_VSE WFP_100708_3rd_PC Products_By Region" xfId="0"/>
    <cellStyle name="_LCD_VSE WFP_100708_3rd_PC Products_CORP SG&amp;A" xfId="0"/>
    <cellStyle name="_LCD_VSE WFP_100708_3rd_PC Products_LCD" xfId="0"/>
    <cellStyle name="_LCD_VSE WFP_100708_3rd_PC Products_PJ" xfId="0"/>
    <cellStyle name="_LCD_VSE WFP_100708_3rd_VSA 111014" xfId="0"/>
    <cellStyle name="_LCD_VSE WFP_100708_3rd_VSA 111014 2" xfId="0"/>
    <cellStyle name="_LCD_VSE WFP_100708_3rd_VSA 111014 3" xfId="0"/>
    <cellStyle name="_LCD_VSE WFP_100708_3rd_VSA 111014 4" xfId="0"/>
    <cellStyle name="_LCD_VSE WFP_100708_3rd_VSA 111014 4 2" xfId="0"/>
    <cellStyle name="_LCD_VSE WFP_100708_3rd_VSA 111014_By Region" xfId="0"/>
    <cellStyle name="_LCD_VSE WFP_100708_3rd_VSA 111014_CORP SG&amp;A" xfId="0"/>
    <cellStyle name="_LCD_VSE WFP_100708_3rd_VSA 111014_LCD" xfId="0"/>
    <cellStyle name="_LCD_VSE WFP_100708_3rd_VSA 111014_PJ" xfId="0"/>
    <cellStyle name="_LCD_VSE WFP_100708_3rd_VSA Roll-Up (LW)" xfId="0"/>
    <cellStyle name="_LCD_VSE WFP_100708_3rd_VSA Roll-Up (LW) 2" xfId="0"/>
    <cellStyle name="_LCD_VSE WFP_100708_3rd_VSA Roll-Up (LW) 3" xfId="0"/>
    <cellStyle name="_LCD_VSE WFP_100708_3rd_VSA Roll-Up (LW) 4" xfId="0"/>
    <cellStyle name="_LCD_VSE WFP_100708_3rd_VSA Roll-Up (LW) 4 2" xfId="0"/>
    <cellStyle name="_LCD_VSE WFP_100708_3rd_VSA Roll-Up (LW)_By Region" xfId="0"/>
    <cellStyle name="_LCD_VSE WFP_100708_3rd_VSA Roll-Up (LW)_CORP SG&amp;A" xfId="0"/>
    <cellStyle name="_LCD_VSE WFP_100708_3rd_VSA Roll-Up (LW)_LCD" xfId="0"/>
    <cellStyle name="_LCD_VSE WFP_100708_3rd_VSA Roll-Up (LW)_PJ" xfId="0"/>
    <cellStyle name="_LCD_VSE WFP_100726" xfId="0"/>
    <cellStyle name="_LCD_VSE WFP_100726 2" xfId="0"/>
    <cellStyle name="_LCD_VSE WFP_100726 3" xfId="0"/>
    <cellStyle name="_LCD_VSE WFP_100726 4" xfId="0"/>
    <cellStyle name="_LCD_VSE WFP_100726-1" xfId="0"/>
    <cellStyle name="_LCD_VSE WFP_100726-1 2" xfId="0"/>
    <cellStyle name="_LCD_VSE WFP_100726-1 3" xfId="0"/>
    <cellStyle name="_LCD_VSE WFP_100726-1 4" xfId="0"/>
    <cellStyle name="_LCD_VSE WFP_100726-1_By Region" xfId="0"/>
    <cellStyle name="_LCD_VSE WFP_100726-1_CORP SG&amp;A" xfId="0"/>
    <cellStyle name="_LCD_VSE WFP_100726-1_Digitizer" xfId="0"/>
    <cellStyle name="_LCD_VSE WFP_100726-1_GPS OTHER" xfId="0"/>
    <cellStyle name="_LCD_VSE WFP_100726-1_GPS OTHER 2" xfId="0"/>
    <cellStyle name="_LCD_VSE WFP_100726-1_GPS OTHER 3" xfId="0"/>
    <cellStyle name="_LCD_VSE WFP_100726-1_GPS OTHER 4" xfId="0"/>
    <cellStyle name="_LCD_VSE WFP_100726-1_GPS OTHER 4 2" xfId="0"/>
    <cellStyle name="_LCD_VSE WFP_100726-1_GPS OTHER_By Region" xfId="0"/>
    <cellStyle name="_LCD_VSE WFP_100726-1_GPS OTHER_CORP SG&amp;A" xfId="0"/>
    <cellStyle name="_LCD_VSE WFP_100726-1_GPS OTHER_LCD" xfId="0"/>
    <cellStyle name="_LCD_VSE WFP_100726-1_GPS OTHER_PJ" xfId="0"/>
    <cellStyle name="_LCD_VSE WFP_100726-1_LCD" xfId="0"/>
    <cellStyle name="_LCD_VSE WFP_100726-1_LCD 2" xfId="0"/>
    <cellStyle name="_LCD_VSE WFP_100726-1_LCD 3" xfId="0"/>
    <cellStyle name="_LCD_VSE WFP_100726-1_LCD 4" xfId="0"/>
    <cellStyle name="_LCD_VSE WFP_100726-1_LCD_By Region" xfId="0"/>
    <cellStyle name="_LCD_VSE WFP_100726-1_LCD_CORP SG&amp;A" xfId="0"/>
    <cellStyle name="_LCD_VSE WFP_100726-1_LCD_LCD" xfId="0"/>
    <cellStyle name="_LCD_VSE WFP_100726-1_LCD_PJ" xfId="0"/>
    <cellStyle name="_LCD_VSE WFP_100726-1_PC Products" xfId="0"/>
    <cellStyle name="_LCD_VSE WFP_100726-1_PC Products 2" xfId="0"/>
    <cellStyle name="_LCD_VSE WFP_100726-1_PC Products 3" xfId="0"/>
    <cellStyle name="_LCD_VSE WFP_100726-1_PC Products 4" xfId="0"/>
    <cellStyle name="_LCD_VSE WFP_100726-1_PC Products 4 2" xfId="0"/>
    <cellStyle name="_LCD_VSE WFP_100726-1_PC Products_By Region" xfId="0"/>
    <cellStyle name="_LCD_VSE WFP_100726-1_PC Products_CORP SG&amp;A" xfId="0"/>
    <cellStyle name="_LCD_VSE WFP_100726-1_PC Products_LCD" xfId="0"/>
    <cellStyle name="_LCD_VSE WFP_100726-1_PC Products_PJ" xfId="0"/>
    <cellStyle name="_LCD_VSE WFP_100726-1_VSA 111014" xfId="0"/>
    <cellStyle name="_LCD_VSE WFP_100726-1_VSA 111014 2" xfId="0"/>
    <cellStyle name="_LCD_VSE WFP_100726-1_VSA 111014 3" xfId="0"/>
    <cellStyle name="_LCD_VSE WFP_100726-1_VSA 111014 4" xfId="0"/>
    <cellStyle name="_LCD_VSE WFP_100726-1_VSA 111014 4 2" xfId="0"/>
    <cellStyle name="_LCD_VSE WFP_100726-1_VSA 111014_By Region" xfId="0"/>
    <cellStyle name="_LCD_VSE WFP_100726-1_VSA 111014_CORP SG&amp;A" xfId="0"/>
    <cellStyle name="_LCD_VSE WFP_100726-1_VSA 111014_LCD" xfId="0"/>
    <cellStyle name="_LCD_VSE WFP_100726-1_VSA 111014_PJ" xfId="0"/>
    <cellStyle name="_LCD_VSE WFP_100726-1_VSA Roll-Up (LW)" xfId="0"/>
    <cellStyle name="_LCD_VSE WFP_100726-1_VSA Roll-Up (LW) 2" xfId="0"/>
    <cellStyle name="_LCD_VSE WFP_100726-1_VSA Roll-Up (LW) 3" xfId="0"/>
    <cellStyle name="_LCD_VSE WFP_100726-1_VSA Roll-Up (LW) 4" xfId="0"/>
    <cellStyle name="_LCD_VSE WFP_100726-1_VSA Roll-Up (LW) 4 2" xfId="0"/>
    <cellStyle name="_LCD_VSE WFP_100726-1_VSA Roll-Up (LW)_By Region" xfId="0"/>
    <cellStyle name="_LCD_VSE WFP_100726-1_VSA Roll-Up (LW)_CORP SG&amp;A" xfId="0"/>
    <cellStyle name="_LCD_VSE WFP_100726-1_VSA Roll-Up (LW)_LCD" xfId="0"/>
    <cellStyle name="_LCD_VSE WFP_100726-1_VSA Roll-Up (LW)_PJ" xfId="0"/>
    <cellStyle name="_LCD_VSE WFP_100726-2-yc" xfId="0"/>
    <cellStyle name="_LCD_VSE WFP_100726-2-yc 2" xfId="0"/>
    <cellStyle name="_LCD_VSE WFP_100726-2-yc 3" xfId="0"/>
    <cellStyle name="_LCD_VSE WFP_100726-2-yc 4" xfId="0"/>
    <cellStyle name="_LCD_VSE WFP_100726-2-yc_By Region" xfId="0"/>
    <cellStyle name="_LCD_VSE WFP_100726-2-yc_CORP SG&amp;A" xfId="0"/>
    <cellStyle name="_LCD_VSE WFP_100726-2-yc_Digitizer" xfId="0"/>
    <cellStyle name="_LCD_VSE WFP_100726-2-yc_GPS OTHER" xfId="0"/>
    <cellStyle name="_LCD_VSE WFP_100726-2-yc_GPS OTHER 2" xfId="0"/>
    <cellStyle name="_LCD_VSE WFP_100726-2-yc_GPS OTHER 3" xfId="0"/>
    <cellStyle name="_LCD_VSE WFP_100726-2-yc_GPS OTHER 4" xfId="0"/>
    <cellStyle name="_LCD_VSE WFP_100726-2-yc_GPS OTHER 4 2" xfId="0"/>
    <cellStyle name="_LCD_VSE WFP_100726-2-yc_GPS OTHER_By Region" xfId="0"/>
    <cellStyle name="_LCD_VSE WFP_100726-2-yc_GPS OTHER_CORP SG&amp;A" xfId="0"/>
    <cellStyle name="_LCD_VSE WFP_100726-2-yc_GPS OTHER_LCD" xfId="0"/>
    <cellStyle name="_LCD_VSE WFP_100726-2-yc_GPS OTHER_PJ" xfId="0"/>
    <cellStyle name="_LCD_VSE WFP_100726-2-yc_LCD" xfId="0"/>
    <cellStyle name="_LCD_VSE WFP_100726-2-yc_LCD 2" xfId="0"/>
    <cellStyle name="_LCD_VSE WFP_100726-2-yc_LCD 3" xfId="0"/>
    <cellStyle name="_LCD_VSE WFP_100726-2-yc_LCD 4" xfId="0"/>
    <cellStyle name="_LCD_VSE WFP_100726-2-yc_LCD_By Region" xfId="0"/>
    <cellStyle name="_LCD_VSE WFP_100726-2-yc_LCD_CORP SG&amp;A" xfId="0"/>
    <cellStyle name="_LCD_VSE WFP_100726-2-yc_LCD_LCD" xfId="0"/>
    <cellStyle name="_LCD_VSE WFP_100726-2-yc_LCD_PJ" xfId="0"/>
    <cellStyle name="_LCD_VSE WFP_100726-2-yc_PC Products" xfId="0"/>
    <cellStyle name="_LCD_VSE WFP_100726-2-yc_PC Products 2" xfId="0"/>
    <cellStyle name="_LCD_VSE WFP_100726-2-yc_PC Products 3" xfId="0"/>
    <cellStyle name="_LCD_VSE WFP_100726-2-yc_PC Products 4" xfId="0"/>
    <cellStyle name="_LCD_VSE WFP_100726-2-yc_PC Products 4 2" xfId="0"/>
    <cellStyle name="_LCD_VSE WFP_100726-2-yc_PC Products_By Region" xfId="0"/>
    <cellStyle name="_LCD_VSE WFP_100726-2-yc_PC Products_CORP SG&amp;A" xfId="0"/>
    <cellStyle name="_LCD_VSE WFP_100726-2-yc_PC Products_LCD" xfId="0"/>
    <cellStyle name="_LCD_VSE WFP_100726-2-yc_PC Products_PJ" xfId="0"/>
    <cellStyle name="_LCD_VSE WFP_100726-2-yc_VSA 111014" xfId="0"/>
    <cellStyle name="_LCD_VSE WFP_100726-2-yc_VSA 111014 2" xfId="0"/>
    <cellStyle name="_LCD_VSE WFP_100726-2-yc_VSA 111014 3" xfId="0"/>
    <cellStyle name="_LCD_VSE WFP_100726-2-yc_VSA 111014 4" xfId="0"/>
    <cellStyle name="_LCD_VSE WFP_100726-2-yc_VSA 111014 4 2" xfId="0"/>
    <cellStyle name="_LCD_VSE WFP_100726-2-yc_VSA 111014_By Region" xfId="0"/>
    <cellStyle name="_LCD_VSE WFP_100726-2-yc_VSA 111014_CORP SG&amp;A" xfId="0"/>
    <cellStyle name="_LCD_VSE WFP_100726-2-yc_VSA 111014_LCD" xfId="0"/>
    <cellStyle name="_LCD_VSE WFP_100726-2-yc_VSA 111014_PJ" xfId="0"/>
    <cellStyle name="_LCD_VSE WFP_100726-2-yc_VSA Roll-Up (LW)" xfId="0"/>
    <cellStyle name="_LCD_VSE WFP_100726-2-yc_VSA Roll-Up (LW) 2" xfId="0"/>
    <cellStyle name="_LCD_VSE WFP_100726-2-yc_VSA Roll-Up (LW) 3" xfId="0"/>
    <cellStyle name="_LCD_VSE WFP_100726-2-yc_VSA Roll-Up (LW) 4" xfId="0"/>
    <cellStyle name="_LCD_VSE WFP_100726-2-yc_VSA Roll-Up (LW) 4 2" xfId="0"/>
    <cellStyle name="_LCD_VSE WFP_100726-2-yc_VSA Roll-Up (LW)_By Region" xfId="0"/>
    <cellStyle name="_LCD_VSE WFP_100726-2-yc_VSA Roll-Up (LW)_CORP SG&amp;A" xfId="0"/>
    <cellStyle name="_LCD_VSE WFP_100726-2-yc_VSA Roll-Up (LW)_LCD" xfId="0"/>
    <cellStyle name="_LCD_VSE WFP_100726-2-yc_VSA Roll-Up (LW)_PJ" xfId="0"/>
    <cellStyle name="_LCD_VSE WFP_100726_By Region" xfId="0"/>
    <cellStyle name="_LCD_VSE WFP_100726_CORP SG&amp;A" xfId="0"/>
    <cellStyle name="_LCD_VSE WFP_100726_Digitizer" xfId="0"/>
    <cellStyle name="_LCD_VSE WFP_100726_GPS OTHER" xfId="0"/>
    <cellStyle name="_LCD_VSE WFP_100726_GPS OTHER 2" xfId="0"/>
    <cellStyle name="_LCD_VSE WFP_100726_GPS OTHER 3" xfId="0"/>
    <cellStyle name="_LCD_VSE WFP_100726_GPS OTHER 4" xfId="0"/>
    <cellStyle name="_LCD_VSE WFP_100726_GPS OTHER 4 2" xfId="0"/>
    <cellStyle name="_LCD_VSE WFP_100726_GPS OTHER_By Region" xfId="0"/>
    <cellStyle name="_LCD_VSE WFP_100726_GPS OTHER_CORP SG&amp;A" xfId="0"/>
    <cellStyle name="_LCD_VSE WFP_100726_GPS OTHER_LCD" xfId="0"/>
    <cellStyle name="_LCD_VSE WFP_100726_GPS OTHER_PJ" xfId="0"/>
    <cellStyle name="_LCD_VSE WFP_100726_LCD" xfId="0"/>
    <cellStyle name="_LCD_VSE WFP_100726_LCD 2" xfId="0"/>
    <cellStyle name="_LCD_VSE WFP_100726_LCD 3" xfId="0"/>
    <cellStyle name="_LCD_VSE WFP_100726_LCD 4" xfId="0"/>
    <cellStyle name="_LCD_VSE WFP_100726_LCD_By Region" xfId="0"/>
    <cellStyle name="_LCD_VSE WFP_100726_LCD_CORP SG&amp;A" xfId="0"/>
    <cellStyle name="_LCD_VSE WFP_100726_LCD_LCD" xfId="0"/>
    <cellStyle name="_LCD_VSE WFP_100726_LCD_PJ" xfId="0"/>
    <cellStyle name="_LCD_VSE WFP_100726_PC Products" xfId="0"/>
    <cellStyle name="_LCD_VSE WFP_100726_PC Products 2" xfId="0"/>
    <cellStyle name="_LCD_VSE WFP_100726_PC Products 3" xfId="0"/>
    <cellStyle name="_LCD_VSE WFP_100726_PC Products 4" xfId="0"/>
    <cellStyle name="_LCD_VSE WFP_100726_PC Products 4 2" xfId="0"/>
    <cellStyle name="_LCD_VSE WFP_100726_PC Products_By Region" xfId="0"/>
    <cellStyle name="_LCD_VSE WFP_100726_PC Products_CORP SG&amp;A" xfId="0"/>
    <cellStyle name="_LCD_VSE WFP_100726_PC Products_LCD" xfId="0"/>
    <cellStyle name="_LCD_VSE WFP_100726_PC Products_PJ" xfId="0"/>
    <cellStyle name="_LCD_VSE WFP_100726_VSA 111014" xfId="0"/>
    <cellStyle name="_LCD_VSE WFP_100726_VSA 111014 2" xfId="0"/>
    <cellStyle name="_LCD_VSE WFP_100726_VSA 111014 3" xfId="0"/>
    <cellStyle name="_LCD_VSE WFP_100726_VSA 111014 4" xfId="0"/>
    <cellStyle name="_LCD_VSE WFP_100726_VSA 111014 4 2" xfId="0"/>
    <cellStyle name="_LCD_VSE WFP_100726_VSA 111014_By Region" xfId="0"/>
    <cellStyle name="_LCD_VSE WFP_100726_VSA 111014_CORP SG&amp;A" xfId="0"/>
    <cellStyle name="_LCD_VSE WFP_100726_VSA 111014_LCD" xfId="0"/>
    <cellStyle name="_LCD_VSE WFP_100726_VSA 111014_PJ" xfId="0"/>
    <cellStyle name="_LCD_VSE WFP_100726_VSA Roll-Up (LW)" xfId="0"/>
    <cellStyle name="_LCD_VSE WFP_100726_VSA Roll-Up (LW) 2" xfId="0"/>
    <cellStyle name="_LCD_VSE WFP_100726_VSA Roll-Up (LW) 3" xfId="0"/>
    <cellStyle name="_LCD_VSE WFP_100726_VSA Roll-Up (LW) 4" xfId="0"/>
    <cellStyle name="_LCD_VSE WFP_100726_VSA Roll-Up (LW) 4 2" xfId="0"/>
    <cellStyle name="_LCD_VSE WFP_100726_VSA Roll-Up (LW)_By Region" xfId="0"/>
    <cellStyle name="_LCD_VSE WFP_100726_VSA Roll-Up (LW)_CORP SG&amp;A" xfId="0"/>
    <cellStyle name="_LCD_VSE WFP_100726_VSA Roll-Up (LW)_LCD" xfId="0"/>
    <cellStyle name="_LCD_VSE WFP_100726_VSA Roll-Up (LW)_PJ" xfId="0"/>
    <cellStyle name="_LCD_VSE WFP_100827-1" xfId="0"/>
    <cellStyle name="_LCD_VSE WFP_100827-1 2" xfId="0"/>
    <cellStyle name="_LCD_VSE WFP_100827-1 3" xfId="0"/>
    <cellStyle name="_LCD_VSE WFP_100827-1 4" xfId="0"/>
    <cellStyle name="_LCD_VSE WFP_100827-1_By Region" xfId="0"/>
    <cellStyle name="_LCD_VSE WFP_100827-1_CORP SG&amp;A" xfId="0"/>
    <cellStyle name="_LCD_VSE WFP_100827-1_Digitizer" xfId="0"/>
    <cellStyle name="_LCD_VSE WFP_100827-1_GPS OTHER" xfId="0"/>
    <cellStyle name="_LCD_VSE WFP_100827-1_GPS OTHER 2" xfId="0"/>
    <cellStyle name="_LCD_VSE WFP_100827-1_GPS OTHER 3" xfId="0"/>
    <cellStyle name="_LCD_VSE WFP_100827-1_GPS OTHER 4" xfId="0"/>
    <cellStyle name="_LCD_VSE WFP_100827-1_GPS OTHER 4 2" xfId="0"/>
    <cellStyle name="_LCD_VSE WFP_100827-1_GPS OTHER_By Region" xfId="0"/>
    <cellStyle name="_LCD_VSE WFP_100827-1_GPS OTHER_CORP SG&amp;A" xfId="0"/>
    <cellStyle name="_LCD_VSE WFP_100827-1_GPS OTHER_LCD" xfId="0"/>
    <cellStyle name="_LCD_VSE WFP_100827-1_GPS OTHER_PJ" xfId="0"/>
    <cellStyle name="_LCD_VSE WFP_100827-1_LCD" xfId="0"/>
    <cellStyle name="_LCD_VSE WFP_100827-1_LCD 2" xfId="0"/>
    <cellStyle name="_LCD_VSE WFP_100827-1_LCD 3" xfId="0"/>
    <cellStyle name="_LCD_VSE WFP_100827-1_LCD 4" xfId="0"/>
    <cellStyle name="_LCD_VSE WFP_100827-1_LCD_By Region" xfId="0"/>
    <cellStyle name="_LCD_VSE WFP_100827-1_LCD_CORP SG&amp;A" xfId="0"/>
    <cellStyle name="_LCD_VSE WFP_100827-1_LCD_LCD" xfId="0"/>
    <cellStyle name="_LCD_VSE WFP_100827-1_LCD_PJ" xfId="0"/>
    <cellStyle name="_LCD_VSE WFP_100827-1_PC Products" xfId="0"/>
    <cellStyle name="_LCD_VSE WFP_100827-1_PC Products 2" xfId="0"/>
    <cellStyle name="_LCD_VSE WFP_100827-1_PC Products 3" xfId="0"/>
    <cellStyle name="_LCD_VSE WFP_100827-1_PC Products 4" xfId="0"/>
    <cellStyle name="_LCD_VSE WFP_100827-1_PC Products 4 2" xfId="0"/>
    <cellStyle name="_LCD_VSE WFP_100827-1_PC Products_By Region" xfId="0"/>
    <cellStyle name="_LCD_VSE WFP_100827-1_PC Products_CORP SG&amp;A" xfId="0"/>
    <cellStyle name="_LCD_VSE WFP_100827-1_PC Products_LCD" xfId="0"/>
    <cellStyle name="_LCD_VSE WFP_100827-1_PC Products_PJ" xfId="0"/>
    <cellStyle name="_LCD_VSE WFP_100827-1_VSA 111014" xfId="0"/>
    <cellStyle name="_LCD_VSE WFP_100827-1_VSA 111014 2" xfId="0"/>
    <cellStyle name="_LCD_VSE WFP_100827-1_VSA 111014 3" xfId="0"/>
    <cellStyle name="_LCD_VSE WFP_100827-1_VSA 111014 4" xfId="0"/>
    <cellStyle name="_LCD_VSE WFP_100827-1_VSA 111014 4 2" xfId="0"/>
    <cellStyle name="_LCD_VSE WFP_100827-1_VSA 111014_By Region" xfId="0"/>
    <cellStyle name="_LCD_VSE WFP_100827-1_VSA 111014_CORP SG&amp;A" xfId="0"/>
    <cellStyle name="_LCD_VSE WFP_100827-1_VSA 111014_LCD" xfId="0"/>
    <cellStyle name="_LCD_VSE WFP_100827-1_VSA 111014_PJ" xfId="0"/>
    <cellStyle name="_LCD_VSE WFP_100827-1_VSA Roll-Up (LW)" xfId="0"/>
    <cellStyle name="_LCD_VSE WFP_100827-1_VSA Roll-Up (LW) 2" xfId="0"/>
    <cellStyle name="_LCD_VSE WFP_100827-1_VSA Roll-Up (LW) 3" xfId="0"/>
    <cellStyle name="_LCD_VSE WFP_100827-1_VSA Roll-Up (LW) 4" xfId="0"/>
    <cellStyle name="_LCD_VSE WFP_100827-1_VSA Roll-Up (LW) 4 2" xfId="0"/>
    <cellStyle name="_LCD_VSE WFP_100827-1_VSA Roll-Up (LW)_By Region" xfId="0"/>
    <cellStyle name="_LCD_VSE WFP_100827-1_VSA Roll-Up (LW)_CORP SG&amp;A" xfId="0"/>
    <cellStyle name="_LCD_VSE WFP_100827-1_VSA Roll-Up (LW)_LCD" xfId="0"/>
    <cellStyle name="_LCD_VSE WFP_100827-1_VSA Roll-Up (LW)_PJ" xfId="0"/>
    <cellStyle name="_LCD_VSE WFP_101001" xfId="0"/>
    <cellStyle name="_LCD_VSE WFP_101001 2" xfId="0"/>
    <cellStyle name="_LCD_VSE WFP_101001 3" xfId="0"/>
    <cellStyle name="_LCD_VSE WFP_101001 4" xfId="0"/>
    <cellStyle name="_LCD_VSE WFP_101001_By Region" xfId="0"/>
    <cellStyle name="_LCD_VSE WFP_101001_CORP SG&amp;A" xfId="0"/>
    <cellStyle name="_LCD_VSE WFP_101001_Digitizer" xfId="0"/>
    <cellStyle name="_LCD_VSE WFP_101001_GPS OTHER" xfId="0"/>
    <cellStyle name="_LCD_VSE WFP_101001_GPS OTHER 2" xfId="0"/>
    <cellStyle name="_LCD_VSE WFP_101001_GPS OTHER 3" xfId="0"/>
    <cellStyle name="_LCD_VSE WFP_101001_GPS OTHER 4" xfId="0"/>
    <cellStyle name="_LCD_VSE WFP_101001_GPS OTHER 4 2" xfId="0"/>
    <cellStyle name="_LCD_VSE WFP_101001_GPS OTHER_By Region" xfId="0"/>
    <cellStyle name="_LCD_VSE WFP_101001_GPS OTHER_CORP SG&amp;A" xfId="0"/>
    <cellStyle name="_LCD_VSE WFP_101001_GPS OTHER_LCD" xfId="0"/>
    <cellStyle name="_LCD_VSE WFP_101001_GPS OTHER_PJ" xfId="0"/>
    <cellStyle name="_LCD_VSE WFP_101001_LCD" xfId="0"/>
    <cellStyle name="_LCD_VSE WFP_101001_LCD 2" xfId="0"/>
    <cellStyle name="_LCD_VSE WFP_101001_LCD 3" xfId="0"/>
    <cellStyle name="_LCD_VSE WFP_101001_LCD 4" xfId="0"/>
    <cellStyle name="_LCD_VSE WFP_101001_LCD_By Region" xfId="0"/>
    <cellStyle name="_LCD_VSE WFP_101001_LCD_CORP SG&amp;A" xfId="0"/>
    <cellStyle name="_LCD_VSE WFP_101001_LCD_LCD" xfId="0"/>
    <cellStyle name="_LCD_VSE WFP_101001_LCD_PJ" xfId="0"/>
    <cellStyle name="_LCD_VSE WFP_101001_PC Products" xfId="0"/>
    <cellStyle name="_LCD_VSE WFP_101001_PC Products 2" xfId="0"/>
    <cellStyle name="_LCD_VSE WFP_101001_PC Products 3" xfId="0"/>
    <cellStyle name="_LCD_VSE WFP_101001_PC Products 4" xfId="0"/>
    <cellStyle name="_LCD_VSE WFP_101001_PC Products 4 2" xfId="0"/>
    <cellStyle name="_LCD_VSE WFP_101001_PC Products_By Region" xfId="0"/>
    <cellStyle name="_LCD_VSE WFP_101001_PC Products_CORP SG&amp;A" xfId="0"/>
    <cellStyle name="_LCD_VSE WFP_101001_PC Products_LCD" xfId="0"/>
    <cellStyle name="_LCD_VSE WFP_101001_PC Products_PJ" xfId="0"/>
    <cellStyle name="_LCD_VSE WFP_101001_VSA 111014" xfId="0"/>
    <cellStyle name="_LCD_VSE WFP_101001_VSA 111014 2" xfId="0"/>
    <cellStyle name="_LCD_VSE WFP_101001_VSA 111014 3" xfId="0"/>
    <cellStyle name="_LCD_VSE WFP_101001_VSA 111014 4" xfId="0"/>
    <cellStyle name="_LCD_VSE WFP_101001_VSA 111014 4 2" xfId="0"/>
    <cellStyle name="_LCD_VSE WFP_101001_VSA 111014_By Region" xfId="0"/>
    <cellStyle name="_LCD_VSE WFP_101001_VSA 111014_CORP SG&amp;A" xfId="0"/>
    <cellStyle name="_LCD_VSE WFP_101001_VSA 111014_LCD" xfId="0"/>
    <cellStyle name="_LCD_VSE WFP_101001_VSA 111014_PJ" xfId="0"/>
    <cellStyle name="_LCD_VSE WFP_101001_VSA Roll-Up (LW)" xfId="0"/>
    <cellStyle name="_LCD_VSE WFP_101001_VSA Roll-Up (LW) 2" xfId="0"/>
    <cellStyle name="_LCD_VSE WFP_101001_VSA Roll-Up (LW) 3" xfId="0"/>
    <cellStyle name="_LCD_VSE WFP_101001_VSA Roll-Up (LW) 4" xfId="0"/>
    <cellStyle name="_LCD_VSE WFP_101001_VSA Roll-Up (LW) 4 2" xfId="0"/>
    <cellStyle name="_LCD_VSE WFP_101001_VSA Roll-Up (LW)_By Region" xfId="0"/>
    <cellStyle name="_LCD_VSE WFP_101001_VSA Roll-Up (LW)_CORP SG&amp;A" xfId="0"/>
    <cellStyle name="_LCD_VSE WFP_101001_VSA Roll-Up (LW)_LCD" xfId="0"/>
    <cellStyle name="_LCD_VSE WFP_101001_VSA Roll-Up (LW)_PJ" xfId="0"/>
    <cellStyle name="_LCD_VSE WFP_101029-with more ViewPad 7" xfId="0"/>
    <cellStyle name="_LCD_VSE WFP_101029-with more ViewPad 7 2" xfId="0"/>
    <cellStyle name="_LCD_VSE WFP_101029-with more ViewPad 7 3" xfId="0"/>
    <cellStyle name="_LCD_VSE WFP_101029-with more ViewPad 7 4" xfId="0"/>
    <cellStyle name="_LCD_VSE WFP_101029-with more ViewPad 7_By Region" xfId="0"/>
    <cellStyle name="_LCD_VSE WFP_101029-with more ViewPad 7_CORP SG&amp;A" xfId="0"/>
    <cellStyle name="_LCD_VSE WFP_101029-with more ViewPad 7_Digitizer" xfId="0"/>
    <cellStyle name="_LCD_VSE WFP_101029-with more ViewPad 7_GPS OTHER" xfId="0"/>
    <cellStyle name="_LCD_VSE WFP_101029-with more ViewPad 7_GPS OTHER 2" xfId="0"/>
    <cellStyle name="_LCD_VSE WFP_101029-with more ViewPad 7_GPS OTHER 3" xfId="0"/>
    <cellStyle name="_LCD_VSE WFP_101029-with more ViewPad 7_GPS OTHER 4" xfId="0"/>
    <cellStyle name="_LCD_VSE WFP_101029-with more ViewPad 7_GPS OTHER 4 2" xfId="0"/>
    <cellStyle name="_LCD_VSE WFP_101029-with more ViewPad 7_GPS OTHER_By Region" xfId="0"/>
    <cellStyle name="_LCD_VSE WFP_101029-with more ViewPad 7_GPS OTHER_CORP SG&amp;A" xfId="0"/>
    <cellStyle name="_LCD_VSE WFP_101029-with more ViewPad 7_GPS OTHER_LCD" xfId="0"/>
    <cellStyle name="_LCD_VSE WFP_101029-with more ViewPad 7_GPS OTHER_PJ" xfId="0"/>
    <cellStyle name="_LCD_VSE WFP_101029-with more ViewPad 7_LCD" xfId="0"/>
    <cellStyle name="_LCD_VSE WFP_101029-with more ViewPad 7_LCD 2" xfId="0"/>
    <cellStyle name="_LCD_VSE WFP_101029-with more ViewPad 7_LCD 3" xfId="0"/>
    <cellStyle name="_LCD_VSE WFP_101029-with more ViewPad 7_LCD 4" xfId="0"/>
    <cellStyle name="_LCD_VSE WFP_101029-with more ViewPad 7_LCD_By Region" xfId="0"/>
    <cellStyle name="_LCD_VSE WFP_101029-with more ViewPad 7_LCD_CORP SG&amp;A" xfId="0"/>
    <cellStyle name="_LCD_VSE WFP_101029-with more ViewPad 7_LCD_LCD" xfId="0"/>
    <cellStyle name="_LCD_VSE WFP_101029-with more ViewPad 7_LCD_PJ" xfId="0"/>
    <cellStyle name="_LCD_VSE WFP_101029-with more ViewPad 7_PC Products" xfId="0"/>
    <cellStyle name="_LCD_VSE WFP_101029-with more ViewPad 7_PC Products 2" xfId="0"/>
    <cellStyle name="_LCD_VSE WFP_101029-with more ViewPad 7_PC Products 3" xfId="0"/>
    <cellStyle name="_LCD_VSE WFP_101029-with more ViewPad 7_PC Products 4" xfId="0"/>
    <cellStyle name="_LCD_VSE WFP_101029-with more ViewPad 7_PC Products 4 2" xfId="0"/>
    <cellStyle name="_LCD_VSE WFP_101029-with more ViewPad 7_PC Products_By Region" xfId="0"/>
    <cellStyle name="_LCD_VSE WFP_101029-with more ViewPad 7_PC Products_CORP SG&amp;A" xfId="0"/>
    <cellStyle name="_LCD_VSE WFP_101029-with more ViewPad 7_PC Products_LCD" xfId="0"/>
    <cellStyle name="_LCD_VSE WFP_101029-with more ViewPad 7_PC Products_PJ" xfId="0"/>
    <cellStyle name="_LCD_VSE WFP_101029-with more ViewPad 7_VSA 111014" xfId="0"/>
    <cellStyle name="_LCD_VSE WFP_101029-with more ViewPad 7_VSA 111014 2" xfId="0"/>
    <cellStyle name="_LCD_VSE WFP_101029-with more ViewPad 7_VSA 111014 3" xfId="0"/>
    <cellStyle name="_LCD_VSE WFP_101029-with more ViewPad 7_VSA 111014 4" xfId="0"/>
    <cellStyle name="_LCD_VSE WFP_101029-with more ViewPad 7_VSA 111014 4 2" xfId="0"/>
    <cellStyle name="_LCD_VSE WFP_101029-with more ViewPad 7_VSA 111014_By Region" xfId="0"/>
    <cellStyle name="_LCD_VSE WFP_101029-with more ViewPad 7_VSA 111014_CORP SG&amp;A" xfId="0"/>
    <cellStyle name="_LCD_VSE WFP_101029-with more ViewPad 7_VSA 111014_LCD" xfId="0"/>
    <cellStyle name="_LCD_VSE WFP_101029-with more ViewPad 7_VSA 111014_PJ" xfId="0"/>
    <cellStyle name="_LCD_VSE WFP_101029-with more ViewPad 7_VSA Roll-Up (LW)" xfId="0"/>
    <cellStyle name="_LCD_VSE WFP_101029-with more ViewPad 7_VSA Roll-Up (LW) 2" xfId="0"/>
    <cellStyle name="_LCD_VSE WFP_101029-with more ViewPad 7_VSA Roll-Up (LW) 3" xfId="0"/>
    <cellStyle name="_LCD_VSE WFP_101029-with more ViewPad 7_VSA Roll-Up (LW) 4" xfId="0"/>
    <cellStyle name="_LCD_VSE WFP_101029-with more ViewPad 7_VSA Roll-Up (LW) 4 2" xfId="0"/>
    <cellStyle name="_LCD_VSE WFP_101029-with more ViewPad 7_VSA Roll-Up (LW)_By Region" xfId="0"/>
    <cellStyle name="_LCD_VSE WFP_101029-with more ViewPad 7_VSA Roll-Up (LW)_CORP SG&amp;A" xfId="0"/>
    <cellStyle name="_LCD_VSE WFP_101029-with more ViewPad 7_VSA Roll-Up (LW)_LCD" xfId="0"/>
    <cellStyle name="_LCD_VSE WFP_101029-with more ViewPad 7_VSA Roll-Up (LW)_PJ" xfId="0"/>
    <cellStyle name="_LCDTV" xfId="0"/>
    <cellStyle name="_LCDTV 2" xfId="0"/>
    <cellStyle name="_LCDTV 3" xfId="0"/>
    <cellStyle name="_LCDTV 4" xfId="0"/>
    <cellStyle name="_LCDTV 5" xfId="0"/>
    <cellStyle name="_LCDTV DCR" xfId="0"/>
    <cellStyle name="_LCDTV DCR 2" xfId="0"/>
    <cellStyle name="_LCDTV DCR_13-wk VSI_Revised" xfId="0"/>
    <cellStyle name="_LCDTV DCR_13-wk VSI_Revised 2" xfId="0"/>
    <cellStyle name="_LCDTV DCR_DCR" xfId="0"/>
    <cellStyle name="_LCDTV DCR_DCR 2" xfId="0"/>
    <cellStyle name="_LCDTV DCR_VSE DCR Planning Model and Trend Charts 20100118" xfId="0"/>
    <cellStyle name="_LCDTV DCR_VSE DCR Planning Model and Trend Charts 20100118 2" xfId="0"/>
    <cellStyle name="_LCDTV DCR_VSE DCR Planning Model and Trend Charts 20100315" xfId="0"/>
    <cellStyle name="_LCDTV DCR_VSE DCR Planning Model and Trend Charts 20100315 2" xfId="0"/>
    <cellStyle name="_LCDTV DCR_WMR VSI" xfId="0"/>
    <cellStyle name="_LCDTV DCR_WMR VSI 2" xfId="0"/>
    <cellStyle name="_LCDTV_By Region" xfId="0"/>
    <cellStyle name="_LCDTV_CIS" xfId="0"/>
    <cellStyle name="_LCDTV_CIS 2" xfId="0"/>
    <cellStyle name="_LCDTV_CIS 3" xfId="0"/>
    <cellStyle name="_LCDTV_CIS 4" xfId="0"/>
    <cellStyle name="_LCDTV_CIS_By Region" xfId="0"/>
    <cellStyle name="_LCDTV_CIS_CORP SG&amp;A" xfId="0"/>
    <cellStyle name="_LCDTV_CIS_Digitizer" xfId="0"/>
    <cellStyle name="_LCDTV_CIS_GPS OTHER" xfId="0"/>
    <cellStyle name="_LCDTV_CIS_GPS OTHER 2" xfId="0"/>
    <cellStyle name="_LCDTV_CIS_GPS OTHER 3" xfId="0"/>
    <cellStyle name="_LCDTV_CIS_GPS OTHER 4" xfId="0"/>
    <cellStyle name="_LCDTV_CIS_GPS OTHER 4 2" xfId="0"/>
    <cellStyle name="_LCDTV_CIS_GPS OTHER_By Region" xfId="0"/>
    <cellStyle name="_LCDTV_CIS_GPS OTHER_CORP SG&amp;A" xfId="0"/>
    <cellStyle name="_LCDTV_CIS_GPS OTHER_LCD" xfId="0"/>
    <cellStyle name="_LCDTV_CIS_GPS OTHER_PJ" xfId="0"/>
    <cellStyle name="_LCDTV_CIS_LCD" xfId="0"/>
    <cellStyle name="_LCDTV_CIS_LCD 2" xfId="0"/>
    <cellStyle name="_LCDTV_CIS_LCD 3" xfId="0"/>
    <cellStyle name="_LCDTV_CIS_LCD 4" xfId="0"/>
    <cellStyle name="_LCDTV_CIS_LCD_By Region" xfId="0"/>
    <cellStyle name="_LCDTV_CIS_LCD_CORP SG&amp;A" xfId="0"/>
    <cellStyle name="_LCDTV_CIS_LCD_LCD" xfId="0"/>
    <cellStyle name="_LCDTV_CIS_LCD_PJ" xfId="0"/>
    <cellStyle name="_LCDTV_CIS_PC Products" xfId="0"/>
    <cellStyle name="_LCDTV_CIS_PC Products 2" xfId="0"/>
    <cellStyle name="_LCDTV_CIS_PC Products 3" xfId="0"/>
    <cellStyle name="_LCDTV_CIS_PC Products 4" xfId="0"/>
    <cellStyle name="_LCDTV_CIS_PC Products 4 2" xfId="0"/>
    <cellStyle name="_LCDTV_CIS_PC Products_By Region" xfId="0"/>
    <cellStyle name="_LCDTV_CIS_PC Products_CORP SG&amp;A" xfId="0"/>
    <cellStyle name="_LCDTV_CIS_PC Products_LCD" xfId="0"/>
    <cellStyle name="_LCDTV_CIS_PC Products_PJ" xfId="0"/>
    <cellStyle name="_LCDTV_CIS_VSA 111014" xfId="0"/>
    <cellStyle name="_LCDTV_CIS_VSA 111014 2" xfId="0"/>
    <cellStyle name="_LCDTV_CIS_VSA 111014 3" xfId="0"/>
    <cellStyle name="_LCDTV_CIS_VSA 111014 4" xfId="0"/>
    <cellStyle name="_LCDTV_CIS_VSA 111014 4 2" xfId="0"/>
    <cellStyle name="_LCDTV_CIS_VSA 111014_By Region" xfId="0"/>
    <cellStyle name="_LCDTV_CIS_VSA 111014_CORP SG&amp;A" xfId="0"/>
    <cellStyle name="_LCDTV_CIS_VSA 111014_LCD" xfId="0"/>
    <cellStyle name="_LCDTV_CIS_VSA 111014_PJ" xfId="0"/>
    <cellStyle name="_LCDTV_CIS_VSA Roll-Up (LW)" xfId="0"/>
    <cellStyle name="_LCDTV_CIS_VSA Roll-Up (LW) 2" xfId="0"/>
    <cellStyle name="_LCDTV_CIS_VSA Roll-Up (LW) 3" xfId="0"/>
    <cellStyle name="_LCDTV_CIS_VSA Roll-Up (LW) 4" xfId="0"/>
    <cellStyle name="_LCDTV_CIS_VSA Roll-Up (LW) 4 2" xfId="0"/>
    <cellStyle name="_LCDTV_CIS_VSA Roll-Up (LW)_By Region" xfId="0"/>
    <cellStyle name="_LCDTV_CIS_VSA Roll-Up (LW)_CORP SG&amp;A" xfId="0"/>
    <cellStyle name="_LCDTV_CIS_VSA Roll-Up (LW)_LCD" xfId="0"/>
    <cellStyle name="_LCDTV_CIS_VSA Roll-Up (LW)_PJ" xfId="0"/>
    <cellStyle name="_LCDTV_CORP SG&amp;A" xfId="0"/>
    <cellStyle name="_LCDTV_CRT" xfId="0"/>
    <cellStyle name="_LCDTV_CRT 2" xfId="0"/>
    <cellStyle name="_LCDTV_CRT 3" xfId="0"/>
    <cellStyle name="_LCDTV_CRT 4" xfId="0"/>
    <cellStyle name="_LCDTV_CRT_By Region" xfId="0"/>
    <cellStyle name="_LCDTV_CRT_CORP SG&amp;A" xfId="0"/>
    <cellStyle name="_LCDTV_CRT_Digitizer" xfId="0"/>
    <cellStyle name="_LCDTV_CRT_GPS OTHER" xfId="0"/>
    <cellStyle name="_LCDTV_CRT_GPS OTHER 2" xfId="0"/>
    <cellStyle name="_LCDTV_CRT_GPS OTHER 3" xfId="0"/>
    <cellStyle name="_LCDTV_CRT_GPS OTHER 4" xfId="0"/>
    <cellStyle name="_LCDTV_CRT_GPS OTHER 4 2" xfId="0"/>
    <cellStyle name="_LCDTV_CRT_GPS OTHER_By Region" xfId="0"/>
    <cellStyle name="_LCDTV_CRT_GPS OTHER_CORP SG&amp;A" xfId="0"/>
    <cellStyle name="_LCDTV_CRT_GPS OTHER_LCD" xfId="0"/>
    <cellStyle name="_LCDTV_CRT_GPS OTHER_PJ" xfId="0"/>
    <cellStyle name="_LCDTV_CRT_LCD" xfId="0"/>
    <cellStyle name="_LCDTV_CRT_LCD 2" xfId="0"/>
    <cellStyle name="_LCDTV_CRT_LCD 3" xfId="0"/>
    <cellStyle name="_LCDTV_CRT_LCD 4" xfId="0"/>
    <cellStyle name="_LCDTV_CRT_LCD_By Region" xfId="0"/>
    <cellStyle name="_LCDTV_CRT_LCD_CORP SG&amp;A" xfId="0"/>
    <cellStyle name="_LCDTV_CRT_LCD_LCD" xfId="0"/>
    <cellStyle name="_LCDTV_CRT_LCD_PJ" xfId="0"/>
    <cellStyle name="_LCDTV_CRT_PC Products" xfId="0"/>
    <cellStyle name="_LCDTV_CRT_PC Products 2" xfId="0"/>
    <cellStyle name="_LCDTV_CRT_PC Products 3" xfId="0"/>
    <cellStyle name="_LCDTV_CRT_PC Products 4" xfId="0"/>
    <cellStyle name="_LCDTV_CRT_PC Products 4 2" xfId="0"/>
    <cellStyle name="_LCDTV_CRT_PC Products_By Region" xfId="0"/>
    <cellStyle name="_LCDTV_CRT_PC Products_CORP SG&amp;A" xfId="0"/>
    <cellStyle name="_LCDTV_CRT_PC Products_LCD" xfId="0"/>
    <cellStyle name="_LCDTV_CRT_PC Products_PJ" xfId="0"/>
    <cellStyle name="_LCDTV_CRT_VSA 111014" xfId="0"/>
    <cellStyle name="_LCDTV_CRT_VSA 111014 2" xfId="0"/>
    <cellStyle name="_LCDTV_CRT_VSA 111014 3" xfId="0"/>
    <cellStyle name="_LCDTV_CRT_VSA 111014 4" xfId="0"/>
    <cellStyle name="_LCDTV_CRT_VSA 111014 4 2" xfId="0"/>
    <cellStyle name="_LCDTV_CRT_VSA 111014_By Region" xfId="0"/>
    <cellStyle name="_LCDTV_CRT_VSA 111014_CORP SG&amp;A" xfId="0"/>
    <cellStyle name="_LCDTV_CRT_VSA 111014_LCD" xfId="0"/>
    <cellStyle name="_LCDTV_CRT_VSA 111014_PJ" xfId="0"/>
    <cellStyle name="_LCDTV_CRT_VSA Roll-Up (LW)" xfId="0"/>
    <cellStyle name="_LCDTV_CRT_VSA Roll-Up (LW) 2" xfId="0"/>
    <cellStyle name="_LCDTV_CRT_VSA Roll-Up (LW) 3" xfId="0"/>
    <cellStyle name="_LCDTV_CRT_VSA Roll-Up (LW) 4" xfId="0"/>
    <cellStyle name="_LCDTV_CRT_VSA Roll-Up (LW) 4 2" xfId="0"/>
    <cellStyle name="_LCDTV_CRT_VSA Roll-Up (LW)_By Region" xfId="0"/>
    <cellStyle name="_LCDTV_CRT_VSA Roll-Up (LW)_CORP SG&amp;A" xfId="0"/>
    <cellStyle name="_LCDTV_CRT_VSA Roll-Up (LW)_LCD" xfId="0"/>
    <cellStyle name="_LCDTV_CRT_VSA Roll-Up (LW)_PJ" xfId="0"/>
    <cellStyle name="_LCDTV_Diff" xfId="0"/>
    <cellStyle name="_LCDTV_Diff 2" xfId="0"/>
    <cellStyle name="_LCDTV_Diff 3" xfId="0"/>
    <cellStyle name="_LCDTV_Diff 4" xfId="0"/>
    <cellStyle name="_LCDTV_Diff_By Region" xfId="0"/>
    <cellStyle name="_LCDTV_Diff_CORP SG&amp;A" xfId="0"/>
    <cellStyle name="_LCDTV_Diff_Digitizer" xfId="0"/>
    <cellStyle name="_LCDTV_Diff_GPS OTHER" xfId="0"/>
    <cellStyle name="_LCDTV_Diff_GPS OTHER 2" xfId="0"/>
    <cellStyle name="_LCDTV_Diff_GPS OTHER 3" xfId="0"/>
    <cellStyle name="_LCDTV_Diff_GPS OTHER 4" xfId="0"/>
    <cellStyle name="_LCDTV_Diff_GPS OTHER 4 2" xfId="0"/>
    <cellStyle name="_LCDTV_Diff_GPS OTHER_By Region" xfId="0"/>
    <cellStyle name="_LCDTV_Diff_GPS OTHER_CORP SG&amp;A" xfId="0"/>
    <cellStyle name="_LCDTV_Diff_GPS OTHER_LCD" xfId="0"/>
    <cellStyle name="_LCDTV_Diff_GPS OTHER_PJ" xfId="0"/>
    <cellStyle name="_LCDTV_Diff_LCD" xfId="0"/>
    <cellStyle name="_LCDTV_Diff_LCD 2" xfId="0"/>
    <cellStyle name="_LCDTV_Diff_LCD 3" xfId="0"/>
    <cellStyle name="_LCDTV_Diff_LCD 4" xfId="0"/>
    <cellStyle name="_LCDTV_Diff_LCD_By Region" xfId="0"/>
    <cellStyle name="_LCDTV_Diff_LCD_CORP SG&amp;A" xfId="0"/>
    <cellStyle name="_LCDTV_Diff_LCD_LCD" xfId="0"/>
    <cellStyle name="_LCDTV_Diff_LCD_PJ" xfId="0"/>
    <cellStyle name="_LCDTV_Diff_PC Products" xfId="0"/>
    <cellStyle name="_LCDTV_Diff_PC Products 2" xfId="0"/>
    <cellStyle name="_LCDTV_Diff_PC Products 3" xfId="0"/>
    <cellStyle name="_LCDTV_Diff_PC Products 4" xfId="0"/>
    <cellStyle name="_LCDTV_Diff_PC Products 4 2" xfId="0"/>
    <cellStyle name="_LCDTV_Diff_PC Products_By Region" xfId="0"/>
    <cellStyle name="_LCDTV_Diff_PC Products_CORP SG&amp;A" xfId="0"/>
    <cellStyle name="_LCDTV_Diff_PC Products_LCD" xfId="0"/>
    <cellStyle name="_LCDTV_Diff_PC Products_PJ" xfId="0"/>
    <cellStyle name="_LCDTV_Diff_VSA 111014" xfId="0"/>
    <cellStyle name="_LCDTV_Diff_VSA 111014 2" xfId="0"/>
    <cellStyle name="_LCDTV_Diff_VSA 111014 3" xfId="0"/>
    <cellStyle name="_LCDTV_Diff_VSA 111014 4" xfId="0"/>
    <cellStyle name="_LCDTV_Diff_VSA 111014 4 2" xfId="0"/>
    <cellStyle name="_LCDTV_Diff_VSA 111014_By Region" xfId="0"/>
    <cellStyle name="_LCDTV_Diff_VSA 111014_CORP SG&amp;A" xfId="0"/>
    <cellStyle name="_LCDTV_Diff_VSA 111014_LCD" xfId="0"/>
    <cellStyle name="_LCDTV_Diff_VSA 111014_PJ" xfId="0"/>
    <cellStyle name="_LCDTV_Diff_VSA Roll-Up (LW)" xfId="0"/>
    <cellStyle name="_LCDTV_Diff_VSA Roll-Up (LW) 2" xfId="0"/>
    <cellStyle name="_LCDTV_Diff_VSA Roll-Up (LW) 3" xfId="0"/>
    <cellStyle name="_LCDTV_Diff_VSA Roll-Up (LW) 4" xfId="0"/>
    <cellStyle name="_LCDTV_Diff_VSA Roll-Up (LW) 4 2" xfId="0"/>
    <cellStyle name="_LCDTV_Diff_VSA Roll-Up (LW)_By Region" xfId="0"/>
    <cellStyle name="_LCDTV_Diff_VSA Roll-Up (LW)_CORP SG&amp;A" xfId="0"/>
    <cellStyle name="_LCDTV_Diff_VSA Roll-Up (LW)_LCD" xfId="0"/>
    <cellStyle name="_LCDTV_Diff_VSA Roll-Up (LW)_PJ" xfId="0"/>
    <cellStyle name="_LCDTV_Digital Product" xfId="0"/>
    <cellStyle name="_LCDTV_Digital Product 2" xfId="0"/>
    <cellStyle name="_LCDTV_Digital Product 3" xfId="0"/>
    <cellStyle name="_LCDTV_Digital Product 4" xfId="0"/>
    <cellStyle name="_LCDTV_Digital Product_By Region" xfId="0"/>
    <cellStyle name="_LCDTV_Digital Product_CORP SG&amp;A" xfId="0"/>
    <cellStyle name="_LCDTV_Digital Product_Digitizer" xfId="0"/>
    <cellStyle name="_LCDTV_Digital Product_GPS OTHER" xfId="0"/>
    <cellStyle name="_LCDTV_Digital Product_GPS OTHER 2" xfId="0"/>
    <cellStyle name="_LCDTV_Digital Product_GPS OTHER 3" xfId="0"/>
    <cellStyle name="_LCDTV_Digital Product_GPS OTHER 4" xfId="0"/>
    <cellStyle name="_LCDTV_Digital Product_GPS OTHER 4 2" xfId="0"/>
    <cellStyle name="_LCDTV_Digital Product_GPS OTHER_By Region" xfId="0"/>
    <cellStyle name="_LCDTV_Digital Product_GPS OTHER_CORP SG&amp;A" xfId="0"/>
    <cellStyle name="_LCDTV_Digital Product_GPS OTHER_LCD" xfId="0"/>
    <cellStyle name="_LCDTV_Digital Product_GPS OTHER_PJ" xfId="0"/>
    <cellStyle name="_LCDTV_Digital Product_LCD" xfId="0"/>
    <cellStyle name="_LCDTV_Digital Product_LCD 2" xfId="0"/>
    <cellStyle name="_LCDTV_Digital Product_LCD 3" xfId="0"/>
    <cellStyle name="_LCDTV_Digital Product_LCD 4" xfId="0"/>
    <cellStyle name="_LCDTV_Digital Product_LCD_By Region" xfId="0"/>
    <cellStyle name="_LCDTV_Digital Product_LCD_CORP SG&amp;A" xfId="0"/>
    <cellStyle name="_LCDTV_Digital Product_LCD_LCD" xfId="0"/>
    <cellStyle name="_LCDTV_Digital Product_LCD_PJ" xfId="0"/>
    <cellStyle name="_LCDTV_Digital Product_PC Products" xfId="0"/>
    <cellStyle name="_LCDTV_Digital Product_PC Products 2" xfId="0"/>
    <cellStyle name="_LCDTV_Digital Product_PC Products 3" xfId="0"/>
    <cellStyle name="_LCDTV_Digital Product_PC Products 4" xfId="0"/>
    <cellStyle name="_LCDTV_Digital Product_PC Products 4 2" xfId="0"/>
    <cellStyle name="_LCDTV_Digital Product_PC Products_By Region" xfId="0"/>
    <cellStyle name="_LCDTV_Digital Product_PC Products_CORP SG&amp;A" xfId="0"/>
    <cellStyle name="_LCDTV_Digital Product_PC Products_LCD" xfId="0"/>
    <cellStyle name="_LCDTV_Digital Product_PC Products_PJ" xfId="0"/>
    <cellStyle name="_LCDTV_Digital Product_VSA 111014" xfId="0"/>
    <cellStyle name="_LCDTV_Digital Product_VSA 111014 2" xfId="0"/>
    <cellStyle name="_LCDTV_Digital Product_VSA 111014 3" xfId="0"/>
    <cellStyle name="_LCDTV_Digital Product_VSA 111014 4" xfId="0"/>
    <cellStyle name="_LCDTV_Digital Product_VSA 111014 4 2" xfId="0"/>
    <cellStyle name="_LCDTV_Digital Product_VSA 111014_By Region" xfId="0"/>
    <cellStyle name="_LCDTV_Digital Product_VSA 111014_CORP SG&amp;A" xfId="0"/>
    <cellStyle name="_LCDTV_Digital Product_VSA 111014_LCD" xfId="0"/>
    <cellStyle name="_LCDTV_Digital Product_VSA 111014_PJ" xfId="0"/>
    <cellStyle name="_LCDTV_Digital Product_VSA Roll-Up (LW)" xfId="0"/>
    <cellStyle name="_LCDTV_Digital Product_VSA Roll-Up (LW) 2" xfId="0"/>
    <cellStyle name="_LCDTV_Digital Product_VSA Roll-Up (LW) 3" xfId="0"/>
    <cellStyle name="_LCDTV_Digital Product_VSA Roll-Up (LW) 4" xfId="0"/>
    <cellStyle name="_LCDTV_Digital Product_VSA Roll-Up (LW) 4 2" xfId="0"/>
    <cellStyle name="_LCDTV_Digital Product_VSA Roll-Up (LW)_By Region" xfId="0"/>
    <cellStyle name="_LCDTV_Digital Product_VSA Roll-Up (LW)_CORP SG&amp;A" xfId="0"/>
    <cellStyle name="_LCDTV_Digital Product_VSA Roll-Up (LW)_LCD" xfId="0"/>
    <cellStyle name="_LCDTV_Digital Product_VSA Roll-Up (LW)_PJ" xfId="0"/>
    <cellStyle name="_LCDTV_Digital Signage" xfId="0"/>
    <cellStyle name="_LCDTV_Digital Signage 2" xfId="0"/>
    <cellStyle name="_LCDTV_Digital Signage 3" xfId="0"/>
    <cellStyle name="_LCDTV_Digital Signage 4" xfId="0"/>
    <cellStyle name="_LCDTV_Digital Signage_By Region" xfId="0"/>
    <cellStyle name="_LCDTV_Digital Signage_CORP SG&amp;A" xfId="0"/>
    <cellStyle name="_LCDTV_Digital Signage_Digitizer" xfId="0"/>
    <cellStyle name="_LCDTV_Digital Signage_GPS OTHER" xfId="0"/>
    <cellStyle name="_LCDTV_Digital Signage_GPS OTHER 2" xfId="0"/>
    <cellStyle name="_LCDTV_Digital Signage_GPS OTHER 3" xfId="0"/>
    <cellStyle name="_LCDTV_Digital Signage_GPS OTHER 4" xfId="0"/>
    <cellStyle name="_LCDTV_Digital Signage_GPS OTHER 4 2" xfId="0"/>
    <cellStyle name="_LCDTV_Digital Signage_GPS OTHER_By Region" xfId="0"/>
    <cellStyle name="_LCDTV_Digital Signage_GPS OTHER_CORP SG&amp;A" xfId="0"/>
    <cellStyle name="_LCDTV_Digital Signage_GPS OTHER_LCD" xfId="0"/>
    <cellStyle name="_LCDTV_Digital Signage_GPS OTHER_PJ" xfId="0"/>
    <cellStyle name="_LCDTV_Digital Signage_LCD" xfId="0"/>
    <cellStyle name="_LCDTV_Digital Signage_LCD 2" xfId="0"/>
    <cellStyle name="_LCDTV_Digital Signage_LCD 3" xfId="0"/>
    <cellStyle name="_LCDTV_Digital Signage_LCD 4" xfId="0"/>
    <cellStyle name="_LCDTV_Digital Signage_LCD_By Region" xfId="0"/>
    <cellStyle name="_LCDTV_Digital Signage_LCD_CORP SG&amp;A" xfId="0"/>
    <cellStyle name="_LCDTV_Digital Signage_LCD_LCD" xfId="0"/>
    <cellStyle name="_LCDTV_Digital Signage_LCD_PJ" xfId="0"/>
    <cellStyle name="_LCDTV_Digital Signage_PC Products" xfId="0"/>
    <cellStyle name="_LCDTV_Digital Signage_PC Products 2" xfId="0"/>
    <cellStyle name="_LCDTV_Digital Signage_PC Products 3" xfId="0"/>
    <cellStyle name="_LCDTV_Digital Signage_PC Products 4" xfId="0"/>
    <cellStyle name="_LCDTV_Digital Signage_PC Products 4 2" xfId="0"/>
    <cellStyle name="_LCDTV_Digital Signage_PC Products_By Region" xfId="0"/>
    <cellStyle name="_LCDTV_Digital Signage_PC Products_CORP SG&amp;A" xfId="0"/>
    <cellStyle name="_LCDTV_Digital Signage_PC Products_LCD" xfId="0"/>
    <cellStyle name="_LCDTV_Digital Signage_PC Products_PJ" xfId="0"/>
    <cellStyle name="_LCDTV_Digital Signage_VSA 111014" xfId="0"/>
    <cellStyle name="_LCDTV_Digital Signage_VSA 111014 2" xfId="0"/>
    <cellStyle name="_LCDTV_Digital Signage_VSA 111014 3" xfId="0"/>
    <cellStyle name="_LCDTV_Digital Signage_VSA 111014 4" xfId="0"/>
    <cellStyle name="_LCDTV_Digital Signage_VSA 111014 4 2" xfId="0"/>
    <cellStyle name="_LCDTV_Digital Signage_VSA 111014_By Region" xfId="0"/>
    <cellStyle name="_LCDTV_Digital Signage_VSA 111014_CORP SG&amp;A" xfId="0"/>
    <cellStyle name="_LCDTV_Digital Signage_VSA 111014_LCD" xfId="0"/>
    <cellStyle name="_LCDTV_Digital Signage_VSA 111014_PJ" xfId="0"/>
    <cellStyle name="_LCDTV_Digital Signage_VSA Roll-Up (LW)" xfId="0"/>
    <cellStyle name="_LCDTV_Digital Signage_VSA Roll-Up (LW) 2" xfId="0"/>
    <cellStyle name="_LCDTV_Digital Signage_VSA Roll-Up (LW) 3" xfId="0"/>
    <cellStyle name="_LCDTV_Digital Signage_VSA Roll-Up (LW) 4" xfId="0"/>
    <cellStyle name="_LCDTV_Digital Signage_VSA Roll-Up (LW) 4 2" xfId="0"/>
    <cellStyle name="_LCDTV_Digital Signage_VSA Roll-Up (LW)_By Region" xfId="0"/>
    <cellStyle name="_LCDTV_Digital Signage_VSA Roll-Up (LW)_CORP SG&amp;A" xfId="0"/>
    <cellStyle name="_LCDTV_Digital Signage_VSA Roll-Up (LW)_LCD" xfId="0"/>
    <cellStyle name="_LCDTV_Digital Signage_VSA Roll-Up (LW)_PJ" xfId="0"/>
    <cellStyle name="_LCDTV_Digitizer" xfId="0"/>
    <cellStyle name="_LCDTV_DMA(VMP)" xfId="0"/>
    <cellStyle name="_LCDTV_DMA(VMP) 2" xfId="0"/>
    <cellStyle name="_LCDTV_DMA(VMP) 3" xfId="0"/>
    <cellStyle name="_LCDTV_DMA(VMP) 4" xfId="0"/>
    <cellStyle name="_LCDTV_DMA(VMP)_By Region" xfId="0"/>
    <cellStyle name="_LCDTV_DMA(VMP)_CORP SG&amp;A" xfId="0"/>
    <cellStyle name="_LCDTV_DMA(VMP)_Digitizer" xfId="0"/>
    <cellStyle name="_LCDTV_DMA(VMP)_GPS OTHER" xfId="0"/>
    <cellStyle name="_LCDTV_DMA(VMP)_GPS OTHER 2" xfId="0"/>
    <cellStyle name="_LCDTV_DMA(VMP)_GPS OTHER 3" xfId="0"/>
    <cellStyle name="_LCDTV_DMA(VMP)_GPS OTHER 4" xfId="0"/>
    <cellStyle name="_LCDTV_DMA(VMP)_GPS OTHER 4 2" xfId="0"/>
    <cellStyle name="_LCDTV_DMA(VMP)_GPS OTHER_By Region" xfId="0"/>
    <cellStyle name="_LCDTV_DMA(VMP)_GPS OTHER_CORP SG&amp;A" xfId="0"/>
    <cellStyle name="_LCDTV_DMA(VMP)_GPS OTHER_LCD" xfId="0"/>
    <cellStyle name="_LCDTV_DMA(VMP)_GPS OTHER_PJ" xfId="0"/>
    <cellStyle name="_LCDTV_DMA(VMP)_LCD" xfId="0"/>
    <cellStyle name="_LCDTV_DMA(VMP)_LCD 2" xfId="0"/>
    <cellStyle name="_LCDTV_DMA(VMP)_LCD 3" xfId="0"/>
    <cellStyle name="_LCDTV_DMA(VMP)_LCD 4" xfId="0"/>
    <cellStyle name="_LCDTV_DMA(VMP)_LCD_By Region" xfId="0"/>
    <cellStyle name="_LCDTV_DMA(VMP)_LCD_CORP SG&amp;A" xfId="0"/>
    <cellStyle name="_LCDTV_DMA(VMP)_LCD_LCD" xfId="0"/>
    <cellStyle name="_LCDTV_DMA(VMP)_LCD_PJ" xfId="0"/>
    <cellStyle name="_LCDTV_DMA(VMP)_PC Products" xfId="0"/>
    <cellStyle name="_LCDTV_DMA(VMP)_PC Products 2" xfId="0"/>
    <cellStyle name="_LCDTV_DMA(VMP)_PC Products 3" xfId="0"/>
    <cellStyle name="_LCDTV_DMA(VMP)_PC Products 4" xfId="0"/>
    <cellStyle name="_LCDTV_DMA(VMP)_PC Products 4 2" xfId="0"/>
    <cellStyle name="_LCDTV_DMA(VMP)_PC Products_By Region" xfId="0"/>
    <cellStyle name="_LCDTV_DMA(VMP)_PC Products_CORP SG&amp;A" xfId="0"/>
    <cellStyle name="_LCDTV_DMA(VMP)_PC Products_LCD" xfId="0"/>
    <cellStyle name="_LCDTV_DMA(VMP)_PC Products_PJ" xfId="0"/>
    <cellStyle name="_LCDTV_DMA(VMP)_VSA 111014" xfId="0"/>
    <cellStyle name="_LCDTV_DMA(VMP)_VSA 111014 2" xfId="0"/>
    <cellStyle name="_LCDTV_DMA(VMP)_VSA 111014 3" xfId="0"/>
    <cellStyle name="_LCDTV_DMA(VMP)_VSA 111014 4" xfId="0"/>
    <cellStyle name="_LCDTV_DMA(VMP)_VSA 111014 4 2" xfId="0"/>
    <cellStyle name="_LCDTV_DMA(VMP)_VSA 111014_By Region" xfId="0"/>
    <cellStyle name="_LCDTV_DMA(VMP)_VSA 111014_CORP SG&amp;A" xfId="0"/>
    <cellStyle name="_LCDTV_DMA(VMP)_VSA 111014_LCD" xfId="0"/>
    <cellStyle name="_LCDTV_DMA(VMP)_VSA 111014_PJ" xfId="0"/>
    <cellStyle name="_LCDTV_DMA(VMP)_VSA Roll-Up (LW)" xfId="0"/>
    <cellStyle name="_LCDTV_DMA(VMP)_VSA Roll-Up (LW) 2" xfId="0"/>
    <cellStyle name="_LCDTV_DMA(VMP)_VSA Roll-Up (LW) 3" xfId="0"/>
    <cellStyle name="_LCDTV_DMA(VMP)_VSA Roll-Up (LW) 4" xfId="0"/>
    <cellStyle name="_LCDTV_DMA(VMP)_VSA Roll-Up (LW) 4 2" xfId="0"/>
    <cellStyle name="_LCDTV_DMA(VMP)_VSA Roll-Up (LW)_By Region" xfId="0"/>
    <cellStyle name="_LCDTV_DMA(VMP)_VSA Roll-Up (LW)_CORP SG&amp;A" xfId="0"/>
    <cellStyle name="_LCDTV_DMA(VMP)_VSA Roll-Up (LW)_LCD" xfId="0"/>
    <cellStyle name="_LCDTV_DMA(VMP)_VSA Roll-Up (LW)_PJ" xfId="0"/>
    <cellStyle name="_LCDTV_DPF" xfId="0"/>
    <cellStyle name="_LCDTV_DPF 2" xfId="0"/>
    <cellStyle name="_LCDTV_DPF 3" xfId="0"/>
    <cellStyle name="_LCDTV_DPF 4" xfId="0"/>
    <cellStyle name="_LCDTV_DPF_By Region" xfId="0"/>
    <cellStyle name="_LCDTV_DPF_CORP SG&amp;A" xfId="0"/>
    <cellStyle name="_LCDTV_DPF_Digitizer" xfId="0"/>
    <cellStyle name="_LCDTV_DPF_GPS OTHER" xfId="0"/>
    <cellStyle name="_LCDTV_DPF_GPS OTHER 2" xfId="0"/>
    <cellStyle name="_LCDTV_DPF_GPS OTHER 3" xfId="0"/>
    <cellStyle name="_LCDTV_DPF_GPS OTHER 4" xfId="0"/>
    <cellStyle name="_LCDTV_DPF_GPS OTHER 4 2" xfId="0"/>
    <cellStyle name="_LCDTV_DPF_GPS OTHER_By Region" xfId="0"/>
    <cellStyle name="_LCDTV_DPF_GPS OTHER_CORP SG&amp;A" xfId="0"/>
    <cellStyle name="_LCDTV_DPF_GPS OTHER_LCD" xfId="0"/>
    <cellStyle name="_LCDTV_DPF_GPS OTHER_PJ" xfId="0"/>
    <cellStyle name="_LCDTV_DPF_LCD" xfId="0"/>
    <cellStyle name="_LCDTV_DPF_LCD 2" xfId="0"/>
    <cellStyle name="_LCDTV_DPF_LCD 3" xfId="0"/>
    <cellStyle name="_LCDTV_DPF_LCD 4" xfId="0"/>
    <cellStyle name="_LCDTV_DPF_LCD_By Region" xfId="0"/>
    <cellStyle name="_LCDTV_DPF_LCD_CORP SG&amp;A" xfId="0"/>
    <cellStyle name="_LCDTV_DPF_LCD_LCD" xfId="0"/>
    <cellStyle name="_LCDTV_DPF_LCD_PJ" xfId="0"/>
    <cellStyle name="_LCDTV_DPF_PC Products" xfId="0"/>
    <cellStyle name="_LCDTV_DPF_PC Products 2" xfId="0"/>
    <cellStyle name="_LCDTV_DPF_PC Products 3" xfId="0"/>
    <cellStyle name="_LCDTV_DPF_PC Products 4" xfId="0"/>
    <cellStyle name="_LCDTV_DPF_PC Products 4 2" xfId="0"/>
    <cellStyle name="_LCDTV_DPF_PC Products_By Region" xfId="0"/>
    <cellStyle name="_LCDTV_DPF_PC Products_CORP SG&amp;A" xfId="0"/>
    <cellStyle name="_LCDTV_DPF_PC Products_LCD" xfId="0"/>
    <cellStyle name="_LCDTV_DPF_PC Products_PJ" xfId="0"/>
    <cellStyle name="_LCDTV_DPF_VSA 111014" xfId="0"/>
    <cellStyle name="_LCDTV_DPF_VSA 111014 2" xfId="0"/>
    <cellStyle name="_LCDTV_DPF_VSA 111014 3" xfId="0"/>
    <cellStyle name="_LCDTV_DPF_VSA 111014 4" xfId="0"/>
    <cellStyle name="_LCDTV_DPF_VSA 111014 4 2" xfId="0"/>
    <cellStyle name="_LCDTV_DPF_VSA 111014_By Region" xfId="0"/>
    <cellStyle name="_LCDTV_DPF_VSA 111014_CORP SG&amp;A" xfId="0"/>
    <cellStyle name="_LCDTV_DPF_VSA 111014_LCD" xfId="0"/>
    <cellStyle name="_LCDTV_DPF_VSA 111014_PJ" xfId="0"/>
    <cellStyle name="_LCDTV_DPF_VSA Roll-Up (LW)" xfId="0"/>
    <cellStyle name="_LCDTV_DPF_VSA Roll-Up (LW) 2" xfId="0"/>
    <cellStyle name="_LCDTV_DPF_VSA Roll-Up (LW) 3" xfId="0"/>
    <cellStyle name="_LCDTV_DPF_VSA Roll-Up (LW) 4" xfId="0"/>
    <cellStyle name="_LCDTV_DPF_VSA Roll-Up (LW) 4 2" xfId="0"/>
    <cellStyle name="_LCDTV_DPF_VSA Roll-Up (LW)_By Region" xfId="0"/>
    <cellStyle name="_LCDTV_DPF_VSA Roll-Up (LW)_CORP SG&amp;A" xfId="0"/>
    <cellStyle name="_LCDTV_DPF_VSA Roll-Up (LW)_LCD" xfId="0"/>
    <cellStyle name="_LCDTV_DPF_VSA Roll-Up (LW)_PJ" xfId="0"/>
    <cellStyle name="_LCDTV_DS" xfId="0"/>
    <cellStyle name="_LCDTV_DS 2" xfId="0"/>
    <cellStyle name="_LCDTV_DS 3" xfId="0"/>
    <cellStyle name="_LCDTV_DS 4" xfId="0"/>
    <cellStyle name="_LCDTV_DS_By Region" xfId="0"/>
    <cellStyle name="_LCDTV_DS_CORP SG&amp;A" xfId="0"/>
    <cellStyle name="_LCDTV_DS_Digitizer" xfId="0"/>
    <cellStyle name="_LCDTV_DS_GPS OTHER" xfId="0"/>
    <cellStyle name="_LCDTV_DS_GPS OTHER 2" xfId="0"/>
    <cellStyle name="_LCDTV_DS_GPS OTHER 3" xfId="0"/>
    <cellStyle name="_LCDTV_DS_GPS OTHER 4" xfId="0"/>
    <cellStyle name="_LCDTV_DS_GPS OTHER 4 2" xfId="0"/>
    <cellStyle name="_LCDTV_DS_GPS OTHER_By Region" xfId="0"/>
    <cellStyle name="_LCDTV_DS_GPS OTHER_CORP SG&amp;A" xfId="0"/>
    <cellStyle name="_LCDTV_DS_GPS OTHER_LCD" xfId="0"/>
    <cellStyle name="_LCDTV_DS_GPS OTHER_PJ" xfId="0"/>
    <cellStyle name="_LCDTV_DS_LCD" xfId="0"/>
    <cellStyle name="_LCDTV_DS_LCD 2" xfId="0"/>
    <cellStyle name="_LCDTV_DS_LCD 3" xfId="0"/>
    <cellStyle name="_LCDTV_DS_LCD 4" xfId="0"/>
    <cellStyle name="_LCDTV_DS_LCD_By Region" xfId="0"/>
    <cellStyle name="_LCDTV_DS_LCD_CORP SG&amp;A" xfId="0"/>
    <cellStyle name="_LCDTV_DS_LCD_LCD" xfId="0"/>
    <cellStyle name="_LCDTV_DS_LCD_PJ" xfId="0"/>
    <cellStyle name="_LCDTV_DS_PC Products" xfId="0"/>
    <cellStyle name="_LCDTV_DS_PC Products 2" xfId="0"/>
    <cellStyle name="_LCDTV_DS_PC Products 3" xfId="0"/>
    <cellStyle name="_LCDTV_DS_PC Products 4" xfId="0"/>
    <cellStyle name="_LCDTV_DS_PC Products 4 2" xfId="0"/>
    <cellStyle name="_LCDTV_DS_PC Products_By Region" xfId="0"/>
    <cellStyle name="_LCDTV_DS_PC Products_CORP SG&amp;A" xfId="0"/>
    <cellStyle name="_LCDTV_DS_PC Products_LCD" xfId="0"/>
    <cellStyle name="_LCDTV_DS_PC Products_PJ" xfId="0"/>
    <cellStyle name="_LCDTV_DS_VSA 111014" xfId="0"/>
    <cellStyle name="_LCDTV_DS_VSA 111014 2" xfId="0"/>
    <cellStyle name="_LCDTV_DS_VSA 111014 3" xfId="0"/>
    <cellStyle name="_LCDTV_DS_VSA 111014 4" xfId="0"/>
    <cellStyle name="_LCDTV_DS_VSA 111014 4 2" xfId="0"/>
    <cellStyle name="_LCDTV_DS_VSA 111014_By Region" xfId="0"/>
    <cellStyle name="_LCDTV_DS_VSA 111014_CORP SG&amp;A" xfId="0"/>
    <cellStyle name="_LCDTV_DS_VSA 111014_LCD" xfId="0"/>
    <cellStyle name="_LCDTV_DS_VSA 111014_PJ" xfId="0"/>
    <cellStyle name="_LCDTV_DS_VSA Roll-Up (LW)" xfId="0"/>
    <cellStyle name="_LCDTV_DS_VSA Roll-Up (LW) 2" xfId="0"/>
    <cellStyle name="_LCDTV_DS_VSA Roll-Up (LW) 3" xfId="0"/>
    <cellStyle name="_LCDTV_DS_VSA Roll-Up (LW) 4" xfId="0"/>
    <cellStyle name="_LCDTV_DS_VSA Roll-Up (LW) 4 2" xfId="0"/>
    <cellStyle name="_LCDTV_DS_VSA Roll-Up (LW)_By Region" xfId="0"/>
    <cellStyle name="_LCDTV_DS_VSA Roll-Up (LW)_CORP SG&amp;A" xfId="0"/>
    <cellStyle name="_LCDTV_DS_VSA Roll-Up (LW)_LCD" xfId="0"/>
    <cellStyle name="_LCDTV_DS_VSA Roll-Up (LW)_PJ" xfId="0"/>
    <cellStyle name="_LCDTV_DVD_TV" xfId="0"/>
    <cellStyle name="_LCDTV_DVD_TV 2" xfId="0"/>
    <cellStyle name="_LCDTV_DVD_TV 3" xfId="0"/>
    <cellStyle name="_LCDTV_DVD_TV 4" xfId="0"/>
    <cellStyle name="_LCDTV_DVD_TV_By Region" xfId="0"/>
    <cellStyle name="_LCDTV_DVD_TV_CORP SG&amp;A" xfId="0"/>
    <cellStyle name="_LCDTV_DVD_TV_Digitizer" xfId="0"/>
    <cellStyle name="_LCDTV_DVD_TV_GPS OTHER" xfId="0"/>
    <cellStyle name="_LCDTV_DVD_TV_GPS OTHER 2" xfId="0"/>
    <cellStyle name="_LCDTV_DVD_TV_GPS OTHER 3" xfId="0"/>
    <cellStyle name="_LCDTV_DVD_TV_GPS OTHER 4" xfId="0"/>
    <cellStyle name="_LCDTV_DVD_TV_GPS OTHER 4 2" xfId="0"/>
    <cellStyle name="_LCDTV_DVD_TV_GPS OTHER_By Region" xfId="0"/>
    <cellStyle name="_LCDTV_DVD_TV_GPS OTHER_CORP SG&amp;A" xfId="0"/>
    <cellStyle name="_LCDTV_DVD_TV_GPS OTHER_LCD" xfId="0"/>
    <cellStyle name="_LCDTV_DVD_TV_GPS OTHER_PJ" xfId="0"/>
    <cellStyle name="_LCDTV_DVD_TV_LCD" xfId="0"/>
    <cellStyle name="_LCDTV_DVD_TV_LCD 2" xfId="0"/>
    <cellStyle name="_LCDTV_DVD_TV_LCD 3" xfId="0"/>
    <cellStyle name="_LCDTV_DVD_TV_LCD 4" xfId="0"/>
    <cellStyle name="_LCDTV_DVD_TV_LCD_By Region" xfId="0"/>
    <cellStyle name="_LCDTV_DVD_TV_LCD_CORP SG&amp;A" xfId="0"/>
    <cellStyle name="_LCDTV_DVD_TV_LCD_LCD" xfId="0"/>
    <cellStyle name="_LCDTV_DVD_TV_LCD_PJ" xfId="0"/>
    <cellStyle name="_LCDTV_DVD_TV_PC Products" xfId="0"/>
    <cellStyle name="_LCDTV_DVD_TV_PC Products 2" xfId="0"/>
    <cellStyle name="_LCDTV_DVD_TV_PC Products 3" xfId="0"/>
    <cellStyle name="_LCDTV_DVD_TV_PC Products 4" xfId="0"/>
    <cellStyle name="_LCDTV_DVD_TV_PC Products 4 2" xfId="0"/>
    <cellStyle name="_LCDTV_DVD_TV_PC Products_By Region" xfId="0"/>
    <cellStyle name="_LCDTV_DVD_TV_PC Products_CORP SG&amp;A" xfId="0"/>
    <cellStyle name="_LCDTV_DVD_TV_PC Products_LCD" xfId="0"/>
    <cellStyle name="_LCDTV_DVD_TV_PC Products_PJ" xfId="0"/>
    <cellStyle name="_LCDTV_DVD_TV_VSA 111014" xfId="0"/>
    <cellStyle name="_LCDTV_DVD_TV_VSA 111014 2" xfId="0"/>
    <cellStyle name="_LCDTV_DVD_TV_VSA 111014 3" xfId="0"/>
    <cellStyle name="_LCDTV_DVD_TV_VSA 111014 4" xfId="0"/>
    <cellStyle name="_LCDTV_DVD_TV_VSA 111014 4 2" xfId="0"/>
    <cellStyle name="_LCDTV_DVD_TV_VSA 111014_By Region" xfId="0"/>
    <cellStyle name="_LCDTV_DVD_TV_VSA 111014_CORP SG&amp;A" xfId="0"/>
    <cellStyle name="_LCDTV_DVD_TV_VSA 111014_LCD" xfId="0"/>
    <cellStyle name="_LCDTV_DVD_TV_VSA 111014_PJ" xfId="0"/>
    <cellStyle name="_LCDTV_DVD_TV_VSA Roll-Up (LW)" xfId="0"/>
    <cellStyle name="_LCDTV_DVD_TV_VSA Roll-Up (LW) 2" xfId="0"/>
    <cellStyle name="_LCDTV_DVD_TV_VSA Roll-Up (LW) 3" xfId="0"/>
    <cellStyle name="_LCDTV_DVD_TV_VSA Roll-Up (LW) 4" xfId="0"/>
    <cellStyle name="_LCDTV_DVD_TV_VSA Roll-Up (LW) 4 2" xfId="0"/>
    <cellStyle name="_LCDTV_DVD_TV_VSA Roll-Up (LW)_By Region" xfId="0"/>
    <cellStyle name="_LCDTV_DVD_TV_VSA Roll-Up (LW)_CORP SG&amp;A" xfId="0"/>
    <cellStyle name="_LCDTV_DVD_TV_VSA Roll-Up (LW)_LCD" xfId="0"/>
    <cellStyle name="_LCDTV_DVD_TV_VSA Roll-Up (LW)_PJ" xfId="0"/>
    <cellStyle name="_LCDTV_GPS OTHER" xfId="0"/>
    <cellStyle name="_LCDTV_GPS OTHER 2" xfId="0"/>
    <cellStyle name="_LCDTV_GPS OTHER 3" xfId="0"/>
    <cellStyle name="_LCDTV_GPS OTHER 4" xfId="0"/>
    <cellStyle name="_LCDTV_GPS OTHER 4 2" xfId="0"/>
    <cellStyle name="_LCDTV_GPS OTHER_By Region" xfId="0"/>
    <cellStyle name="_LCDTV_GPS OTHER_CORP SG&amp;A" xfId="0"/>
    <cellStyle name="_LCDTV_GPS OTHER_LCD" xfId="0"/>
    <cellStyle name="_LCDTV_GPS OTHER_PJ" xfId="0"/>
    <cellStyle name="_LCDTV_LCD" xfId="0"/>
    <cellStyle name="_LCDTV_LCD 2" xfId="0"/>
    <cellStyle name="_LCDTV_LCD 3" xfId="0"/>
    <cellStyle name="_LCDTV_LCD 4" xfId="0"/>
    <cellStyle name="_LCDTV_LCD_1" xfId="0"/>
    <cellStyle name="_LCDTV_LCD_1 2" xfId="0"/>
    <cellStyle name="_LCDTV_LCD_1 3" xfId="0"/>
    <cellStyle name="_LCDTV_LCD_1 4" xfId="0"/>
    <cellStyle name="_LCDTV_LCD_1_By Region" xfId="0"/>
    <cellStyle name="_LCDTV_LCD_1_CORP SG&amp;A" xfId="0"/>
    <cellStyle name="_LCDTV_LCD_1_LCD" xfId="0"/>
    <cellStyle name="_LCDTV_LCD_1_PJ" xfId="0"/>
    <cellStyle name="_LCDTV_LCD_By Region" xfId="0"/>
    <cellStyle name="_LCDTV_LCD_CORP SG&amp;A" xfId="0"/>
    <cellStyle name="_LCDTV_LCD_Digitizer" xfId="0"/>
    <cellStyle name="_LCDTV_LCD_GPS OTHER" xfId="0"/>
    <cellStyle name="_LCDTV_LCD_GPS OTHER 2" xfId="0"/>
    <cellStyle name="_LCDTV_LCD_GPS OTHER 3" xfId="0"/>
    <cellStyle name="_LCDTV_LCD_GPS OTHER 4" xfId="0"/>
    <cellStyle name="_LCDTV_LCD_GPS OTHER 4 2" xfId="0"/>
    <cellStyle name="_LCDTV_LCD_GPS OTHER_By Region" xfId="0"/>
    <cellStyle name="_LCDTV_LCD_GPS OTHER_CORP SG&amp;A" xfId="0"/>
    <cellStyle name="_LCDTV_LCD_GPS OTHER_LCD" xfId="0"/>
    <cellStyle name="_LCDTV_LCD_GPS OTHER_PJ" xfId="0"/>
    <cellStyle name="_LCDTV_LCD_LCD" xfId="0"/>
    <cellStyle name="_LCDTV_LCD_LCD 2" xfId="0"/>
    <cellStyle name="_LCDTV_LCD_LCD 3" xfId="0"/>
    <cellStyle name="_LCDTV_LCD_LCD 4" xfId="0"/>
    <cellStyle name="_LCDTV_LCD_LCD_By Region" xfId="0"/>
    <cellStyle name="_LCDTV_LCD_LCD_CORP SG&amp;A" xfId="0"/>
    <cellStyle name="_LCDTV_LCD_LCD_LCD" xfId="0"/>
    <cellStyle name="_LCDTV_LCD_LCD_PJ" xfId="0"/>
    <cellStyle name="_LCDTV_LCD_PC Products" xfId="0"/>
    <cellStyle name="_LCDTV_LCD_PC Products 2" xfId="0"/>
    <cellStyle name="_LCDTV_LCD_PC Products 3" xfId="0"/>
    <cellStyle name="_LCDTV_LCD_PC Products 4" xfId="0"/>
    <cellStyle name="_LCDTV_LCD_PC Products 4 2" xfId="0"/>
    <cellStyle name="_LCDTV_LCD_PC Products_By Region" xfId="0"/>
    <cellStyle name="_LCDTV_LCD_PC Products_CORP SG&amp;A" xfId="0"/>
    <cellStyle name="_LCDTV_LCD_PC Products_LCD" xfId="0"/>
    <cellStyle name="_LCDTV_LCD_PC Products_PJ" xfId="0"/>
    <cellStyle name="_LCDTV_LCD_VSA 111014" xfId="0"/>
    <cellStyle name="_LCDTV_LCD_VSA 111014 2" xfId="0"/>
    <cellStyle name="_LCDTV_LCD_VSA 111014 3" xfId="0"/>
    <cellStyle name="_LCDTV_LCD_VSA 111014 4" xfId="0"/>
    <cellStyle name="_LCDTV_LCD_VSA 111014 4 2" xfId="0"/>
    <cellStyle name="_LCDTV_LCD_VSA 111014_By Region" xfId="0"/>
    <cellStyle name="_LCDTV_LCD_VSA 111014_CORP SG&amp;A" xfId="0"/>
    <cellStyle name="_LCDTV_LCD_VSA 111014_LCD" xfId="0"/>
    <cellStyle name="_LCDTV_LCD_VSA 111014_PJ" xfId="0"/>
    <cellStyle name="_LCDTV_LCD_VSA Roll-Up (LW)" xfId="0"/>
    <cellStyle name="_LCDTV_LCD_VSA Roll-Up (LW) 2" xfId="0"/>
    <cellStyle name="_LCDTV_LCD_VSA Roll-Up (LW) 3" xfId="0"/>
    <cellStyle name="_LCDTV_LCD_VSA Roll-Up (LW) 4" xfId="0"/>
    <cellStyle name="_LCDTV_LCD_VSA Roll-Up (LW) 4 2" xfId="0"/>
    <cellStyle name="_LCDTV_LCD_VSA Roll-Up (LW)_By Region" xfId="0"/>
    <cellStyle name="_LCDTV_LCD_VSA Roll-Up (LW)_CORP SG&amp;A" xfId="0"/>
    <cellStyle name="_LCDTV_LCD_VSA Roll-Up (LW)_LCD" xfId="0"/>
    <cellStyle name="_LCDTV_LCD_VSA Roll-Up (LW)_PJ" xfId="0"/>
    <cellStyle name="_LCDTV_LCDTV" xfId="0"/>
    <cellStyle name="_LCDTV_LCDTV 2" xfId="0"/>
    <cellStyle name="_LCDTV_LCDTV 3" xfId="0"/>
    <cellStyle name="_LCDTV_LCDTV 4" xfId="0"/>
    <cellStyle name="_LCDTV_LCDTV_By Region" xfId="0"/>
    <cellStyle name="_LCDTV_LCDTV_CORP SG&amp;A" xfId="0"/>
    <cellStyle name="_LCDTV_LCDTV_Digitizer" xfId="0"/>
    <cellStyle name="_LCDTV_LCDTV_GPS OTHER" xfId="0"/>
    <cellStyle name="_LCDTV_LCDTV_GPS OTHER 2" xfId="0"/>
    <cellStyle name="_LCDTV_LCDTV_GPS OTHER 3" xfId="0"/>
    <cellStyle name="_LCDTV_LCDTV_GPS OTHER 4" xfId="0"/>
    <cellStyle name="_LCDTV_LCDTV_GPS OTHER 4 2" xfId="0"/>
    <cellStyle name="_LCDTV_LCDTV_GPS OTHER_By Region" xfId="0"/>
    <cellStyle name="_LCDTV_LCDTV_GPS OTHER_CORP SG&amp;A" xfId="0"/>
    <cellStyle name="_LCDTV_LCDTV_GPS OTHER_LCD" xfId="0"/>
    <cellStyle name="_LCDTV_LCDTV_GPS OTHER_PJ" xfId="0"/>
    <cellStyle name="_LCDTV_LCDTV_LCD" xfId="0"/>
    <cellStyle name="_LCDTV_LCDTV_LCD 2" xfId="0"/>
    <cellStyle name="_LCDTV_LCDTV_LCD 3" xfId="0"/>
    <cellStyle name="_LCDTV_LCDTV_LCD 4" xfId="0"/>
    <cellStyle name="_LCDTV_LCDTV_LCD_By Region" xfId="0"/>
    <cellStyle name="_LCDTV_LCDTV_LCD_CORP SG&amp;A" xfId="0"/>
    <cellStyle name="_LCDTV_LCDTV_LCD_LCD" xfId="0"/>
    <cellStyle name="_LCDTV_LCDTV_LCD_PJ" xfId="0"/>
    <cellStyle name="_LCDTV_LCDTV_PC Products" xfId="0"/>
    <cellStyle name="_LCDTV_LCDTV_PC Products 2" xfId="0"/>
    <cellStyle name="_LCDTV_LCDTV_PC Products 3" xfId="0"/>
    <cellStyle name="_LCDTV_LCDTV_PC Products 4" xfId="0"/>
    <cellStyle name="_LCDTV_LCDTV_PC Products 4 2" xfId="0"/>
    <cellStyle name="_LCDTV_LCDTV_PC Products_By Region" xfId="0"/>
    <cellStyle name="_LCDTV_LCDTV_PC Products_CORP SG&amp;A" xfId="0"/>
    <cellStyle name="_LCDTV_LCDTV_PC Products_LCD" xfId="0"/>
    <cellStyle name="_LCDTV_LCDTV_PC Products_PJ" xfId="0"/>
    <cellStyle name="_LCDTV_LCDTV_VSA 111014" xfId="0"/>
    <cellStyle name="_LCDTV_LCDTV_VSA 111014 2" xfId="0"/>
    <cellStyle name="_LCDTV_LCDTV_VSA 111014 3" xfId="0"/>
    <cellStyle name="_LCDTV_LCDTV_VSA 111014 4" xfId="0"/>
    <cellStyle name="_LCDTV_LCDTV_VSA 111014 4 2" xfId="0"/>
    <cellStyle name="_LCDTV_LCDTV_VSA 111014_By Region" xfId="0"/>
    <cellStyle name="_LCDTV_LCDTV_VSA 111014_CORP SG&amp;A" xfId="0"/>
    <cellStyle name="_LCDTV_LCDTV_VSA 111014_LCD" xfId="0"/>
    <cellStyle name="_LCDTV_LCDTV_VSA 111014_PJ" xfId="0"/>
    <cellStyle name="_LCDTV_LCDTV_VSA Roll-Up (LW)" xfId="0"/>
    <cellStyle name="_LCDTV_LCDTV_VSA Roll-Up (LW) 2" xfId="0"/>
    <cellStyle name="_LCDTV_LCDTV_VSA Roll-Up (LW) 3" xfId="0"/>
    <cellStyle name="_LCDTV_LCDTV_VSA Roll-Up (LW) 4" xfId="0"/>
    <cellStyle name="_LCDTV_LCDTV_VSA Roll-Up (LW) 4 2" xfId="0"/>
    <cellStyle name="_LCDTV_LCDTV_VSA Roll-Up (LW)_By Region" xfId="0"/>
    <cellStyle name="_LCDTV_LCDTV_VSA Roll-Up (LW)_CORP SG&amp;A" xfId="0"/>
    <cellStyle name="_LCDTV_LCDTV_VSA Roll-Up (LW)_LCD" xfId="0"/>
    <cellStyle name="_LCDTV_LCDTV_VSA Roll-Up (LW)_PJ" xfId="0"/>
    <cellStyle name="_LCDTV_MNT" xfId="0"/>
    <cellStyle name="_LCDTV_MNT 2" xfId="0"/>
    <cellStyle name="_LCDTV_MNT 3" xfId="0"/>
    <cellStyle name="_LCDTV_MNT 4" xfId="0"/>
    <cellStyle name="_LCDTV_MNT_By Region" xfId="0"/>
    <cellStyle name="_LCDTV_MNT_CORP SG&amp;A" xfId="0"/>
    <cellStyle name="_LCDTV_MNT_Digitizer" xfId="0"/>
    <cellStyle name="_LCDTV_MNT_GPS OTHER" xfId="0"/>
    <cellStyle name="_LCDTV_MNT_GPS OTHER 2" xfId="0"/>
    <cellStyle name="_LCDTV_MNT_GPS OTHER 3" xfId="0"/>
    <cellStyle name="_LCDTV_MNT_GPS OTHER 4" xfId="0"/>
    <cellStyle name="_LCDTV_MNT_GPS OTHER 4 2" xfId="0"/>
    <cellStyle name="_LCDTV_MNT_GPS OTHER_By Region" xfId="0"/>
    <cellStyle name="_LCDTV_MNT_GPS OTHER_CORP SG&amp;A" xfId="0"/>
    <cellStyle name="_LCDTV_MNT_GPS OTHER_LCD" xfId="0"/>
    <cellStyle name="_LCDTV_MNT_GPS OTHER_PJ" xfId="0"/>
    <cellStyle name="_LCDTV_MNT_LCD" xfId="0"/>
    <cellStyle name="_LCDTV_MNT_LCD 2" xfId="0"/>
    <cellStyle name="_LCDTV_MNT_LCD 3" xfId="0"/>
    <cellStyle name="_LCDTV_MNT_LCD 4" xfId="0"/>
    <cellStyle name="_LCDTV_MNT_LCD_By Region" xfId="0"/>
    <cellStyle name="_LCDTV_MNT_LCD_CORP SG&amp;A" xfId="0"/>
    <cellStyle name="_LCDTV_MNT_LCD_LCD" xfId="0"/>
    <cellStyle name="_LCDTV_MNT_LCD_PJ" xfId="0"/>
    <cellStyle name="_LCDTV_MNT_PC Products" xfId="0"/>
    <cellStyle name="_LCDTV_MNT_PC Products 2" xfId="0"/>
    <cellStyle name="_LCDTV_MNT_PC Products 3" xfId="0"/>
    <cellStyle name="_LCDTV_MNT_PC Products 4" xfId="0"/>
    <cellStyle name="_LCDTV_MNT_PC Products 4 2" xfId="0"/>
    <cellStyle name="_LCDTV_MNT_PC Products_By Region" xfId="0"/>
    <cellStyle name="_LCDTV_MNT_PC Products_CORP SG&amp;A" xfId="0"/>
    <cellStyle name="_LCDTV_MNT_PC Products_LCD" xfId="0"/>
    <cellStyle name="_LCDTV_MNT_PC Products_PJ" xfId="0"/>
    <cellStyle name="_LCDTV_MNT_VSA 111014" xfId="0"/>
    <cellStyle name="_LCDTV_MNT_VSA 111014 2" xfId="0"/>
    <cellStyle name="_LCDTV_MNT_VSA 111014 3" xfId="0"/>
    <cellStyle name="_LCDTV_MNT_VSA 111014 4" xfId="0"/>
    <cellStyle name="_LCDTV_MNT_VSA 111014 4 2" xfId="0"/>
    <cellStyle name="_LCDTV_MNT_VSA 111014_By Region" xfId="0"/>
    <cellStyle name="_LCDTV_MNT_VSA 111014_CORP SG&amp;A" xfId="0"/>
    <cellStyle name="_LCDTV_MNT_VSA 111014_LCD" xfId="0"/>
    <cellStyle name="_LCDTV_MNT_VSA 111014_PJ" xfId="0"/>
    <cellStyle name="_LCDTV_MNT_VSA Roll-Up (LW)" xfId="0"/>
    <cellStyle name="_LCDTV_MNT_VSA Roll-Up (LW) 2" xfId="0"/>
    <cellStyle name="_LCDTV_MNT_VSA Roll-Up (LW) 3" xfId="0"/>
    <cellStyle name="_LCDTV_MNT_VSA Roll-Up (LW) 4" xfId="0"/>
    <cellStyle name="_LCDTV_MNT_VSA Roll-Up (LW) 4 2" xfId="0"/>
    <cellStyle name="_LCDTV_MNT_VSA Roll-Up (LW)_By Region" xfId="0"/>
    <cellStyle name="_LCDTV_MNT_VSA Roll-Up (LW)_CORP SG&amp;A" xfId="0"/>
    <cellStyle name="_LCDTV_MNT_VSA Roll-Up (LW)_LCD" xfId="0"/>
    <cellStyle name="_LCDTV_MNT_VSA Roll-Up (LW)_PJ" xfId="0"/>
    <cellStyle name="_LCDTV_Other" xfId="0"/>
    <cellStyle name="_LCDTV_Other 2" xfId="0"/>
    <cellStyle name="_LCDTV_Other 3" xfId="0"/>
    <cellStyle name="_LCDTV_Other 4" xfId="0"/>
    <cellStyle name="_LCDTV_Other_By Region" xfId="0"/>
    <cellStyle name="_LCDTV_Other_CORP SG&amp;A" xfId="0"/>
    <cellStyle name="_LCDTV_Other_Digitizer" xfId="0"/>
    <cellStyle name="_LCDTV_Other_GPS OTHER" xfId="0"/>
    <cellStyle name="_LCDTV_Other_GPS OTHER 2" xfId="0"/>
    <cellStyle name="_LCDTV_Other_GPS OTHER 3" xfId="0"/>
    <cellStyle name="_LCDTV_Other_GPS OTHER 4" xfId="0"/>
    <cellStyle name="_LCDTV_Other_GPS OTHER 4 2" xfId="0"/>
    <cellStyle name="_LCDTV_Other_GPS OTHER_By Region" xfId="0"/>
    <cellStyle name="_LCDTV_Other_GPS OTHER_CORP SG&amp;A" xfId="0"/>
    <cellStyle name="_LCDTV_Other_GPS OTHER_LCD" xfId="0"/>
    <cellStyle name="_LCDTV_Other_GPS OTHER_PJ" xfId="0"/>
    <cellStyle name="_LCDTV_Other_LCD" xfId="0"/>
    <cellStyle name="_LCDTV_Other_LCD 2" xfId="0"/>
    <cellStyle name="_LCDTV_Other_LCD 3" xfId="0"/>
    <cellStyle name="_LCDTV_Other_LCD 4" xfId="0"/>
    <cellStyle name="_LCDTV_Other_LCD_By Region" xfId="0"/>
    <cellStyle name="_LCDTV_Other_LCD_CORP SG&amp;A" xfId="0"/>
    <cellStyle name="_LCDTV_Other_LCD_LCD" xfId="0"/>
    <cellStyle name="_LCDTV_Other_LCD_PJ" xfId="0"/>
    <cellStyle name="_LCDTV_Other_PC Products" xfId="0"/>
    <cellStyle name="_LCDTV_Other_PC Products 2" xfId="0"/>
    <cellStyle name="_LCDTV_Other_PC Products 3" xfId="0"/>
    <cellStyle name="_LCDTV_Other_PC Products 4" xfId="0"/>
    <cellStyle name="_LCDTV_Other_PC Products 4 2" xfId="0"/>
    <cellStyle name="_LCDTV_Other_PC Products_By Region" xfId="0"/>
    <cellStyle name="_LCDTV_Other_PC Products_CORP SG&amp;A" xfId="0"/>
    <cellStyle name="_LCDTV_Other_PC Products_LCD" xfId="0"/>
    <cellStyle name="_LCDTV_Other_PC Products_PJ" xfId="0"/>
    <cellStyle name="_LCDTV_Other_VSA 111014" xfId="0"/>
    <cellStyle name="_LCDTV_Other_VSA 111014 2" xfId="0"/>
    <cellStyle name="_LCDTV_Other_VSA 111014 3" xfId="0"/>
    <cellStyle name="_LCDTV_Other_VSA 111014 4" xfId="0"/>
    <cellStyle name="_LCDTV_Other_VSA 111014 4 2" xfId="0"/>
    <cellStyle name="_LCDTV_Other_VSA 111014_By Region" xfId="0"/>
    <cellStyle name="_LCDTV_Other_VSA 111014_CORP SG&amp;A" xfId="0"/>
    <cellStyle name="_LCDTV_Other_VSA 111014_LCD" xfId="0"/>
    <cellStyle name="_LCDTV_Other_VSA 111014_PJ" xfId="0"/>
    <cellStyle name="_LCDTV_Other_VSA Roll-Up (LW)" xfId="0"/>
    <cellStyle name="_LCDTV_Other_VSA Roll-Up (LW) 2" xfId="0"/>
    <cellStyle name="_LCDTV_Other_VSA Roll-Up (LW) 3" xfId="0"/>
    <cellStyle name="_LCDTV_Other_VSA Roll-Up (LW) 4" xfId="0"/>
    <cellStyle name="_LCDTV_Other_VSA Roll-Up (LW) 4 2" xfId="0"/>
    <cellStyle name="_LCDTV_Other_VSA Roll-Up (LW)_By Region" xfId="0"/>
    <cellStyle name="_LCDTV_Other_VSA Roll-Up (LW)_CORP SG&amp;A" xfId="0"/>
    <cellStyle name="_LCDTV_Other_VSA Roll-Up (LW)_LCD" xfId="0"/>
    <cellStyle name="_LCDTV_Other_VSA Roll-Up (LW)_PJ" xfId="0"/>
    <cellStyle name="_LCDTV_PC" xfId="0"/>
    <cellStyle name="_LCDTV_PC 2" xfId="0"/>
    <cellStyle name="_LCDTV_PC 3" xfId="0"/>
    <cellStyle name="_LCDTV_PC 4" xfId="0"/>
    <cellStyle name="_LCDTV_PC Products" xfId="0"/>
    <cellStyle name="_LCDTV_PC Products 2" xfId="0"/>
    <cellStyle name="_LCDTV_PC Products 3" xfId="0"/>
    <cellStyle name="_LCDTV_PC Products 4" xfId="0"/>
    <cellStyle name="_LCDTV_PC Products 4 2" xfId="0"/>
    <cellStyle name="_LCDTV_PC Products_By Region" xfId="0"/>
    <cellStyle name="_LCDTV_PC Products_CORP SG&amp;A" xfId="0"/>
    <cellStyle name="_LCDTV_PC Products_LCD" xfId="0"/>
    <cellStyle name="_LCDTV_PC Products_PJ" xfId="0"/>
    <cellStyle name="_LCDTV_PC_By Region" xfId="0"/>
    <cellStyle name="_LCDTV_PC_CORP SG&amp;A" xfId="0"/>
    <cellStyle name="_LCDTV_PC_Digitizer" xfId="0"/>
    <cellStyle name="_LCDTV_PC_DT" xfId="0"/>
    <cellStyle name="_LCDTV_PC_DT 2" xfId="0"/>
    <cellStyle name="_LCDTV_PC_DT 3" xfId="0"/>
    <cellStyle name="_LCDTV_PC_DT_By Region" xfId="0"/>
    <cellStyle name="_LCDTV_PC_GPS OTHER" xfId="0"/>
    <cellStyle name="_LCDTV_PC_GPS OTHER 2" xfId="0"/>
    <cellStyle name="_LCDTV_PC_GPS OTHER 3" xfId="0"/>
    <cellStyle name="_LCDTV_PC_GPS OTHER 4" xfId="0"/>
    <cellStyle name="_LCDTV_PC_GPS OTHER 4 2" xfId="0"/>
    <cellStyle name="_LCDTV_PC_GPS OTHER_By Region" xfId="0"/>
    <cellStyle name="_LCDTV_PC_GPS OTHER_CORP SG&amp;A" xfId="0"/>
    <cellStyle name="_LCDTV_PC_GPS OTHER_LCD" xfId="0"/>
    <cellStyle name="_LCDTV_PC_GPS OTHER_PJ" xfId="0"/>
    <cellStyle name="_LCDTV_PC_LCD" xfId="0"/>
    <cellStyle name="_LCDTV_PC_LCD 2" xfId="0"/>
    <cellStyle name="_LCDTV_PC_LCD 3" xfId="0"/>
    <cellStyle name="_LCDTV_PC_LCD 4" xfId="0"/>
    <cellStyle name="_LCDTV_PC_LCD_By Region" xfId="0"/>
    <cellStyle name="_LCDTV_PC_LCD_CORP SG&amp;A" xfId="0"/>
    <cellStyle name="_LCDTV_PC_LCD_LCD" xfId="0"/>
    <cellStyle name="_LCDTV_PC_LCD_PJ" xfId="0"/>
    <cellStyle name="_LCDTV_PC_PC Products" xfId="0"/>
    <cellStyle name="_LCDTV_PC_PC Products 2" xfId="0"/>
    <cellStyle name="_LCDTV_PC_PC Products 3" xfId="0"/>
    <cellStyle name="_LCDTV_PC_PC Products 4" xfId="0"/>
    <cellStyle name="_LCDTV_PC_PC Products 4 2" xfId="0"/>
    <cellStyle name="_LCDTV_PC_PC Products_By Region" xfId="0"/>
    <cellStyle name="_LCDTV_PC_PC Products_CORP SG&amp;A" xfId="0"/>
    <cellStyle name="_LCDTV_PC_PC Products_LCD" xfId="0"/>
    <cellStyle name="_LCDTV_PC_PC Products_PJ" xfId="0"/>
    <cellStyle name="_LCDTV_PC_TV" xfId="0"/>
    <cellStyle name="_LCDTV_PC_TV 2" xfId="0"/>
    <cellStyle name="_LCDTV_PC_TV 3" xfId="0"/>
    <cellStyle name="_LCDTV_PC_TV 4" xfId="0"/>
    <cellStyle name="_LCDTV_PC_TV_By Region" xfId="0"/>
    <cellStyle name="_LCDTV_PC_TV_CORP SG&amp;A" xfId="0"/>
    <cellStyle name="_LCDTV_PC_TV_Digitizer" xfId="0"/>
    <cellStyle name="_LCDTV_PC_TV_GPS OTHER" xfId="0"/>
    <cellStyle name="_LCDTV_PC_TV_GPS OTHER 2" xfId="0"/>
    <cellStyle name="_LCDTV_PC_TV_GPS OTHER 3" xfId="0"/>
    <cellStyle name="_LCDTV_PC_TV_GPS OTHER 4" xfId="0"/>
    <cellStyle name="_LCDTV_PC_TV_GPS OTHER 4 2" xfId="0"/>
    <cellStyle name="_LCDTV_PC_TV_GPS OTHER_By Region" xfId="0"/>
    <cellStyle name="_LCDTV_PC_TV_GPS OTHER_CORP SG&amp;A" xfId="0"/>
    <cellStyle name="_LCDTV_PC_TV_GPS OTHER_LCD" xfId="0"/>
    <cellStyle name="_LCDTV_PC_TV_GPS OTHER_PJ" xfId="0"/>
    <cellStyle name="_LCDTV_PC_TV_LCD" xfId="0"/>
    <cellStyle name="_LCDTV_PC_TV_LCD 2" xfId="0"/>
    <cellStyle name="_LCDTV_PC_TV_LCD 3" xfId="0"/>
    <cellStyle name="_LCDTV_PC_TV_LCD 4" xfId="0"/>
    <cellStyle name="_LCDTV_PC_TV_LCD_By Region" xfId="0"/>
    <cellStyle name="_LCDTV_PC_TV_LCD_CORP SG&amp;A" xfId="0"/>
    <cellStyle name="_LCDTV_PC_TV_LCD_LCD" xfId="0"/>
    <cellStyle name="_LCDTV_PC_TV_LCD_PJ" xfId="0"/>
    <cellStyle name="_LCDTV_PC_TV_PC Products" xfId="0"/>
    <cellStyle name="_LCDTV_PC_TV_PC Products 2" xfId="0"/>
    <cellStyle name="_LCDTV_PC_TV_PC Products 3" xfId="0"/>
    <cellStyle name="_LCDTV_PC_TV_PC Products 4" xfId="0"/>
    <cellStyle name="_LCDTV_PC_TV_PC Products 4 2" xfId="0"/>
    <cellStyle name="_LCDTV_PC_TV_PC Products_By Region" xfId="0"/>
    <cellStyle name="_LCDTV_PC_TV_PC Products_CORP SG&amp;A" xfId="0"/>
    <cellStyle name="_LCDTV_PC_TV_PC Products_LCD" xfId="0"/>
    <cellStyle name="_LCDTV_PC_TV_PC Products_PJ" xfId="0"/>
    <cellStyle name="_LCDTV_PC_TV_VSA 111014" xfId="0"/>
    <cellStyle name="_LCDTV_PC_TV_VSA 111014 2" xfId="0"/>
    <cellStyle name="_LCDTV_PC_TV_VSA 111014 3" xfId="0"/>
    <cellStyle name="_LCDTV_PC_TV_VSA 111014 4" xfId="0"/>
    <cellStyle name="_LCDTV_PC_TV_VSA 111014 4 2" xfId="0"/>
    <cellStyle name="_LCDTV_PC_TV_VSA 111014_By Region" xfId="0"/>
    <cellStyle name="_LCDTV_PC_TV_VSA 111014_CORP SG&amp;A" xfId="0"/>
    <cellStyle name="_LCDTV_PC_TV_VSA 111014_LCD" xfId="0"/>
    <cellStyle name="_LCDTV_PC_TV_VSA 111014_PJ" xfId="0"/>
    <cellStyle name="_LCDTV_PC_TV_VSA Roll-Up (LW)" xfId="0"/>
    <cellStyle name="_LCDTV_PC_TV_VSA Roll-Up (LW) 2" xfId="0"/>
    <cellStyle name="_LCDTV_PC_TV_VSA Roll-Up (LW) 3" xfId="0"/>
    <cellStyle name="_LCDTV_PC_TV_VSA Roll-Up (LW) 4" xfId="0"/>
    <cellStyle name="_LCDTV_PC_TV_VSA Roll-Up (LW) 4 2" xfId="0"/>
    <cellStyle name="_LCDTV_PC_TV_VSA Roll-Up (LW)_By Region" xfId="0"/>
    <cellStyle name="_LCDTV_PC_TV_VSA Roll-Up (LW)_CORP SG&amp;A" xfId="0"/>
    <cellStyle name="_LCDTV_PC_TV_VSA Roll-Up (LW)_LCD" xfId="0"/>
    <cellStyle name="_LCDTV_PC_TV_VSA Roll-Up (LW)_PJ" xfId="0"/>
    <cellStyle name="_LCDTV_PC_VSA 111014" xfId="0"/>
    <cellStyle name="_LCDTV_PC_VSA 111014 2" xfId="0"/>
    <cellStyle name="_LCDTV_PC_VSA 111014 3" xfId="0"/>
    <cellStyle name="_LCDTV_PC_VSA 111014 4" xfId="0"/>
    <cellStyle name="_LCDTV_PC_VSA 111014 4 2" xfId="0"/>
    <cellStyle name="_LCDTV_PC_VSA 111014_By Region" xfId="0"/>
    <cellStyle name="_LCDTV_PC_VSA 111014_CORP SG&amp;A" xfId="0"/>
    <cellStyle name="_LCDTV_PC_VSA 111014_LCD" xfId="0"/>
    <cellStyle name="_LCDTV_PC_VSA 111014_PJ" xfId="0"/>
    <cellStyle name="_LCDTV_PC_VSA Roll-Up (LW)" xfId="0"/>
    <cellStyle name="_LCDTV_PC_VSA Roll-Up (LW) 2" xfId="0"/>
    <cellStyle name="_LCDTV_PC_VSA Roll-Up (LW) 3" xfId="0"/>
    <cellStyle name="_LCDTV_PC_VSA Roll-Up (LW) 4" xfId="0"/>
    <cellStyle name="_LCDTV_PC_VSA Roll-Up (LW) 4 2" xfId="0"/>
    <cellStyle name="_LCDTV_PC_VSA Roll-Up (LW)_By Region" xfId="0"/>
    <cellStyle name="_LCDTV_PC_VSA Roll-Up (LW)_CORP SG&amp;A" xfId="0"/>
    <cellStyle name="_LCDTV_PC_VSA Roll-Up (LW)_LCD" xfId="0"/>
    <cellStyle name="_LCDTV_PC_VSA Roll-Up (LW)_PJ" xfId="0"/>
    <cellStyle name="_LCDTV_PJ" xfId="0"/>
    <cellStyle name="_LCDTV_PJ 2" xfId="0"/>
    <cellStyle name="_LCDTV_PJ 3" xfId="0"/>
    <cellStyle name="_LCDTV_PJ 4" xfId="0"/>
    <cellStyle name="_LCDTV_PJ_By Region" xfId="0"/>
    <cellStyle name="_LCDTV_PJ_CORP SG&amp;A" xfId="0"/>
    <cellStyle name="_LCDTV_PJ_Digitizer" xfId="0"/>
    <cellStyle name="_LCDTV_PJ_GPS OTHER" xfId="0"/>
    <cellStyle name="_LCDTV_PJ_GPS OTHER 2" xfId="0"/>
    <cellStyle name="_LCDTV_PJ_GPS OTHER 3" xfId="0"/>
    <cellStyle name="_LCDTV_PJ_GPS OTHER 4" xfId="0"/>
    <cellStyle name="_LCDTV_PJ_GPS OTHER 4 2" xfId="0"/>
    <cellStyle name="_LCDTV_PJ_GPS OTHER_By Region" xfId="0"/>
    <cellStyle name="_LCDTV_PJ_GPS OTHER_CORP SG&amp;A" xfId="0"/>
    <cellStyle name="_LCDTV_PJ_GPS OTHER_LCD" xfId="0"/>
    <cellStyle name="_LCDTV_PJ_GPS OTHER_PJ" xfId="0"/>
    <cellStyle name="_LCDTV_PJ_LCD" xfId="0"/>
    <cellStyle name="_LCDTV_PJ_LCD 2" xfId="0"/>
    <cellStyle name="_LCDTV_PJ_LCD 3" xfId="0"/>
    <cellStyle name="_LCDTV_PJ_LCD 4" xfId="0"/>
    <cellStyle name="_LCDTV_PJ_LCD_By Region" xfId="0"/>
    <cellStyle name="_LCDTV_PJ_LCD_CORP SG&amp;A" xfId="0"/>
    <cellStyle name="_LCDTV_PJ_LCD_LCD" xfId="0"/>
    <cellStyle name="_LCDTV_PJ_LCD_PJ" xfId="0"/>
    <cellStyle name="_LCDTV_PJ_PC Products" xfId="0"/>
    <cellStyle name="_LCDTV_PJ_PC Products 2" xfId="0"/>
    <cellStyle name="_LCDTV_PJ_PC Products 3" xfId="0"/>
    <cellStyle name="_LCDTV_PJ_PC Products 4" xfId="0"/>
    <cellStyle name="_LCDTV_PJ_PC Products 4 2" xfId="0"/>
    <cellStyle name="_LCDTV_PJ_PC Products_By Region" xfId="0"/>
    <cellStyle name="_LCDTV_PJ_PC Products_CORP SG&amp;A" xfId="0"/>
    <cellStyle name="_LCDTV_PJ_PC Products_LCD" xfId="0"/>
    <cellStyle name="_LCDTV_PJ_PC Products_PJ" xfId="0"/>
    <cellStyle name="_LCDTV_PJ_VSA 111014" xfId="0"/>
    <cellStyle name="_LCDTV_PJ_VSA 111014 2" xfId="0"/>
    <cellStyle name="_LCDTV_PJ_VSA 111014 3" xfId="0"/>
    <cellStyle name="_LCDTV_PJ_VSA 111014 4" xfId="0"/>
    <cellStyle name="_LCDTV_PJ_VSA 111014 4 2" xfId="0"/>
    <cellStyle name="_LCDTV_PJ_VSA 111014_By Region" xfId="0"/>
    <cellStyle name="_LCDTV_PJ_VSA 111014_CORP SG&amp;A" xfId="0"/>
    <cellStyle name="_LCDTV_PJ_VSA 111014_LCD" xfId="0"/>
    <cellStyle name="_LCDTV_PJ_VSA 111014_PJ" xfId="0"/>
    <cellStyle name="_LCDTV_PJ_VSA Roll-Up (LW)" xfId="0"/>
    <cellStyle name="_LCDTV_PJ_VSA Roll-Up (LW) 2" xfId="0"/>
    <cellStyle name="_LCDTV_PJ_VSA Roll-Up (LW) 3" xfId="0"/>
    <cellStyle name="_LCDTV_PJ_VSA Roll-Up (LW) 4" xfId="0"/>
    <cellStyle name="_LCDTV_PJ_VSA Roll-Up (LW) 4 2" xfId="0"/>
    <cellStyle name="_LCDTV_PJ_VSA Roll-Up (LW)_By Region" xfId="0"/>
    <cellStyle name="_LCDTV_PJ_VSA Roll-Up (LW)_CORP SG&amp;A" xfId="0"/>
    <cellStyle name="_LCDTV_PJ_VSA Roll-Up (LW)_LCD" xfId="0"/>
    <cellStyle name="_LCDTV_PJ_VSA Roll-Up (LW)_PJ" xfId="0"/>
    <cellStyle name="_LCDTV_PMP(VPD)" xfId="0"/>
    <cellStyle name="_LCDTV_PMP(VPD) 2" xfId="0"/>
    <cellStyle name="_LCDTV_PMP(VPD) 3" xfId="0"/>
    <cellStyle name="_LCDTV_PMP(VPD) 4" xfId="0"/>
    <cellStyle name="_LCDTV_PMP(VPD)_By Region" xfId="0"/>
    <cellStyle name="_LCDTV_PMP(VPD)_CORP SG&amp;A" xfId="0"/>
    <cellStyle name="_LCDTV_PMP(VPD)_Digitizer" xfId="0"/>
    <cellStyle name="_LCDTV_PMP(VPD)_GPS OTHER" xfId="0"/>
    <cellStyle name="_LCDTV_PMP(VPD)_GPS OTHER 2" xfId="0"/>
    <cellStyle name="_LCDTV_PMP(VPD)_GPS OTHER 3" xfId="0"/>
    <cellStyle name="_LCDTV_PMP(VPD)_GPS OTHER 4" xfId="0"/>
    <cellStyle name="_LCDTV_PMP(VPD)_GPS OTHER 4 2" xfId="0"/>
    <cellStyle name="_LCDTV_PMP(VPD)_GPS OTHER_By Region" xfId="0"/>
    <cellStyle name="_LCDTV_PMP(VPD)_GPS OTHER_CORP SG&amp;A" xfId="0"/>
    <cellStyle name="_LCDTV_PMP(VPD)_GPS OTHER_LCD" xfId="0"/>
    <cellStyle name="_LCDTV_PMP(VPD)_GPS OTHER_PJ" xfId="0"/>
    <cellStyle name="_LCDTV_PMP(VPD)_LCD" xfId="0"/>
    <cellStyle name="_LCDTV_PMP(VPD)_LCD 2" xfId="0"/>
    <cellStyle name="_LCDTV_PMP(VPD)_LCD 3" xfId="0"/>
    <cellStyle name="_LCDTV_PMP(VPD)_LCD 4" xfId="0"/>
    <cellStyle name="_LCDTV_PMP(VPD)_LCD_By Region" xfId="0"/>
    <cellStyle name="_LCDTV_PMP(VPD)_LCD_CORP SG&amp;A" xfId="0"/>
    <cellStyle name="_LCDTV_PMP(VPD)_LCD_LCD" xfId="0"/>
    <cellStyle name="_LCDTV_PMP(VPD)_LCD_PJ" xfId="0"/>
    <cellStyle name="_LCDTV_PMP(VPD)_PC Products" xfId="0"/>
    <cellStyle name="_LCDTV_PMP(VPD)_PC Products 2" xfId="0"/>
    <cellStyle name="_LCDTV_PMP(VPD)_PC Products 3" xfId="0"/>
    <cellStyle name="_LCDTV_PMP(VPD)_PC Products 4" xfId="0"/>
    <cellStyle name="_LCDTV_PMP(VPD)_PC Products 4 2" xfId="0"/>
    <cellStyle name="_LCDTV_PMP(VPD)_PC Products_By Region" xfId="0"/>
    <cellStyle name="_LCDTV_PMP(VPD)_PC Products_CORP SG&amp;A" xfId="0"/>
    <cellStyle name="_LCDTV_PMP(VPD)_PC Products_LCD" xfId="0"/>
    <cellStyle name="_LCDTV_PMP(VPD)_PC Products_PJ" xfId="0"/>
    <cellStyle name="_LCDTV_PMP(VPD)_VSA 111014" xfId="0"/>
    <cellStyle name="_LCDTV_PMP(VPD)_VSA 111014 2" xfId="0"/>
    <cellStyle name="_LCDTV_PMP(VPD)_VSA 111014 3" xfId="0"/>
    <cellStyle name="_LCDTV_PMP(VPD)_VSA 111014 4" xfId="0"/>
    <cellStyle name="_LCDTV_PMP(VPD)_VSA 111014 4 2" xfId="0"/>
    <cellStyle name="_LCDTV_PMP(VPD)_VSA 111014_By Region" xfId="0"/>
    <cellStyle name="_LCDTV_PMP(VPD)_VSA 111014_CORP SG&amp;A" xfId="0"/>
    <cellStyle name="_LCDTV_PMP(VPD)_VSA 111014_LCD" xfId="0"/>
    <cellStyle name="_LCDTV_PMP(VPD)_VSA 111014_PJ" xfId="0"/>
    <cellStyle name="_LCDTV_PMP(VPD)_VSA Roll-Up (LW)" xfId="0"/>
    <cellStyle name="_LCDTV_PMP(VPD)_VSA Roll-Up (LW) 2" xfId="0"/>
    <cellStyle name="_LCDTV_PMP(VPD)_VSA Roll-Up (LW) 3" xfId="0"/>
    <cellStyle name="_LCDTV_PMP(VPD)_VSA Roll-Up (LW) 4" xfId="0"/>
    <cellStyle name="_LCDTV_PMP(VPD)_VSA Roll-Up (LW) 4 2" xfId="0"/>
    <cellStyle name="_LCDTV_PMP(VPD)_VSA Roll-Up (LW)_By Region" xfId="0"/>
    <cellStyle name="_LCDTV_PMP(VPD)_VSA Roll-Up (LW)_CORP SG&amp;A" xfId="0"/>
    <cellStyle name="_LCDTV_PMP(VPD)_VSA Roll-Up (LW)_LCD" xfId="0"/>
    <cellStyle name="_LCDTV_PMP(VPD)_VSA Roll-Up (LW)_PJ" xfId="0"/>
    <cellStyle name="_LCDTV_Pocket TV" xfId="0"/>
    <cellStyle name="_LCDTV_Pocket TV 2" xfId="0"/>
    <cellStyle name="_LCDTV_Pocket TV 3" xfId="0"/>
    <cellStyle name="_LCDTV_Pocket TV 4" xfId="0"/>
    <cellStyle name="_LCDTV_Pocket TV_By Region" xfId="0"/>
    <cellStyle name="_LCDTV_Pocket TV_CORP SG&amp;A" xfId="0"/>
    <cellStyle name="_LCDTV_Pocket TV_Digitizer" xfId="0"/>
    <cellStyle name="_LCDTV_Pocket TV_GPS OTHER" xfId="0"/>
    <cellStyle name="_LCDTV_Pocket TV_GPS OTHER 2" xfId="0"/>
    <cellStyle name="_LCDTV_Pocket TV_GPS OTHER 3" xfId="0"/>
    <cellStyle name="_LCDTV_Pocket TV_GPS OTHER 4" xfId="0"/>
    <cellStyle name="_LCDTV_Pocket TV_GPS OTHER 4 2" xfId="0"/>
    <cellStyle name="_LCDTV_Pocket TV_GPS OTHER_By Region" xfId="0"/>
    <cellStyle name="_LCDTV_Pocket TV_GPS OTHER_CORP SG&amp;A" xfId="0"/>
    <cellStyle name="_LCDTV_Pocket TV_GPS OTHER_LCD" xfId="0"/>
    <cellStyle name="_LCDTV_Pocket TV_GPS OTHER_PJ" xfId="0"/>
    <cellStyle name="_LCDTV_Pocket TV_LCD" xfId="0"/>
    <cellStyle name="_LCDTV_Pocket TV_LCD 2" xfId="0"/>
    <cellStyle name="_LCDTV_Pocket TV_LCD 3" xfId="0"/>
    <cellStyle name="_LCDTV_Pocket TV_LCD 4" xfId="0"/>
    <cellStyle name="_LCDTV_Pocket TV_LCD_By Region" xfId="0"/>
    <cellStyle name="_LCDTV_Pocket TV_LCD_CORP SG&amp;A" xfId="0"/>
    <cellStyle name="_LCDTV_Pocket TV_LCD_LCD" xfId="0"/>
    <cellStyle name="_LCDTV_Pocket TV_LCD_PJ" xfId="0"/>
    <cellStyle name="_LCDTV_Pocket TV_PC Products" xfId="0"/>
    <cellStyle name="_LCDTV_Pocket TV_PC Products 2" xfId="0"/>
    <cellStyle name="_LCDTV_Pocket TV_PC Products 3" xfId="0"/>
    <cellStyle name="_LCDTV_Pocket TV_PC Products 4" xfId="0"/>
    <cellStyle name="_LCDTV_Pocket TV_PC Products 4 2" xfId="0"/>
    <cellStyle name="_LCDTV_Pocket TV_PC Products_By Region" xfId="0"/>
    <cellStyle name="_LCDTV_Pocket TV_PC Products_CORP SG&amp;A" xfId="0"/>
    <cellStyle name="_LCDTV_Pocket TV_PC Products_LCD" xfId="0"/>
    <cellStyle name="_LCDTV_Pocket TV_PC Products_PJ" xfId="0"/>
    <cellStyle name="_LCDTV_Pocket TV_VSA 111014" xfId="0"/>
    <cellStyle name="_LCDTV_Pocket TV_VSA 111014 2" xfId="0"/>
    <cellStyle name="_LCDTV_Pocket TV_VSA 111014 3" xfId="0"/>
    <cellStyle name="_LCDTV_Pocket TV_VSA 111014 4" xfId="0"/>
    <cellStyle name="_LCDTV_Pocket TV_VSA 111014 4 2" xfId="0"/>
    <cellStyle name="_LCDTV_Pocket TV_VSA 111014_By Region" xfId="0"/>
    <cellStyle name="_LCDTV_Pocket TV_VSA 111014_CORP SG&amp;A" xfId="0"/>
    <cellStyle name="_LCDTV_Pocket TV_VSA 111014_LCD" xfId="0"/>
    <cellStyle name="_LCDTV_Pocket TV_VSA 111014_PJ" xfId="0"/>
    <cellStyle name="_LCDTV_Pocket TV_VSA Roll-Up (LW)" xfId="0"/>
    <cellStyle name="_LCDTV_Pocket TV_VSA Roll-Up (LW) 2" xfId="0"/>
    <cellStyle name="_LCDTV_Pocket TV_VSA Roll-Up (LW) 3" xfId="0"/>
    <cellStyle name="_LCDTV_Pocket TV_VSA Roll-Up (LW) 4" xfId="0"/>
    <cellStyle name="_LCDTV_Pocket TV_VSA Roll-Up (LW) 4 2" xfId="0"/>
    <cellStyle name="_LCDTV_Pocket TV_VSA Roll-Up (LW)_By Region" xfId="0"/>
    <cellStyle name="_LCDTV_Pocket TV_VSA Roll-Up (LW)_CORP SG&amp;A" xfId="0"/>
    <cellStyle name="_LCDTV_Pocket TV_VSA Roll-Up (LW)_LCD" xfId="0"/>
    <cellStyle name="_LCDTV_Pocket TV_VSA Roll-Up (LW)_PJ" xfId="0"/>
    <cellStyle name="_LCDTV_Pocket_TV" xfId="0"/>
    <cellStyle name="_LCDTV_Pocket_TV 2" xfId="0"/>
    <cellStyle name="_LCDTV_Pocket_TV 3" xfId="0"/>
    <cellStyle name="_LCDTV_Pocket_TV 4" xfId="0"/>
    <cellStyle name="_LCDTV_Pocket_TV_By Region" xfId="0"/>
    <cellStyle name="_LCDTV_Pocket_TV_CORP SG&amp;A" xfId="0"/>
    <cellStyle name="_LCDTV_Pocket_TV_Digitizer" xfId="0"/>
    <cellStyle name="_LCDTV_Pocket_TV_GPS OTHER" xfId="0"/>
    <cellStyle name="_LCDTV_Pocket_TV_GPS OTHER 2" xfId="0"/>
    <cellStyle name="_LCDTV_Pocket_TV_GPS OTHER 3" xfId="0"/>
    <cellStyle name="_LCDTV_Pocket_TV_GPS OTHER 4" xfId="0"/>
    <cellStyle name="_LCDTV_Pocket_TV_GPS OTHER 4 2" xfId="0"/>
    <cellStyle name="_LCDTV_Pocket_TV_GPS OTHER_By Region" xfId="0"/>
    <cellStyle name="_LCDTV_Pocket_TV_GPS OTHER_CORP SG&amp;A" xfId="0"/>
    <cellStyle name="_LCDTV_Pocket_TV_GPS OTHER_LCD" xfId="0"/>
    <cellStyle name="_LCDTV_Pocket_TV_GPS OTHER_PJ" xfId="0"/>
    <cellStyle name="_LCDTV_Pocket_TV_LCD" xfId="0"/>
    <cellStyle name="_LCDTV_Pocket_TV_LCD 2" xfId="0"/>
    <cellStyle name="_LCDTV_Pocket_TV_LCD 3" xfId="0"/>
    <cellStyle name="_LCDTV_Pocket_TV_LCD 4" xfId="0"/>
    <cellStyle name="_LCDTV_Pocket_TV_LCD_By Region" xfId="0"/>
    <cellStyle name="_LCDTV_Pocket_TV_LCD_CORP SG&amp;A" xfId="0"/>
    <cellStyle name="_LCDTV_Pocket_TV_LCD_LCD" xfId="0"/>
    <cellStyle name="_LCDTV_Pocket_TV_LCD_PJ" xfId="0"/>
    <cellStyle name="_LCDTV_Pocket_TV_PC Products" xfId="0"/>
    <cellStyle name="_LCDTV_Pocket_TV_PC Products 2" xfId="0"/>
    <cellStyle name="_LCDTV_Pocket_TV_PC Products 3" xfId="0"/>
    <cellStyle name="_LCDTV_Pocket_TV_PC Products 4" xfId="0"/>
    <cellStyle name="_LCDTV_Pocket_TV_PC Products 4 2" xfId="0"/>
    <cellStyle name="_LCDTV_Pocket_TV_PC Products_By Region" xfId="0"/>
    <cellStyle name="_LCDTV_Pocket_TV_PC Products_CORP SG&amp;A" xfId="0"/>
    <cellStyle name="_LCDTV_Pocket_TV_PC Products_LCD" xfId="0"/>
    <cellStyle name="_LCDTV_Pocket_TV_PC Products_PJ" xfId="0"/>
    <cellStyle name="_LCDTV_Pocket_TV_VSA 111014" xfId="0"/>
    <cellStyle name="_LCDTV_Pocket_TV_VSA 111014 2" xfId="0"/>
    <cellStyle name="_LCDTV_Pocket_TV_VSA 111014 3" xfId="0"/>
    <cellStyle name="_LCDTV_Pocket_TV_VSA 111014 4" xfId="0"/>
    <cellStyle name="_LCDTV_Pocket_TV_VSA 111014 4 2" xfId="0"/>
    <cellStyle name="_LCDTV_Pocket_TV_VSA 111014_By Region" xfId="0"/>
    <cellStyle name="_LCDTV_Pocket_TV_VSA 111014_CORP SG&amp;A" xfId="0"/>
    <cellStyle name="_LCDTV_Pocket_TV_VSA 111014_LCD" xfId="0"/>
    <cellStyle name="_LCDTV_Pocket_TV_VSA 111014_PJ" xfId="0"/>
    <cellStyle name="_LCDTV_Pocket_TV_VSA Roll-Up (LW)" xfId="0"/>
    <cellStyle name="_LCDTV_Pocket_TV_VSA Roll-Up (LW) 2" xfId="0"/>
    <cellStyle name="_LCDTV_Pocket_TV_VSA Roll-Up (LW) 3" xfId="0"/>
    <cellStyle name="_LCDTV_Pocket_TV_VSA Roll-Up (LW) 4" xfId="0"/>
    <cellStyle name="_LCDTV_Pocket_TV_VSA Roll-Up (LW) 4 2" xfId="0"/>
    <cellStyle name="_LCDTV_Pocket_TV_VSA Roll-Up (LW)_By Region" xfId="0"/>
    <cellStyle name="_LCDTV_Pocket_TV_VSA Roll-Up (LW)_CORP SG&amp;A" xfId="0"/>
    <cellStyle name="_LCDTV_Pocket_TV_VSA Roll-Up (LW)_LCD" xfId="0"/>
    <cellStyle name="_LCDTV_Pocket_TV_VSA Roll-Up (LW)_PJ" xfId="0"/>
    <cellStyle name="_LCDTV_TV" xfId="0"/>
    <cellStyle name="_LCDTV_TV 2" xfId="0"/>
    <cellStyle name="_LCDTV_TV 3" xfId="0"/>
    <cellStyle name="_LCDTV_TV 4" xfId="0"/>
    <cellStyle name="_LCDTV_TV_By Region" xfId="0"/>
    <cellStyle name="_LCDTV_TV_CORP SG&amp;A" xfId="0"/>
    <cellStyle name="_LCDTV_TV_Digitizer" xfId="0"/>
    <cellStyle name="_LCDTV_TV_GPS OTHER" xfId="0"/>
    <cellStyle name="_LCDTV_TV_GPS OTHER 2" xfId="0"/>
    <cellStyle name="_LCDTV_TV_GPS OTHER 3" xfId="0"/>
    <cellStyle name="_LCDTV_TV_GPS OTHER 4" xfId="0"/>
    <cellStyle name="_LCDTV_TV_GPS OTHER 4 2" xfId="0"/>
    <cellStyle name="_LCDTV_TV_GPS OTHER_By Region" xfId="0"/>
    <cellStyle name="_LCDTV_TV_GPS OTHER_CORP SG&amp;A" xfId="0"/>
    <cellStyle name="_LCDTV_TV_GPS OTHER_LCD" xfId="0"/>
    <cellStyle name="_LCDTV_TV_GPS OTHER_PJ" xfId="0"/>
    <cellStyle name="_LCDTV_TV_LCD" xfId="0"/>
    <cellStyle name="_LCDTV_TV_LCD 2" xfId="0"/>
    <cellStyle name="_LCDTV_TV_LCD 3" xfId="0"/>
    <cellStyle name="_LCDTV_TV_LCD 4" xfId="0"/>
    <cellStyle name="_LCDTV_TV_LCD_By Region" xfId="0"/>
    <cellStyle name="_LCDTV_TV_LCD_CORP SG&amp;A" xfId="0"/>
    <cellStyle name="_LCDTV_TV_LCD_LCD" xfId="0"/>
    <cellStyle name="_LCDTV_TV_LCD_PJ" xfId="0"/>
    <cellStyle name="_LCDTV_TV_PC Products" xfId="0"/>
    <cellStyle name="_LCDTV_TV_PC Products 2" xfId="0"/>
    <cellStyle name="_LCDTV_TV_PC Products 3" xfId="0"/>
    <cellStyle name="_LCDTV_TV_PC Products 4" xfId="0"/>
    <cellStyle name="_LCDTV_TV_PC Products 4 2" xfId="0"/>
    <cellStyle name="_LCDTV_TV_PC Products_By Region" xfId="0"/>
    <cellStyle name="_LCDTV_TV_PC Products_CORP SG&amp;A" xfId="0"/>
    <cellStyle name="_LCDTV_TV_PC Products_LCD" xfId="0"/>
    <cellStyle name="_LCDTV_TV_PC Products_PJ" xfId="0"/>
    <cellStyle name="_LCDTV_TV_VSA 111014" xfId="0"/>
    <cellStyle name="_LCDTV_TV_VSA 111014 2" xfId="0"/>
    <cellStyle name="_LCDTV_TV_VSA 111014 3" xfId="0"/>
    <cellStyle name="_LCDTV_TV_VSA 111014 4" xfId="0"/>
    <cellStyle name="_LCDTV_TV_VSA 111014 4 2" xfId="0"/>
    <cellStyle name="_LCDTV_TV_VSA 111014_By Region" xfId="0"/>
    <cellStyle name="_LCDTV_TV_VSA 111014_CORP SG&amp;A" xfId="0"/>
    <cellStyle name="_LCDTV_TV_VSA 111014_LCD" xfId="0"/>
    <cellStyle name="_LCDTV_TV_VSA 111014_PJ" xfId="0"/>
    <cellStyle name="_LCDTV_TV_VSA Roll-Up (LW)" xfId="0"/>
    <cellStyle name="_LCDTV_TV_VSA Roll-Up (LW) 2" xfId="0"/>
    <cellStyle name="_LCDTV_TV_VSA Roll-Up (LW) 3" xfId="0"/>
    <cellStyle name="_LCDTV_TV_VSA Roll-Up (LW) 4" xfId="0"/>
    <cellStyle name="_LCDTV_TV_VSA Roll-Up (LW) 4 2" xfId="0"/>
    <cellStyle name="_LCDTV_TV_VSA Roll-Up (LW)_By Region" xfId="0"/>
    <cellStyle name="_LCDTV_TV_VSA Roll-Up (LW)_CORP SG&amp;A" xfId="0"/>
    <cellStyle name="_LCDTV_TV_VSA Roll-Up (LW)_LCD" xfId="0"/>
    <cellStyle name="_LCDTV_TV_VSA Roll-Up (LW)_PJ" xfId="0"/>
    <cellStyle name="_LCDTV_VD" xfId="0"/>
    <cellStyle name="_LCDTV_VD 2" xfId="0"/>
    <cellStyle name="_LCDTV_VD 3" xfId="0"/>
    <cellStyle name="_LCDTV_VD 4" xfId="0"/>
    <cellStyle name="_LCDTV_VD_By Region" xfId="0"/>
    <cellStyle name="_LCDTV_VD_CORP SG&amp;A" xfId="0"/>
    <cellStyle name="_LCDTV_VD_Digitizer" xfId="0"/>
    <cellStyle name="_LCDTV_VD_GPS OTHER" xfId="0"/>
    <cellStyle name="_LCDTV_VD_GPS OTHER 2" xfId="0"/>
    <cellStyle name="_LCDTV_VD_GPS OTHER 3" xfId="0"/>
    <cellStyle name="_LCDTV_VD_GPS OTHER 4" xfId="0"/>
    <cellStyle name="_LCDTV_VD_GPS OTHER 4 2" xfId="0"/>
    <cellStyle name="_LCDTV_VD_GPS OTHER_By Region" xfId="0"/>
    <cellStyle name="_LCDTV_VD_GPS OTHER_CORP SG&amp;A" xfId="0"/>
    <cellStyle name="_LCDTV_VD_GPS OTHER_LCD" xfId="0"/>
    <cellStyle name="_LCDTV_VD_GPS OTHER_PJ" xfId="0"/>
    <cellStyle name="_LCDTV_VD_LCD" xfId="0"/>
    <cellStyle name="_LCDTV_VD_LCD 2" xfId="0"/>
    <cellStyle name="_LCDTV_VD_LCD 3" xfId="0"/>
    <cellStyle name="_LCDTV_VD_LCD 4" xfId="0"/>
    <cellStyle name="_LCDTV_VD_LCD_By Region" xfId="0"/>
    <cellStyle name="_LCDTV_VD_LCD_CORP SG&amp;A" xfId="0"/>
    <cellStyle name="_LCDTV_VD_LCD_LCD" xfId="0"/>
    <cellStyle name="_LCDTV_VD_LCD_PJ" xfId="0"/>
    <cellStyle name="_LCDTV_VD_PC Products" xfId="0"/>
    <cellStyle name="_LCDTV_VD_PC Products 2" xfId="0"/>
    <cellStyle name="_LCDTV_VD_PC Products 3" xfId="0"/>
    <cellStyle name="_LCDTV_VD_PC Products 4" xfId="0"/>
    <cellStyle name="_LCDTV_VD_PC Products 4 2" xfId="0"/>
    <cellStyle name="_LCDTV_VD_PC Products_By Region" xfId="0"/>
    <cellStyle name="_LCDTV_VD_PC Products_CORP SG&amp;A" xfId="0"/>
    <cellStyle name="_LCDTV_VD_PC Products_LCD" xfId="0"/>
    <cellStyle name="_LCDTV_VD_PC Products_PJ" xfId="0"/>
    <cellStyle name="_LCDTV_VD_VSA 111014" xfId="0"/>
    <cellStyle name="_LCDTV_VD_VSA 111014 2" xfId="0"/>
    <cellStyle name="_LCDTV_VD_VSA 111014 3" xfId="0"/>
    <cellStyle name="_LCDTV_VD_VSA 111014 4" xfId="0"/>
    <cellStyle name="_LCDTV_VD_VSA 111014 4 2" xfId="0"/>
    <cellStyle name="_LCDTV_VD_VSA 111014_By Region" xfId="0"/>
    <cellStyle name="_LCDTV_VD_VSA 111014_CORP SG&amp;A" xfId="0"/>
    <cellStyle name="_LCDTV_VD_VSA 111014_LCD" xfId="0"/>
    <cellStyle name="_LCDTV_VD_VSA 111014_PJ" xfId="0"/>
    <cellStyle name="_LCDTV_VD_VSA Roll-Up (LW)" xfId="0"/>
    <cellStyle name="_LCDTV_VD_VSA Roll-Up (LW) 2" xfId="0"/>
    <cellStyle name="_LCDTV_VD_VSA Roll-Up (LW) 3" xfId="0"/>
    <cellStyle name="_LCDTV_VD_VSA Roll-Up (LW) 4" xfId="0"/>
    <cellStyle name="_LCDTV_VD_VSA Roll-Up (LW) 4 2" xfId="0"/>
    <cellStyle name="_LCDTV_VD_VSA Roll-Up (LW)_By Region" xfId="0"/>
    <cellStyle name="_LCDTV_VD_VSA Roll-Up (LW)_CORP SG&amp;A" xfId="0"/>
    <cellStyle name="_LCDTV_VD_VSA Roll-Up (LW)_LCD" xfId="0"/>
    <cellStyle name="_LCDTV_VD_VSA Roll-Up (LW)_PJ" xfId="0"/>
    <cellStyle name="_LCDTV_VSA 111014" xfId="0"/>
    <cellStyle name="_LCDTV_VSA 111014 2" xfId="0"/>
    <cellStyle name="_LCDTV_VSA 111014 3" xfId="0"/>
    <cellStyle name="_LCDTV_VSA 111014 4" xfId="0"/>
    <cellStyle name="_LCDTV_VSA 111014 4 2" xfId="0"/>
    <cellStyle name="_LCDTV_VSA 111014_By Region" xfId="0"/>
    <cellStyle name="_LCDTV_VSA 111014_CORP SG&amp;A" xfId="0"/>
    <cellStyle name="_LCDTV_VSA 111014_LCD" xfId="0"/>
    <cellStyle name="_LCDTV_VSA 111014_PJ" xfId="0"/>
    <cellStyle name="_LCDTV_VSA Roll-Up (LW)" xfId="0"/>
    <cellStyle name="_LCDTV_VSA Roll-Up (LW) 2" xfId="0"/>
    <cellStyle name="_LCDTV_VSA Roll-Up (LW) 3" xfId="0"/>
    <cellStyle name="_LCDTV_VSA Roll-Up (LW) 4" xfId="0"/>
    <cellStyle name="_LCDTV_VSA Roll-Up (LW) 4 2" xfId="0"/>
    <cellStyle name="_LCDTV_VSA Roll-Up (LW)_By Region" xfId="0"/>
    <cellStyle name="_LCDTV_VSA Roll-Up (LW)_CORP SG&amp;A" xfId="0"/>
    <cellStyle name="_LCDTV_VSA Roll-Up (LW)_LCD" xfId="0"/>
    <cellStyle name="_LCDTV_VSA Roll-Up (LW)_PJ" xfId="0"/>
    <cellStyle name="_LCDTV_VSE 2011 Budget" xfId="0"/>
    <cellStyle name="_LCDTV_VSE 2011 Budget 2" xfId="0"/>
    <cellStyle name="_LCDTV_VSE 2011 Budget 3" xfId="0"/>
    <cellStyle name="_LCDTV_VSE 2011 Budget 4" xfId="0"/>
    <cellStyle name="_LCDTV_VSE 2011 Budget_By Region" xfId="0"/>
    <cellStyle name="_LCDTV_VSE 2011 Budget_CORP SG&amp;A" xfId="0"/>
    <cellStyle name="_LCDTV_VSE 2011 Budget_Digitizer" xfId="0"/>
    <cellStyle name="_LCDTV_VSE 2011 Budget_GPS OTHER" xfId="0"/>
    <cellStyle name="_LCDTV_VSE 2011 Budget_GPS OTHER 2" xfId="0"/>
    <cellStyle name="_LCDTV_VSE 2011 Budget_GPS OTHER 3" xfId="0"/>
    <cellStyle name="_LCDTV_VSE 2011 Budget_GPS OTHER 4" xfId="0"/>
    <cellStyle name="_LCDTV_VSE 2011 Budget_GPS OTHER 4 2" xfId="0"/>
    <cellStyle name="_LCDTV_VSE 2011 Budget_GPS OTHER_By Region" xfId="0"/>
    <cellStyle name="_LCDTV_VSE 2011 Budget_GPS OTHER_CORP SG&amp;A" xfId="0"/>
    <cellStyle name="_LCDTV_VSE 2011 Budget_GPS OTHER_LCD" xfId="0"/>
    <cellStyle name="_LCDTV_VSE 2011 Budget_GPS OTHER_PJ" xfId="0"/>
    <cellStyle name="_LCDTV_VSE 2011 Budget_LCD" xfId="0"/>
    <cellStyle name="_LCDTV_VSE 2011 Budget_LCD 2" xfId="0"/>
    <cellStyle name="_LCDTV_VSE 2011 Budget_LCD 3" xfId="0"/>
    <cellStyle name="_LCDTV_VSE 2011 Budget_LCD 4" xfId="0"/>
    <cellStyle name="_LCDTV_VSE 2011 Budget_LCD_By Region" xfId="0"/>
    <cellStyle name="_LCDTV_VSE 2011 Budget_LCD_CORP SG&amp;A" xfId="0"/>
    <cellStyle name="_LCDTV_VSE 2011 Budget_LCD_LCD" xfId="0"/>
    <cellStyle name="_LCDTV_VSE 2011 Budget_LCD_PJ" xfId="0"/>
    <cellStyle name="_LCDTV_VSE 2011 Budget_PC Products" xfId="0"/>
    <cellStyle name="_LCDTV_VSE 2011 Budget_PC Products 2" xfId="0"/>
    <cellStyle name="_LCDTV_VSE 2011 Budget_PC Products 3" xfId="0"/>
    <cellStyle name="_LCDTV_VSE 2011 Budget_PC Products 4" xfId="0"/>
    <cellStyle name="_LCDTV_VSE 2011 Budget_PC Products 4 2" xfId="0"/>
    <cellStyle name="_LCDTV_VSE 2011 Budget_PC Products_By Region" xfId="0"/>
    <cellStyle name="_LCDTV_VSE 2011 Budget_PC Products_CORP SG&amp;A" xfId="0"/>
    <cellStyle name="_LCDTV_VSE 2011 Budget_PC Products_LCD" xfId="0"/>
    <cellStyle name="_LCDTV_VSE 2011 Budget_PC Products_PJ" xfId="0"/>
    <cellStyle name="_LCDTV_VSE 2011 Budget_VSA 111014" xfId="0"/>
    <cellStyle name="_LCDTV_VSE 2011 Budget_VSA 111014 2" xfId="0"/>
    <cellStyle name="_LCDTV_VSE 2011 Budget_VSA 111014 3" xfId="0"/>
    <cellStyle name="_LCDTV_VSE 2011 Budget_VSA 111014 4" xfId="0"/>
    <cellStyle name="_LCDTV_VSE 2011 Budget_VSA 111014 4 2" xfId="0"/>
    <cellStyle name="_LCDTV_VSE 2011 Budget_VSA 111014_By Region" xfId="0"/>
    <cellStyle name="_LCDTV_VSE 2011 Budget_VSA 111014_CORP SG&amp;A" xfId="0"/>
    <cellStyle name="_LCDTV_VSE 2011 Budget_VSA 111014_LCD" xfId="0"/>
    <cellStyle name="_LCDTV_VSE 2011 Budget_VSA 111014_PJ" xfId="0"/>
    <cellStyle name="_LCDTV_VSE 2011 Budget_VSA Roll-Up (LW)" xfId="0"/>
    <cellStyle name="_LCDTV_VSE 2011 Budget_VSA Roll-Up (LW) 2" xfId="0"/>
    <cellStyle name="_LCDTV_VSE 2011 Budget_VSA Roll-Up (LW) 3" xfId="0"/>
    <cellStyle name="_LCDTV_VSE 2011 Budget_VSA Roll-Up (LW) 4" xfId="0"/>
    <cellStyle name="_LCDTV_VSE 2011 Budget_VSA Roll-Up (LW) 4 2" xfId="0"/>
    <cellStyle name="_LCDTV_VSE 2011 Budget_VSA Roll-Up (LW)_By Region" xfId="0"/>
    <cellStyle name="_LCDTV_VSE 2011 Budget_VSA Roll-Up (LW)_CORP SG&amp;A" xfId="0"/>
    <cellStyle name="_LCDTV_VSE 2011 Budget_VSA Roll-Up (LW)_LCD" xfId="0"/>
    <cellStyle name="_LCDTV_VSE 2011 Budget_VSA Roll-Up (LW)_PJ" xfId="0"/>
    <cellStyle name="_LCDTV_VSE 2H  WFP review (Spring Global meeting)-conservative Adam working v3" xfId="0"/>
    <cellStyle name="_LCDTV_VSE 2H  WFP review (Spring Global meeting)-conservative Adam working v3 2" xfId="0"/>
    <cellStyle name="_LCDTV_VSE 2H  WFP review (Spring Global meeting)-conservative Adam working v3 3" xfId="0"/>
    <cellStyle name="_LCDTV_VSE 2H Rebalance 110712" xfId="0"/>
    <cellStyle name="_LCDTV_VSE 2H Rebalance 110712 2" xfId="0"/>
    <cellStyle name="_LCDTV_VSE 2H Rebalance 110712 3" xfId="0"/>
    <cellStyle name="_LCDTV_VSE 2H Rebalance 110712 4" xfId="0"/>
    <cellStyle name="_LCDTV_VSE 2H Rebalance 110712_By Region" xfId="0"/>
    <cellStyle name="_LCDTV_VSE 2H Rebalance 110712_CORP SG&amp;A" xfId="0"/>
    <cellStyle name="_LCDTV_VSE WFP 101203" xfId="0"/>
    <cellStyle name="_LCDTV_VSE WFP 101203 2" xfId="0"/>
    <cellStyle name="_LCDTV_VSE WFP 101203 3" xfId="0"/>
    <cellStyle name="_LCDTV_VSE WFP 101203 4" xfId="0"/>
    <cellStyle name="_LCDTV_VSE WFP 101203_By Region" xfId="0"/>
    <cellStyle name="_LCDTV_VSE WFP 101203_CORP SG&amp;A" xfId="0"/>
    <cellStyle name="_LCDTV_VSE WFP 110311" xfId="0"/>
    <cellStyle name="_LCDTV_VSE WFP 110311 2" xfId="0"/>
    <cellStyle name="_LCDTV_VSE WFP 110311 3" xfId="0"/>
    <cellStyle name="_LCDTV_VSE WFP 110311 4" xfId="0"/>
    <cellStyle name="_LCDTV_VSE WFP 110311_By Region" xfId="0"/>
    <cellStyle name="_LCDTV_VSE WFP 110311_CORP SG&amp;A" xfId="0"/>
    <cellStyle name="_LCDTV_VSE WFP 110415" xfId="0"/>
    <cellStyle name="_LCDTV_VSE WFP 110415 2" xfId="0"/>
    <cellStyle name="_LCDTV_VSE WFP 110415 3" xfId="0"/>
    <cellStyle name="_LCDTV_VSE WFP 110415 4" xfId="0"/>
    <cellStyle name="_LCDTV_VSE WFP 110415_By Region" xfId="0"/>
    <cellStyle name="_LCDTV_VSE WFP 110415_CORP SG&amp;A" xfId="0"/>
    <cellStyle name="_LCDTV_VSE WFP_100409" xfId="0"/>
    <cellStyle name="_LCDTV_VSE WFP_100409 2" xfId="0"/>
    <cellStyle name="_LCDTV_VSE WFP_100409 3" xfId="0"/>
    <cellStyle name="_LCDTV_VSE WFP_100409 4" xfId="0"/>
    <cellStyle name="_LCDTV_VSE WFP_100409_By Region" xfId="0"/>
    <cellStyle name="_LCDTV_VSE WFP_100409_CORP SG&amp;A" xfId="0"/>
    <cellStyle name="_LCDTV_VSE WFP_100409_Digitizer" xfId="0"/>
    <cellStyle name="_LCDTV_VSE WFP_100409_GPS OTHER" xfId="0"/>
    <cellStyle name="_LCDTV_VSE WFP_100409_GPS OTHER 2" xfId="0"/>
    <cellStyle name="_LCDTV_VSE WFP_100409_GPS OTHER 3" xfId="0"/>
    <cellStyle name="_LCDTV_VSE WFP_100409_GPS OTHER 4" xfId="0"/>
    <cellStyle name="_LCDTV_VSE WFP_100409_GPS OTHER 4 2" xfId="0"/>
    <cellStyle name="_LCDTV_VSE WFP_100409_GPS OTHER_By Region" xfId="0"/>
    <cellStyle name="_LCDTV_VSE WFP_100409_GPS OTHER_CORP SG&amp;A" xfId="0"/>
    <cellStyle name="_LCDTV_VSE WFP_100409_GPS OTHER_LCD" xfId="0"/>
    <cellStyle name="_LCDTV_VSE WFP_100409_GPS OTHER_PJ" xfId="0"/>
    <cellStyle name="_LCDTV_VSE WFP_100409_LCD" xfId="0"/>
    <cellStyle name="_LCDTV_VSE WFP_100409_LCD 2" xfId="0"/>
    <cellStyle name="_LCDTV_VSE WFP_100409_LCD 3" xfId="0"/>
    <cellStyle name="_LCDTV_VSE WFP_100409_LCD 4" xfId="0"/>
    <cellStyle name="_LCDTV_VSE WFP_100409_LCD_By Region" xfId="0"/>
    <cellStyle name="_LCDTV_VSE WFP_100409_LCD_CORP SG&amp;A" xfId="0"/>
    <cellStyle name="_LCDTV_VSE WFP_100409_LCD_LCD" xfId="0"/>
    <cellStyle name="_LCDTV_VSE WFP_100409_LCD_PJ" xfId="0"/>
    <cellStyle name="_LCDTV_VSE WFP_100409_PC Products" xfId="0"/>
    <cellStyle name="_LCDTV_VSE WFP_100409_PC Products 2" xfId="0"/>
    <cellStyle name="_LCDTV_VSE WFP_100409_PC Products 3" xfId="0"/>
    <cellStyle name="_LCDTV_VSE WFP_100409_PC Products 4" xfId="0"/>
    <cellStyle name="_LCDTV_VSE WFP_100409_PC Products 4 2" xfId="0"/>
    <cellStyle name="_LCDTV_VSE WFP_100409_PC Products_By Region" xfId="0"/>
    <cellStyle name="_LCDTV_VSE WFP_100409_PC Products_CORP SG&amp;A" xfId="0"/>
    <cellStyle name="_LCDTV_VSE WFP_100409_PC Products_LCD" xfId="0"/>
    <cellStyle name="_LCDTV_VSE WFP_100409_PC Products_PJ" xfId="0"/>
    <cellStyle name="_LCDTV_VSE WFP_100409_VSA 111014" xfId="0"/>
    <cellStyle name="_LCDTV_VSE WFP_100409_VSA 111014 2" xfId="0"/>
    <cellStyle name="_LCDTV_VSE WFP_100409_VSA 111014 3" xfId="0"/>
    <cellStyle name="_LCDTV_VSE WFP_100409_VSA 111014 4" xfId="0"/>
    <cellStyle name="_LCDTV_VSE WFP_100409_VSA 111014 4 2" xfId="0"/>
    <cellStyle name="_LCDTV_VSE WFP_100409_VSA 111014_By Region" xfId="0"/>
    <cellStyle name="_LCDTV_VSE WFP_100409_VSA 111014_CORP SG&amp;A" xfId="0"/>
    <cellStyle name="_LCDTV_VSE WFP_100409_VSA 111014_LCD" xfId="0"/>
    <cellStyle name="_LCDTV_VSE WFP_100409_VSA 111014_PJ" xfId="0"/>
    <cellStyle name="_LCDTV_VSE WFP_100409_VSA Roll-Up (LW)" xfId="0"/>
    <cellStyle name="_LCDTV_VSE WFP_100409_VSA Roll-Up (LW) 2" xfId="0"/>
    <cellStyle name="_LCDTV_VSE WFP_100409_VSA Roll-Up (LW) 3" xfId="0"/>
    <cellStyle name="_LCDTV_VSE WFP_100409_VSA Roll-Up (LW) 4" xfId="0"/>
    <cellStyle name="_LCDTV_VSE WFP_100409_VSA Roll-Up (LW) 4 2" xfId="0"/>
    <cellStyle name="_LCDTV_VSE WFP_100409_VSA Roll-Up (LW)_By Region" xfId="0"/>
    <cellStyle name="_LCDTV_VSE WFP_100409_VSA Roll-Up (LW)_CORP SG&amp;A" xfId="0"/>
    <cellStyle name="_LCDTV_VSE WFP_100409_VSA Roll-Up (LW)_LCD" xfId="0"/>
    <cellStyle name="_LCDTV_VSE WFP_100409_VSA Roll-Up (LW)_PJ" xfId="0"/>
    <cellStyle name="_LCDTV_VSE WFP_100421 v2" xfId="0"/>
    <cellStyle name="_LCDTV_VSE WFP_100421 v2 2" xfId="0"/>
    <cellStyle name="_LCDTV_VSE WFP_100421 v2 3" xfId="0"/>
    <cellStyle name="_LCDTV_VSE WFP_100421 v2 4" xfId="0"/>
    <cellStyle name="_LCDTV_VSE WFP_100421 v2_By Region" xfId="0"/>
    <cellStyle name="_LCDTV_VSE WFP_100421 v2_CORP SG&amp;A" xfId="0"/>
    <cellStyle name="_LCDTV_VSE WFP_100421 v2_Digitizer" xfId="0"/>
    <cellStyle name="_LCDTV_VSE WFP_100421 v2_GPS OTHER" xfId="0"/>
    <cellStyle name="_LCDTV_VSE WFP_100421 v2_GPS OTHER 2" xfId="0"/>
    <cellStyle name="_LCDTV_VSE WFP_100421 v2_GPS OTHER 3" xfId="0"/>
    <cellStyle name="_LCDTV_VSE WFP_100421 v2_GPS OTHER 4" xfId="0"/>
    <cellStyle name="_LCDTV_VSE WFP_100421 v2_GPS OTHER 4 2" xfId="0"/>
    <cellStyle name="_LCDTV_VSE WFP_100421 v2_GPS OTHER_By Region" xfId="0"/>
    <cellStyle name="_LCDTV_VSE WFP_100421 v2_GPS OTHER_CORP SG&amp;A" xfId="0"/>
    <cellStyle name="_LCDTV_VSE WFP_100421 v2_GPS OTHER_LCD" xfId="0"/>
    <cellStyle name="_LCDTV_VSE WFP_100421 v2_GPS OTHER_PJ" xfId="0"/>
    <cellStyle name="_LCDTV_VSE WFP_100421 v2_LCD" xfId="0"/>
    <cellStyle name="_LCDTV_VSE WFP_100421 v2_LCD 2" xfId="0"/>
    <cellStyle name="_LCDTV_VSE WFP_100421 v2_LCD 3" xfId="0"/>
    <cellStyle name="_LCDTV_VSE WFP_100421 v2_LCD 4" xfId="0"/>
    <cellStyle name="_LCDTV_VSE WFP_100421 v2_LCD_By Region" xfId="0"/>
    <cellStyle name="_LCDTV_VSE WFP_100421 v2_LCD_CORP SG&amp;A" xfId="0"/>
    <cellStyle name="_LCDTV_VSE WFP_100421 v2_LCD_LCD" xfId="0"/>
    <cellStyle name="_LCDTV_VSE WFP_100421 v2_LCD_PJ" xfId="0"/>
    <cellStyle name="_LCDTV_VSE WFP_100421 v2_PC Products" xfId="0"/>
    <cellStyle name="_LCDTV_VSE WFP_100421 v2_PC Products 2" xfId="0"/>
    <cellStyle name="_LCDTV_VSE WFP_100421 v2_PC Products 3" xfId="0"/>
    <cellStyle name="_LCDTV_VSE WFP_100421 v2_PC Products 4" xfId="0"/>
    <cellStyle name="_LCDTV_VSE WFP_100421 v2_PC Products 4 2" xfId="0"/>
    <cellStyle name="_LCDTV_VSE WFP_100421 v2_PC Products_By Region" xfId="0"/>
    <cellStyle name="_LCDTV_VSE WFP_100421 v2_PC Products_CORP SG&amp;A" xfId="0"/>
    <cellStyle name="_LCDTV_VSE WFP_100421 v2_PC Products_LCD" xfId="0"/>
    <cellStyle name="_LCDTV_VSE WFP_100421 v2_PC Products_PJ" xfId="0"/>
    <cellStyle name="_LCDTV_VSE WFP_100421 v2_VSA 111014" xfId="0"/>
    <cellStyle name="_LCDTV_VSE WFP_100421 v2_VSA 111014 2" xfId="0"/>
    <cellStyle name="_LCDTV_VSE WFP_100421 v2_VSA 111014 3" xfId="0"/>
    <cellStyle name="_LCDTV_VSE WFP_100421 v2_VSA 111014 4" xfId="0"/>
    <cellStyle name="_LCDTV_VSE WFP_100421 v2_VSA 111014 4 2" xfId="0"/>
    <cellStyle name="_LCDTV_VSE WFP_100421 v2_VSA 111014_By Region" xfId="0"/>
    <cellStyle name="_LCDTV_VSE WFP_100421 v2_VSA 111014_CORP SG&amp;A" xfId="0"/>
    <cellStyle name="_LCDTV_VSE WFP_100421 v2_VSA 111014_LCD" xfId="0"/>
    <cellStyle name="_LCDTV_VSE WFP_100421 v2_VSA 111014_PJ" xfId="0"/>
    <cellStyle name="_LCDTV_VSE WFP_100421 v2_VSA Roll-Up (LW)" xfId="0"/>
    <cellStyle name="_LCDTV_VSE WFP_100421 v2_VSA Roll-Up (LW) 2" xfId="0"/>
    <cellStyle name="_LCDTV_VSE WFP_100421 v2_VSA Roll-Up (LW) 3" xfId="0"/>
    <cellStyle name="_LCDTV_VSE WFP_100421 v2_VSA Roll-Up (LW) 4" xfId="0"/>
    <cellStyle name="_LCDTV_VSE WFP_100421 v2_VSA Roll-Up (LW) 4 2" xfId="0"/>
    <cellStyle name="_LCDTV_VSE WFP_100421 v2_VSA Roll-Up (LW)_By Region" xfId="0"/>
    <cellStyle name="_LCDTV_VSE WFP_100421 v2_VSA Roll-Up (LW)_CORP SG&amp;A" xfId="0"/>
    <cellStyle name="_LCDTV_VSE WFP_100421 v2_VSA Roll-Up (LW)_LCD" xfId="0"/>
    <cellStyle name="_LCDTV_VSE WFP_100421 v2_VSA Roll-Up (LW)_PJ" xfId="0"/>
    <cellStyle name="_LCDTV_VSE WFP_100507" xfId="0"/>
    <cellStyle name="_LCDTV_VSE WFP_100507 2" xfId="0"/>
    <cellStyle name="_LCDTV_VSE WFP_100507 3" xfId="0"/>
    <cellStyle name="_LCDTV_VSE WFP_100507 4" xfId="0"/>
    <cellStyle name="_LCDTV_VSE WFP_100507_By Region" xfId="0"/>
    <cellStyle name="_LCDTV_VSE WFP_100507_CORP SG&amp;A" xfId="0"/>
    <cellStyle name="_LCDTV_VSE WFP_100507_Digitizer" xfId="0"/>
    <cellStyle name="_LCDTV_VSE WFP_100507_GPS OTHER" xfId="0"/>
    <cellStyle name="_LCDTV_VSE WFP_100507_GPS OTHER 2" xfId="0"/>
    <cellStyle name="_LCDTV_VSE WFP_100507_GPS OTHER 3" xfId="0"/>
    <cellStyle name="_LCDTV_VSE WFP_100507_GPS OTHER 4" xfId="0"/>
    <cellStyle name="_LCDTV_VSE WFP_100507_GPS OTHER 4 2" xfId="0"/>
    <cellStyle name="_LCDTV_VSE WFP_100507_GPS OTHER_By Region" xfId="0"/>
    <cellStyle name="_LCDTV_VSE WFP_100507_GPS OTHER_CORP SG&amp;A" xfId="0"/>
    <cellStyle name="_LCDTV_VSE WFP_100507_GPS OTHER_LCD" xfId="0"/>
    <cellStyle name="_LCDTV_VSE WFP_100507_GPS OTHER_PJ" xfId="0"/>
    <cellStyle name="_LCDTV_VSE WFP_100507_LCD" xfId="0"/>
    <cellStyle name="_LCDTV_VSE WFP_100507_LCD 2" xfId="0"/>
    <cellStyle name="_LCDTV_VSE WFP_100507_LCD 3" xfId="0"/>
    <cellStyle name="_LCDTV_VSE WFP_100507_LCD 4" xfId="0"/>
    <cellStyle name="_LCDTV_VSE WFP_100507_LCD_By Region" xfId="0"/>
    <cellStyle name="_LCDTV_VSE WFP_100507_LCD_CORP SG&amp;A" xfId="0"/>
    <cellStyle name="_LCDTV_VSE WFP_100507_LCD_LCD" xfId="0"/>
    <cellStyle name="_LCDTV_VSE WFP_100507_LCD_PJ" xfId="0"/>
    <cellStyle name="_LCDTV_VSE WFP_100507_PC Products" xfId="0"/>
    <cellStyle name="_LCDTV_VSE WFP_100507_PC Products 2" xfId="0"/>
    <cellStyle name="_LCDTV_VSE WFP_100507_PC Products 3" xfId="0"/>
    <cellStyle name="_LCDTV_VSE WFP_100507_PC Products 4" xfId="0"/>
    <cellStyle name="_LCDTV_VSE WFP_100507_PC Products 4 2" xfId="0"/>
    <cellStyle name="_LCDTV_VSE WFP_100507_PC Products_By Region" xfId="0"/>
    <cellStyle name="_LCDTV_VSE WFP_100507_PC Products_CORP SG&amp;A" xfId="0"/>
    <cellStyle name="_LCDTV_VSE WFP_100507_PC Products_LCD" xfId="0"/>
    <cellStyle name="_LCDTV_VSE WFP_100507_PC Products_PJ" xfId="0"/>
    <cellStyle name="_LCDTV_VSE WFP_100507_VSA 111014" xfId="0"/>
    <cellStyle name="_LCDTV_VSE WFP_100507_VSA 111014 2" xfId="0"/>
    <cellStyle name="_LCDTV_VSE WFP_100507_VSA 111014 3" xfId="0"/>
    <cellStyle name="_LCDTV_VSE WFP_100507_VSA 111014 4" xfId="0"/>
    <cellStyle name="_LCDTV_VSE WFP_100507_VSA 111014 4 2" xfId="0"/>
    <cellStyle name="_LCDTV_VSE WFP_100507_VSA 111014_By Region" xfId="0"/>
    <cellStyle name="_LCDTV_VSE WFP_100507_VSA 111014_CORP SG&amp;A" xfId="0"/>
    <cellStyle name="_LCDTV_VSE WFP_100507_VSA 111014_LCD" xfId="0"/>
    <cellStyle name="_LCDTV_VSE WFP_100507_VSA 111014_PJ" xfId="0"/>
    <cellStyle name="_LCDTV_VSE WFP_100507_VSA Roll-Up (LW)" xfId="0"/>
    <cellStyle name="_LCDTV_VSE WFP_100507_VSA Roll-Up (LW) 2" xfId="0"/>
    <cellStyle name="_LCDTV_VSE WFP_100507_VSA Roll-Up (LW) 3" xfId="0"/>
    <cellStyle name="_LCDTV_VSE WFP_100507_VSA Roll-Up (LW) 4" xfId="0"/>
    <cellStyle name="_LCDTV_VSE WFP_100507_VSA Roll-Up (LW) 4 2" xfId="0"/>
    <cellStyle name="_LCDTV_VSE WFP_100507_VSA Roll-Up (LW)_By Region" xfId="0"/>
    <cellStyle name="_LCDTV_VSE WFP_100507_VSA Roll-Up (LW)_CORP SG&amp;A" xfId="0"/>
    <cellStyle name="_LCDTV_VSE WFP_100507_VSA Roll-Up (LW)_LCD" xfId="0"/>
    <cellStyle name="_LCDTV_VSE WFP_100507_VSA Roll-Up (LW)_PJ" xfId="0"/>
    <cellStyle name="_LCDTV_VSE WFP_100608" xfId="0"/>
    <cellStyle name="_LCDTV_VSE WFP_100608 2" xfId="0"/>
    <cellStyle name="_LCDTV_VSE WFP_100608 3" xfId="0"/>
    <cellStyle name="_LCDTV_VSE WFP_100608 4" xfId="0"/>
    <cellStyle name="_LCDTV_VSE WFP_100608_By Region" xfId="0"/>
    <cellStyle name="_LCDTV_VSE WFP_100608_CORP SG&amp;A" xfId="0"/>
    <cellStyle name="_LCDTV_VSE WFP_100608_Digitizer" xfId="0"/>
    <cellStyle name="_LCDTV_VSE WFP_100608_GPS OTHER" xfId="0"/>
    <cellStyle name="_LCDTV_VSE WFP_100608_GPS OTHER 2" xfId="0"/>
    <cellStyle name="_LCDTV_VSE WFP_100608_GPS OTHER 3" xfId="0"/>
    <cellStyle name="_LCDTV_VSE WFP_100608_GPS OTHER 4" xfId="0"/>
    <cellStyle name="_LCDTV_VSE WFP_100608_GPS OTHER 4 2" xfId="0"/>
    <cellStyle name="_LCDTV_VSE WFP_100608_GPS OTHER_By Region" xfId="0"/>
    <cellStyle name="_LCDTV_VSE WFP_100608_GPS OTHER_CORP SG&amp;A" xfId="0"/>
    <cellStyle name="_LCDTV_VSE WFP_100608_GPS OTHER_LCD" xfId="0"/>
    <cellStyle name="_LCDTV_VSE WFP_100608_GPS OTHER_PJ" xfId="0"/>
    <cellStyle name="_LCDTV_VSE WFP_100608_LCD" xfId="0"/>
    <cellStyle name="_LCDTV_VSE WFP_100608_LCD 2" xfId="0"/>
    <cellStyle name="_LCDTV_VSE WFP_100608_LCD 3" xfId="0"/>
    <cellStyle name="_LCDTV_VSE WFP_100608_LCD 4" xfId="0"/>
    <cellStyle name="_LCDTV_VSE WFP_100608_LCD_By Region" xfId="0"/>
    <cellStyle name="_LCDTV_VSE WFP_100608_LCD_CORP SG&amp;A" xfId="0"/>
    <cellStyle name="_LCDTV_VSE WFP_100608_LCD_LCD" xfId="0"/>
    <cellStyle name="_LCDTV_VSE WFP_100608_LCD_PJ" xfId="0"/>
    <cellStyle name="_LCDTV_VSE WFP_100608_PC Products" xfId="0"/>
    <cellStyle name="_LCDTV_VSE WFP_100608_PC Products 2" xfId="0"/>
    <cellStyle name="_LCDTV_VSE WFP_100608_PC Products 3" xfId="0"/>
    <cellStyle name="_LCDTV_VSE WFP_100608_PC Products 4" xfId="0"/>
    <cellStyle name="_LCDTV_VSE WFP_100608_PC Products 4 2" xfId="0"/>
    <cellStyle name="_LCDTV_VSE WFP_100608_PC Products_By Region" xfId="0"/>
    <cellStyle name="_LCDTV_VSE WFP_100608_PC Products_CORP SG&amp;A" xfId="0"/>
    <cellStyle name="_LCDTV_VSE WFP_100608_PC Products_LCD" xfId="0"/>
    <cellStyle name="_LCDTV_VSE WFP_100608_PC Products_PJ" xfId="0"/>
    <cellStyle name="_LCDTV_VSE WFP_100608_VSA 111014" xfId="0"/>
    <cellStyle name="_LCDTV_VSE WFP_100608_VSA 111014 2" xfId="0"/>
    <cellStyle name="_LCDTV_VSE WFP_100608_VSA 111014 3" xfId="0"/>
    <cellStyle name="_LCDTV_VSE WFP_100608_VSA 111014 4" xfId="0"/>
    <cellStyle name="_LCDTV_VSE WFP_100608_VSA 111014 4 2" xfId="0"/>
    <cellStyle name="_LCDTV_VSE WFP_100608_VSA 111014_By Region" xfId="0"/>
    <cellStyle name="_LCDTV_VSE WFP_100608_VSA 111014_CORP SG&amp;A" xfId="0"/>
    <cellStyle name="_LCDTV_VSE WFP_100608_VSA 111014_LCD" xfId="0"/>
    <cellStyle name="_LCDTV_VSE WFP_100608_VSA 111014_PJ" xfId="0"/>
    <cellStyle name="_LCDTV_VSE WFP_100608_VSA Roll-Up (LW)" xfId="0"/>
    <cellStyle name="_LCDTV_VSE WFP_100608_VSA Roll-Up (LW) 2" xfId="0"/>
    <cellStyle name="_LCDTV_VSE WFP_100608_VSA Roll-Up (LW) 3" xfId="0"/>
    <cellStyle name="_LCDTV_VSE WFP_100608_VSA Roll-Up (LW) 4" xfId="0"/>
    <cellStyle name="_LCDTV_VSE WFP_100608_VSA Roll-Up (LW) 4 2" xfId="0"/>
    <cellStyle name="_LCDTV_VSE WFP_100608_VSA Roll-Up (LW)_By Region" xfId="0"/>
    <cellStyle name="_LCDTV_VSE WFP_100608_VSA Roll-Up (LW)_CORP SG&amp;A" xfId="0"/>
    <cellStyle name="_LCDTV_VSE WFP_100608_VSA Roll-Up (LW)_LCD" xfId="0"/>
    <cellStyle name="_LCDTV_VSE WFP_100608_VSA Roll-Up (LW)_PJ" xfId="0"/>
    <cellStyle name="_LCDTV_VSE WFP_100625" xfId="0"/>
    <cellStyle name="_LCDTV_VSE WFP_100625 2" xfId="0"/>
    <cellStyle name="_LCDTV_VSE WFP_100625 3" xfId="0"/>
    <cellStyle name="_LCDTV_VSE WFP_100625 4" xfId="0"/>
    <cellStyle name="_LCDTV_VSE WFP_100625_By Region" xfId="0"/>
    <cellStyle name="_LCDTV_VSE WFP_100625_CORP SG&amp;A" xfId="0"/>
    <cellStyle name="_LCDTV_VSE WFP_100625_Digitizer" xfId="0"/>
    <cellStyle name="_LCDTV_VSE WFP_100625_GPS OTHER" xfId="0"/>
    <cellStyle name="_LCDTV_VSE WFP_100625_GPS OTHER 2" xfId="0"/>
    <cellStyle name="_LCDTV_VSE WFP_100625_GPS OTHER 3" xfId="0"/>
    <cellStyle name="_LCDTV_VSE WFP_100625_GPS OTHER 4" xfId="0"/>
    <cellStyle name="_LCDTV_VSE WFP_100625_GPS OTHER 4 2" xfId="0"/>
    <cellStyle name="_LCDTV_VSE WFP_100625_GPS OTHER_By Region" xfId="0"/>
    <cellStyle name="_LCDTV_VSE WFP_100625_GPS OTHER_CORP SG&amp;A" xfId="0"/>
    <cellStyle name="_LCDTV_VSE WFP_100625_GPS OTHER_LCD" xfId="0"/>
    <cellStyle name="_LCDTV_VSE WFP_100625_GPS OTHER_PJ" xfId="0"/>
    <cellStyle name="_LCDTV_VSE WFP_100625_LCD" xfId="0"/>
    <cellStyle name="_LCDTV_VSE WFP_100625_LCD 2" xfId="0"/>
    <cellStyle name="_LCDTV_VSE WFP_100625_LCD 3" xfId="0"/>
    <cellStyle name="_LCDTV_VSE WFP_100625_LCD 4" xfId="0"/>
    <cellStyle name="_LCDTV_VSE WFP_100625_LCD_By Region" xfId="0"/>
    <cellStyle name="_LCDTV_VSE WFP_100625_LCD_CORP SG&amp;A" xfId="0"/>
    <cellStyle name="_LCDTV_VSE WFP_100625_LCD_LCD" xfId="0"/>
    <cellStyle name="_LCDTV_VSE WFP_100625_LCD_PJ" xfId="0"/>
    <cellStyle name="_LCDTV_VSE WFP_100625_PC Products" xfId="0"/>
    <cellStyle name="_LCDTV_VSE WFP_100625_PC Products 2" xfId="0"/>
    <cellStyle name="_LCDTV_VSE WFP_100625_PC Products 3" xfId="0"/>
    <cellStyle name="_LCDTV_VSE WFP_100625_PC Products 4" xfId="0"/>
    <cellStyle name="_LCDTV_VSE WFP_100625_PC Products 4 2" xfId="0"/>
    <cellStyle name="_LCDTV_VSE WFP_100625_PC Products_By Region" xfId="0"/>
    <cellStyle name="_LCDTV_VSE WFP_100625_PC Products_CORP SG&amp;A" xfId="0"/>
    <cellStyle name="_LCDTV_VSE WFP_100625_PC Products_LCD" xfId="0"/>
    <cellStyle name="_LCDTV_VSE WFP_100625_PC Products_PJ" xfId="0"/>
    <cellStyle name="_LCDTV_VSE WFP_100625_VSA 111014" xfId="0"/>
    <cellStyle name="_LCDTV_VSE WFP_100625_VSA 111014 2" xfId="0"/>
    <cellStyle name="_LCDTV_VSE WFP_100625_VSA 111014 3" xfId="0"/>
    <cellStyle name="_LCDTV_VSE WFP_100625_VSA 111014 4" xfId="0"/>
    <cellStyle name="_LCDTV_VSE WFP_100625_VSA 111014 4 2" xfId="0"/>
    <cellStyle name="_LCDTV_VSE WFP_100625_VSA 111014_By Region" xfId="0"/>
    <cellStyle name="_LCDTV_VSE WFP_100625_VSA 111014_CORP SG&amp;A" xfId="0"/>
    <cellStyle name="_LCDTV_VSE WFP_100625_VSA 111014_LCD" xfId="0"/>
    <cellStyle name="_LCDTV_VSE WFP_100625_VSA 111014_PJ" xfId="0"/>
    <cellStyle name="_LCDTV_VSE WFP_100625_VSA Roll-Up (LW)" xfId="0"/>
    <cellStyle name="_LCDTV_VSE WFP_100625_VSA Roll-Up (LW) 2" xfId="0"/>
    <cellStyle name="_LCDTV_VSE WFP_100625_VSA Roll-Up (LW) 3" xfId="0"/>
    <cellStyle name="_LCDTV_VSE WFP_100625_VSA Roll-Up (LW) 4" xfId="0"/>
    <cellStyle name="_LCDTV_VSE WFP_100625_VSA Roll-Up (LW) 4 2" xfId="0"/>
    <cellStyle name="_LCDTV_VSE WFP_100625_VSA Roll-Up (LW)_By Region" xfId="0"/>
    <cellStyle name="_LCDTV_VSE WFP_100625_VSA Roll-Up (LW)_CORP SG&amp;A" xfId="0"/>
    <cellStyle name="_LCDTV_VSE WFP_100625_VSA Roll-Up (LW)_LCD" xfId="0"/>
    <cellStyle name="_LCDTV_VSE WFP_100625_VSA Roll-Up (LW)_PJ" xfId="0"/>
    <cellStyle name="_LCDTV_VSE WFP_100708_3rd" xfId="0"/>
    <cellStyle name="_LCDTV_VSE WFP_100708_3rd 2" xfId="0"/>
    <cellStyle name="_LCDTV_VSE WFP_100708_3rd 3" xfId="0"/>
    <cellStyle name="_LCDTV_VSE WFP_100708_3rd 4" xfId="0"/>
    <cellStyle name="_LCDTV_VSE WFP_100708_3rd_By Region" xfId="0"/>
    <cellStyle name="_LCDTV_VSE WFP_100708_3rd_CORP SG&amp;A" xfId="0"/>
    <cellStyle name="_LCDTV_VSE WFP_100708_3rd_Digitizer" xfId="0"/>
    <cellStyle name="_LCDTV_VSE WFP_100708_3rd_GPS OTHER" xfId="0"/>
    <cellStyle name="_LCDTV_VSE WFP_100708_3rd_GPS OTHER 2" xfId="0"/>
    <cellStyle name="_LCDTV_VSE WFP_100708_3rd_GPS OTHER 3" xfId="0"/>
    <cellStyle name="_LCDTV_VSE WFP_100708_3rd_GPS OTHER 4" xfId="0"/>
    <cellStyle name="_LCDTV_VSE WFP_100708_3rd_GPS OTHER 4 2" xfId="0"/>
    <cellStyle name="_LCDTV_VSE WFP_100708_3rd_GPS OTHER_By Region" xfId="0"/>
    <cellStyle name="_LCDTV_VSE WFP_100708_3rd_GPS OTHER_CORP SG&amp;A" xfId="0"/>
    <cellStyle name="_LCDTV_VSE WFP_100708_3rd_GPS OTHER_LCD" xfId="0"/>
    <cellStyle name="_LCDTV_VSE WFP_100708_3rd_GPS OTHER_PJ" xfId="0"/>
    <cellStyle name="_LCDTV_VSE WFP_100708_3rd_LCD" xfId="0"/>
    <cellStyle name="_LCDTV_VSE WFP_100708_3rd_LCD 2" xfId="0"/>
    <cellStyle name="_LCDTV_VSE WFP_100708_3rd_LCD 3" xfId="0"/>
    <cellStyle name="_LCDTV_VSE WFP_100708_3rd_LCD 4" xfId="0"/>
    <cellStyle name="_LCDTV_VSE WFP_100708_3rd_LCD_By Region" xfId="0"/>
    <cellStyle name="_LCDTV_VSE WFP_100708_3rd_LCD_CORP SG&amp;A" xfId="0"/>
    <cellStyle name="_LCDTV_VSE WFP_100708_3rd_LCD_LCD" xfId="0"/>
    <cellStyle name="_LCDTV_VSE WFP_100708_3rd_LCD_PJ" xfId="0"/>
    <cellStyle name="_LCDTV_VSE WFP_100708_3rd_PC Products" xfId="0"/>
    <cellStyle name="_LCDTV_VSE WFP_100708_3rd_PC Products 2" xfId="0"/>
    <cellStyle name="_LCDTV_VSE WFP_100708_3rd_PC Products 3" xfId="0"/>
    <cellStyle name="_LCDTV_VSE WFP_100708_3rd_PC Products 4" xfId="0"/>
    <cellStyle name="_LCDTV_VSE WFP_100708_3rd_PC Products 4 2" xfId="0"/>
    <cellStyle name="_LCDTV_VSE WFP_100708_3rd_PC Products_By Region" xfId="0"/>
    <cellStyle name="_LCDTV_VSE WFP_100708_3rd_PC Products_CORP SG&amp;A" xfId="0"/>
    <cellStyle name="_LCDTV_VSE WFP_100708_3rd_PC Products_LCD" xfId="0"/>
    <cellStyle name="_LCDTV_VSE WFP_100708_3rd_PC Products_PJ" xfId="0"/>
    <cellStyle name="_LCDTV_VSE WFP_100708_3rd_VSA 111014" xfId="0"/>
    <cellStyle name="_LCDTV_VSE WFP_100708_3rd_VSA 111014 2" xfId="0"/>
    <cellStyle name="_LCDTV_VSE WFP_100708_3rd_VSA 111014 3" xfId="0"/>
    <cellStyle name="_LCDTV_VSE WFP_100708_3rd_VSA 111014 4" xfId="0"/>
    <cellStyle name="_LCDTV_VSE WFP_100708_3rd_VSA 111014 4 2" xfId="0"/>
    <cellStyle name="_LCDTV_VSE WFP_100708_3rd_VSA 111014_By Region" xfId="0"/>
    <cellStyle name="_LCDTV_VSE WFP_100708_3rd_VSA 111014_CORP SG&amp;A" xfId="0"/>
    <cellStyle name="_LCDTV_VSE WFP_100708_3rd_VSA 111014_LCD" xfId="0"/>
    <cellStyle name="_LCDTV_VSE WFP_100708_3rd_VSA 111014_PJ" xfId="0"/>
    <cellStyle name="_LCDTV_VSE WFP_100708_3rd_VSA Roll-Up (LW)" xfId="0"/>
    <cellStyle name="_LCDTV_VSE WFP_100708_3rd_VSA Roll-Up (LW) 2" xfId="0"/>
    <cellStyle name="_LCDTV_VSE WFP_100708_3rd_VSA Roll-Up (LW) 3" xfId="0"/>
    <cellStyle name="_LCDTV_VSE WFP_100708_3rd_VSA Roll-Up (LW) 4" xfId="0"/>
    <cellStyle name="_LCDTV_VSE WFP_100708_3rd_VSA Roll-Up (LW) 4 2" xfId="0"/>
    <cellStyle name="_LCDTV_VSE WFP_100708_3rd_VSA Roll-Up (LW)_By Region" xfId="0"/>
    <cellStyle name="_LCDTV_VSE WFP_100708_3rd_VSA Roll-Up (LW)_CORP SG&amp;A" xfId="0"/>
    <cellStyle name="_LCDTV_VSE WFP_100708_3rd_VSA Roll-Up (LW)_LCD" xfId="0"/>
    <cellStyle name="_LCDTV_VSE WFP_100708_3rd_VSA Roll-Up (LW)_PJ" xfId="0"/>
    <cellStyle name="_LCDTV_VSE WFP_100726" xfId="0"/>
    <cellStyle name="_LCDTV_VSE WFP_100726 2" xfId="0"/>
    <cellStyle name="_LCDTV_VSE WFP_100726 3" xfId="0"/>
    <cellStyle name="_LCDTV_VSE WFP_100726 4" xfId="0"/>
    <cellStyle name="_LCDTV_VSE WFP_100726-1" xfId="0"/>
    <cellStyle name="_LCDTV_VSE WFP_100726-1 2" xfId="0"/>
    <cellStyle name="_LCDTV_VSE WFP_100726-1 3" xfId="0"/>
    <cellStyle name="_LCDTV_VSE WFP_100726-1 4" xfId="0"/>
    <cellStyle name="_LCDTV_VSE WFP_100726-1_By Region" xfId="0"/>
    <cellStyle name="_LCDTV_VSE WFP_100726-1_CORP SG&amp;A" xfId="0"/>
    <cellStyle name="_LCDTV_VSE WFP_100726-1_Digitizer" xfId="0"/>
    <cellStyle name="_LCDTV_VSE WFP_100726-1_GPS OTHER" xfId="0"/>
    <cellStyle name="_LCDTV_VSE WFP_100726-1_GPS OTHER 2" xfId="0"/>
    <cellStyle name="_LCDTV_VSE WFP_100726-1_GPS OTHER 3" xfId="0"/>
    <cellStyle name="_LCDTV_VSE WFP_100726-1_GPS OTHER 4" xfId="0"/>
    <cellStyle name="_LCDTV_VSE WFP_100726-1_GPS OTHER 4 2" xfId="0"/>
    <cellStyle name="_LCDTV_VSE WFP_100726-1_GPS OTHER_By Region" xfId="0"/>
    <cellStyle name="_LCDTV_VSE WFP_100726-1_GPS OTHER_CORP SG&amp;A" xfId="0"/>
    <cellStyle name="_LCDTV_VSE WFP_100726-1_GPS OTHER_LCD" xfId="0"/>
    <cellStyle name="_LCDTV_VSE WFP_100726-1_GPS OTHER_PJ" xfId="0"/>
    <cellStyle name="_LCDTV_VSE WFP_100726-1_LCD" xfId="0"/>
    <cellStyle name="_LCDTV_VSE WFP_100726-1_LCD 2" xfId="0"/>
    <cellStyle name="_LCDTV_VSE WFP_100726-1_LCD 3" xfId="0"/>
    <cellStyle name="_LCDTV_VSE WFP_100726-1_LCD 4" xfId="0"/>
    <cellStyle name="_LCDTV_VSE WFP_100726-1_LCD_By Region" xfId="0"/>
    <cellStyle name="_LCDTV_VSE WFP_100726-1_LCD_CORP SG&amp;A" xfId="0"/>
    <cellStyle name="_LCDTV_VSE WFP_100726-1_LCD_LCD" xfId="0"/>
    <cellStyle name="_LCDTV_VSE WFP_100726-1_LCD_PJ" xfId="0"/>
    <cellStyle name="_LCDTV_VSE WFP_100726-1_PC Products" xfId="0"/>
    <cellStyle name="_LCDTV_VSE WFP_100726-1_PC Products 2" xfId="0"/>
    <cellStyle name="_LCDTV_VSE WFP_100726-1_PC Products 3" xfId="0"/>
    <cellStyle name="_LCDTV_VSE WFP_100726-1_PC Products 4" xfId="0"/>
    <cellStyle name="_LCDTV_VSE WFP_100726-1_PC Products 4 2" xfId="0"/>
    <cellStyle name="_LCDTV_VSE WFP_100726-1_PC Products_By Region" xfId="0"/>
    <cellStyle name="_LCDTV_VSE WFP_100726-1_PC Products_CORP SG&amp;A" xfId="0"/>
    <cellStyle name="_LCDTV_VSE WFP_100726-1_PC Products_LCD" xfId="0"/>
    <cellStyle name="_LCDTV_VSE WFP_100726-1_PC Products_PJ" xfId="0"/>
    <cellStyle name="_LCDTV_VSE WFP_100726-1_VSA 111014" xfId="0"/>
    <cellStyle name="_LCDTV_VSE WFP_100726-1_VSA 111014 2" xfId="0"/>
    <cellStyle name="_LCDTV_VSE WFP_100726-1_VSA 111014 3" xfId="0"/>
    <cellStyle name="_LCDTV_VSE WFP_100726-1_VSA 111014 4" xfId="0"/>
    <cellStyle name="_LCDTV_VSE WFP_100726-1_VSA 111014 4 2" xfId="0"/>
    <cellStyle name="_LCDTV_VSE WFP_100726-1_VSA 111014_By Region" xfId="0"/>
    <cellStyle name="_LCDTV_VSE WFP_100726-1_VSA 111014_CORP SG&amp;A" xfId="0"/>
    <cellStyle name="_LCDTV_VSE WFP_100726-1_VSA 111014_LCD" xfId="0"/>
    <cellStyle name="_LCDTV_VSE WFP_100726-1_VSA 111014_PJ" xfId="0"/>
    <cellStyle name="_LCDTV_VSE WFP_100726-1_VSA Roll-Up (LW)" xfId="0"/>
    <cellStyle name="_LCDTV_VSE WFP_100726-1_VSA Roll-Up (LW) 2" xfId="0"/>
    <cellStyle name="_LCDTV_VSE WFP_100726-1_VSA Roll-Up (LW) 3" xfId="0"/>
    <cellStyle name="_LCDTV_VSE WFP_100726-1_VSA Roll-Up (LW) 4" xfId="0"/>
    <cellStyle name="_LCDTV_VSE WFP_100726-1_VSA Roll-Up (LW) 4 2" xfId="0"/>
    <cellStyle name="_LCDTV_VSE WFP_100726-1_VSA Roll-Up (LW)_By Region" xfId="0"/>
    <cellStyle name="_LCDTV_VSE WFP_100726-1_VSA Roll-Up (LW)_CORP SG&amp;A" xfId="0"/>
    <cellStyle name="_LCDTV_VSE WFP_100726-1_VSA Roll-Up (LW)_LCD" xfId="0"/>
    <cellStyle name="_LCDTV_VSE WFP_100726-1_VSA Roll-Up (LW)_PJ" xfId="0"/>
    <cellStyle name="_LCDTV_VSE WFP_100726-2-yc" xfId="0"/>
    <cellStyle name="_LCDTV_VSE WFP_100726-2-yc 2" xfId="0"/>
    <cellStyle name="_LCDTV_VSE WFP_100726-2-yc 3" xfId="0"/>
    <cellStyle name="_LCDTV_VSE WFP_100726-2-yc 4" xfId="0"/>
    <cellStyle name="_LCDTV_VSE WFP_100726-2-yc_By Region" xfId="0"/>
    <cellStyle name="_LCDTV_VSE WFP_100726-2-yc_CORP SG&amp;A" xfId="0"/>
    <cellStyle name="_LCDTV_VSE WFP_100726-2-yc_Digitizer" xfId="0"/>
    <cellStyle name="_LCDTV_VSE WFP_100726-2-yc_GPS OTHER" xfId="0"/>
    <cellStyle name="_LCDTV_VSE WFP_100726-2-yc_GPS OTHER 2" xfId="0"/>
    <cellStyle name="_LCDTV_VSE WFP_100726-2-yc_GPS OTHER 3" xfId="0"/>
    <cellStyle name="_LCDTV_VSE WFP_100726-2-yc_GPS OTHER 4" xfId="0"/>
    <cellStyle name="_LCDTV_VSE WFP_100726-2-yc_GPS OTHER 4 2" xfId="0"/>
    <cellStyle name="_LCDTV_VSE WFP_100726-2-yc_GPS OTHER_By Region" xfId="0"/>
    <cellStyle name="_LCDTV_VSE WFP_100726-2-yc_GPS OTHER_CORP SG&amp;A" xfId="0"/>
    <cellStyle name="_LCDTV_VSE WFP_100726-2-yc_GPS OTHER_LCD" xfId="0"/>
    <cellStyle name="_LCDTV_VSE WFP_100726-2-yc_GPS OTHER_PJ" xfId="0"/>
    <cellStyle name="_LCDTV_VSE WFP_100726-2-yc_LCD" xfId="0"/>
    <cellStyle name="_LCDTV_VSE WFP_100726-2-yc_LCD 2" xfId="0"/>
    <cellStyle name="_LCDTV_VSE WFP_100726-2-yc_LCD 3" xfId="0"/>
    <cellStyle name="_LCDTV_VSE WFP_100726-2-yc_LCD 4" xfId="0"/>
    <cellStyle name="_LCDTV_VSE WFP_100726-2-yc_LCD_By Region" xfId="0"/>
    <cellStyle name="_LCDTV_VSE WFP_100726-2-yc_LCD_CORP SG&amp;A" xfId="0"/>
    <cellStyle name="_LCDTV_VSE WFP_100726-2-yc_LCD_LCD" xfId="0"/>
    <cellStyle name="_LCDTV_VSE WFP_100726-2-yc_LCD_PJ" xfId="0"/>
    <cellStyle name="_LCDTV_VSE WFP_100726-2-yc_PC Products" xfId="0"/>
    <cellStyle name="_LCDTV_VSE WFP_100726-2-yc_PC Products 2" xfId="0"/>
    <cellStyle name="_LCDTV_VSE WFP_100726-2-yc_PC Products 3" xfId="0"/>
    <cellStyle name="_LCDTV_VSE WFP_100726-2-yc_PC Products 4" xfId="0"/>
    <cellStyle name="_LCDTV_VSE WFP_100726-2-yc_PC Products 4 2" xfId="0"/>
    <cellStyle name="_LCDTV_VSE WFP_100726-2-yc_PC Products_By Region" xfId="0"/>
    <cellStyle name="_LCDTV_VSE WFP_100726-2-yc_PC Products_CORP SG&amp;A" xfId="0"/>
    <cellStyle name="_LCDTV_VSE WFP_100726-2-yc_PC Products_LCD" xfId="0"/>
    <cellStyle name="_LCDTV_VSE WFP_100726-2-yc_PC Products_PJ" xfId="0"/>
    <cellStyle name="_LCDTV_VSE WFP_100726-2-yc_VSA 111014" xfId="0"/>
    <cellStyle name="_LCDTV_VSE WFP_100726-2-yc_VSA 111014 2" xfId="0"/>
    <cellStyle name="_LCDTV_VSE WFP_100726-2-yc_VSA 111014 3" xfId="0"/>
    <cellStyle name="_LCDTV_VSE WFP_100726-2-yc_VSA 111014 4" xfId="0"/>
    <cellStyle name="_LCDTV_VSE WFP_100726-2-yc_VSA 111014 4 2" xfId="0"/>
    <cellStyle name="_LCDTV_VSE WFP_100726-2-yc_VSA 111014_By Region" xfId="0"/>
    <cellStyle name="_LCDTV_VSE WFP_100726-2-yc_VSA 111014_CORP SG&amp;A" xfId="0"/>
    <cellStyle name="_LCDTV_VSE WFP_100726-2-yc_VSA 111014_LCD" xfId="0"/>
    <cellStyle name="_LCDTV_VSE WFP_100726-2-yc_VSA 111014_PJ" xfId="0"/>
    <cellStyle name="_LCDTV_VSE WFP_100726-2-yc_VSA Roll-Up (LW)" xfId="0"/>
    <cellStyle name="_LCDTV_VSE WFP_100726-2-yc_VSA Roll-Up (LW) 2" xfId="0"/>
    <cellStyle name="_LCDTV_VSE WFP_100726-2-yc_VSA Roll-Up (LW) 3" xfId="0"/>
    <cellStyle name="_LCDTV_VSE WFP_100726-2-yc_VSA Roll-Up (LW) 4" xfId="0"/>
    <cellStyle name="_LCDTV_VSE WFP_100726-2-yc_VSA Roll-Up (LW) 4 2" xfId="0"/>
    <cellStyle name="_LCDTV_VSE WFP_100726-2-yc_VSA Roll-Up (LW)_By Region" xfId="0"/>
    <cellStyle name="_LCDTV_VSE WFP_100726-2-yc_VSA Roll-Up (LW)_CORP SG&amp;A" xfId="0"/>
    <cellStyle name="_LCDTV_VSE WFP_100726-2-yc_VSA Roll-Up (LW)_LCD" xfId="0"/>
    <cellStyle name="_LCDTV_VSE WFP_100726-2-yc_VSA Roll-Up (LW)_PJ" xfId="0"/>
    <cellStyle name="_LCDTV_VSE WFP_100726_By Region" xfId="0"/>
    <cellStyle name="_LCDTV_VSE WFP_100726_CORP SG&amp;A" xfId="0"/>
    <cellStyle name="_LCDTV_VSE WFP_100726_Digitizer" xfId="0"/>
    <cellStyle name="_LCDTV_VSE WFP_100726_GPS OTHER" xfId="0"/>
    <cellStyle name="_LCDTV_VSE WFP_100726_GPS OTHER 2" xfId="0"/>
    <cellStyle name="_LCDTV_VSE WFP_100726_GPS OTHER 3" xfId="0"/>
    <cellStyle name="_LCDTV_VSE WFP_100726_GPS OTHER 4" xfId="0"/>
    <cellStyle name="_LCDTV_VSE WFP_100726_GPS OTHER 4 2" xfId="0"/>
    <cellStyle name="_LCDTV_VSE WFP_100726_GPS OTHER_By Region" xfId="0"/>
    <cellStyle name="_LCDTV_VSE WFP_100726_GPS OTHER_CORP SG&amp;A" xfId="0"/>
    <cellStyle name="_LCDTV_VSE WFP_100726_GPS OTHER_LCD" xfId="0"/>
    <cellStyle name="_LCDTV_VSE WFP_100726_GPS OTHER_PJ" xfId="0"/>
    <cellStyle name="_LCDTV_VSE WFP_100726_LCD" xfId="0"/>
    <cellStyle name="_LCDTV_VSE WFP_100726_LCD 2" xfId="0"/>
    <cellStyle name="_LCDTV_VSE WFP_100726_LCD 3" xfId="0"/>
    <cellStyle name="_LCDTV_VSE WFP_100726_LCD 4" xfId="0"/>
    <cellStyle name="_LCDTV_VSE WFP_100726_LCD_By Region" xfId="0"/>
    <cellStyle name="_LCDTV_VSE WFP_100726_LCD_CORP SG&amp;A" xfId="0"/>
    <cellStyle name="_LCDTV_VSE WFP_100726_LCD_LCD" xfId="0"/>
    <cellStyle name="_LCDTV_VSE WFP_100726_LCD_PJ" xfId="0"/>
    <cellStyle name="_LCDTV_VSE WFP_100726_PC Products" xfId="0"/>
    <cellStyle name="_LCDTV_VSE WFP_100726_PC Products 2" xfId="0"/>
    <cellStyle name="_LCDTV_VSE WFP_100726_PC Products 3" xfId="0"/>
    <cellStyle name="_LCDTV_VSE WFP_100726_PC Products 4" xfId="0"/>
    <cellStyle name="_LCDTV_VSE WFP_100726_PC Products 4 2" xfId="0"/>
    <cellStyle name="_LCDTV_VSE WFP_100726_PC Products_By Region" xfId="0"/>
    <cellStyle name="_LCDTV_VSE WFP_100726_PC Products_CORP SG&amp;A" xfId="0"/>
    <cellStyle name="_LCDTV_VSE WFP_100726_PC Products_LCD" xfId="0"/>
    <cellStyle name="_LCDTV_VSE WFP_100726_PC Products_PJ" xfId="0"/>
    <cellStyle name="_LCDTV_VSE WFP_100726_VSA 111014" xfId="0"/>
    <cellStyle name="_LCDTV_VSE WFP_100726_VSA 111014 2" xfId="0"/>
    <cellStyle name="_LCDTV_VSE WFP_100726_VSA 111014 3" xfId="0"/>
    <cellStyle name="_LCDTV_VSE WFP_100726_VSA 111014 4" xfId="0"/>
    <cellStyle name="_LCDTV_VSE WFP_100726_VSA 111014 4 2" xfId="0"/>
    <cellStyle name="_LCDTV_VSE WFP_100726_VSA 111014_By Region" xfId="0"/>
    <cellStyle name="_LCDTV_VSE WFP_100726_VSA 111014_CORP SG&amp;A" xfId="0"/>
    <cellStyle name="_LCDTV_VSE WFP_100726_VSA 111014_LCD" xfId="0"/>
    <cellStyle name="_LCDTV_VSE WFP_100726_VSA 111014_PJ" xfId="0"/>
    <cellStyle name="_LCDTV_VSE WFP_100726_VSA Roll-Up (LW)" xfId="0"/>
    <cellStyle name="_LCDTV_VSE WFP_100726_VSA Roll-Up (LW) 2" xfId="0"/>
    <cellStyle name="_LCDTV_VSE WFP_100726_VSA Roll-Up (LW) 3" xfId="0"/>
    <cellStyle name="_LCDTV_VSE WFP_100726_VSA Roll-Up (LW) 4" xfId="0"/>
    <cellStyle name="_LCDTV_VSE WFP_100726_VSA Roll-Up (LW) 4 2" xfId="0"/>
    <cellStyle name="_LCDTV_VSE WFP_100726_VSA Roll-Up (LW)_By Region" xfId="0"/>
    <cellStyle name="_LCDTV_VSE WFP_100726_VSA Roll-Up (LW)_CORP SG&amp;A" xfId="0"/>
    <cellStyle name="_LCDTV_VSE WFP_100726_VSA Roll-Up (LW)_LCD" xfId="0"/>
    <cellStyle name="_LCDTV_VSE WFP_100726_VSA Roll-Up (LW)_PJ" xfId="0"/>
    <cellStyle name="_LCDTV_VSE WFP_100827-1" xfId="0"/>
    <cellStyle name="_LCDTV_VSE WFP_100827-1 2" xfId="0"/>
    <cellStyle name="_LCDTV_VSE WFP_100827-1 3" xfId="0"/>
    <cellStyle name="_LCDTV_VSE WFP_100827-1 4" xfId="0"/>
    <cellStyle name="_LCDTV_VSE WFP_100827-1_By Region" xfId="0"/>
    <cellStyle name="_LCDTV_VSE WFP_100827-1_CORP SG&amp;A" xfId="0"/>
    <cellStyle name="_LCDTV_VSE WFP_100827-1_Digitizer" xfId="0"/>
    <cellStyle name="_LCDTV_VSE WFP_100827-1_GPS OTHER" xfId="0"/>
    <cellStyle name="_LCDTV_VSE WFP_100827-1_GPS OTHER 2" xfId="0"/>
    <cellStyle name="_LCDTV_VSE WFP_100827-1_GPS OTHER 3" xfId="0"/>
    <cellStyle name="_LCDTV_VSE WFP_100827-1_GPS OTHER 4" xfId="0"/>
    <cellStyle name="_LCDTV_VSE WFP_100827-1_GPS OTHER 4 2" xfId="0"/>
    <cellStyle name="_LCDTV_VSE WFP_100827-1_GPS OTHER_By Region" xfId="0"/>
    <cellStyle name="_LCDTV_VSE WFP_100827-1_GPS OTHER_CORP SG&amp;A" xfId="0"/>
    <cellStyle name="_LCDTV_VSE WFP_100827-1_GPS OTHER_LCD" xfId="0"/>
    <cellStyle name="_LCDTV_VSE WFP_100827-1_GPS OTHER_PJ" xfId="0"/>
    <cellStyle name="_LCDTV_VSE WFP_100827-1_LCD" xfId="0"/>
    <cellStyle name="_LCDTV_VSE WFP_100827-1_LCD 2" xfId="0"/>
    <cellStyle name="_LCDTV_VSE WFP_100827-1_LCD 3" xfId="0"/>
    <cellStyle name="_LCDTV_VSE WFP_100827-1_LCD 4" xfId="0"/>
    <cellStyle name="_LCDTV_VSE WFP_100827-1_LCD_By Region" xfId="0"/>
    <cellStyle name="_LCDTV_VSE WFP_100827-1_LCD_CORP SG&amp;A" xfId="0"/>
    <cellStyle name="_LCDTV_VSE WFP_100827-1_LCD_LCD" xfId="0"/>
    <cellStyle name="_LCDTV_VSE WFP_100827-1_LCD_PJ" xfId="0"/>
    <cellStyle name="_LCDTV_VSE WFP_100827-1_PC Products" xfId="0"/>
    <cellStyle name="_LCDTV_VSE WFP_100827-1_PC Products 2" xfId="0"/>
    <cellStyle name="_LCDTV_VSE WFP_100827-1_PC Products 3" xfId="0"/>
    <cellStyle name="_LCDTV_VSE WFP_100827-1_PC Products 4" xfId="0"/>
    <cellStyle name="_LCDTV_VSE WFP_100827-1_PC Products 4 2" xfId="0"/>
    <cellStyle name="_LCDTV_VSE WFP_100827-1_PC Products_By Region" xfId="0"/>
    <cellStyle name="_LCDTV_VSE WFP_100827-1_PC Products_CORP SG&amp;A" xfId="0"/>
    <cellStyle name="_LCDTV_VSE WFP_100827-1_PC Products_LCD" xfId="0"/>
    <cellStyle name="_LCDTV_VSE WFP_100827-1_PC Products_PJ" xfId="0"/>
    <cellStyle name="_LCDTV_VSE WFP_100827-1_VSA 111014" xfId="0"/>
    <cellStyle name="_LCDTV_VSE WFP_100827-1_VSA 111014 2" xfId="0"/>
    <cellStyle name="_LCDTV_VSE WFP_100827-1_VSA 111014 3" xfId="0"/>
    <cellStyle name="_LCDTV_VSE WFP_100827-1_VSA 111014 4" xfId="0"/>
    <cellStyle name="_LCDTV_VSE WFP_100827-1_VSA 111014 4 2" xfId="0"/>
    <cellStyle name="_LCDTV_VSE WFP_100827-1_VSA 111014_By Region" xfId="0"/>
    <cellStyle name="_LCDTV_VSE WFP_100827-1_VSA 111014_CORP SG&amp;A" xfId="0"/>
    <cellStyle name="_LCDTV_VSE WFP_100827-1_VSA 111014_LCD" xfId="0"/>
    <cellStyle name="_LCDTV_VSE WFP_100827-1_VSA 111014_PJ" xfId="0"/>
    <cellStyle name="_LCDTV_VSE WFP_100827-1_VSA Roll-Up (LW)" xfId="0"/>
    <cellStyle name="_LCDTV_VSE WFP_100827-1_VSA Roll-Up (LW) 2" xfId="0"/>
    <cellStyle name="_LCDTV_VSE WFP_100827-1_VSA Roll-Up (LW) 3" xfId="0"/>
    <cellStyle name="_LCDTV_VSE WFP_100827-1_VSA Roll-Up (LW) 4" xfId="0"/>
    <cellStyle name="_LCDTV_VSE WFP_100827-1_VSA Roll-Up (LW) 4 2" xfId="0"/>
    <cellStyle name="_LCDTV_VSE WFP_100827-1_VSA Roll-Up (LW)_By Region" xfId="0"/>
    <cellStyle name="_LCDTV_VSE WFP_100827-1_VSA Roll-Up (LW)_CORP SG&amp;A" xfId="0"/>
    <cellStyle name="_LCDTV_VSE WFP_100827-1_VSA Roll-Up (LW)_LCD" xfId="0"/>
    <cellStyle name="_LCDTV_VSE WFP_100827-1_VSA Roll-Up (LW)_PJ" xfId="0"/>
    <cellStyle name="_LCDTV_VSE WFP_101001" xfId="0"/>
    <cellStyle name="_LCDTV_VSE WFP_101001 2" xfId="0"/>
    <cellStyle name="_LCDTV_VSE WFP_101001 3" xfId="0"/>
    <cellStyle name="_LCDTV_VSE WFP_101001 4" xfId="0"/>
    <cellStyle name="_LCDTV_VSE WFP_101001_By Region" xfId="0"/>
    <cellStyle name="_LCDTV_VSE WFP_101001_CORP SG&amp;A" xfId="0"/>
    <cellStyle name="_LCDTV_VSE WFP_101001_Digitizer" xfId="0"/>
    <cellStyle name="_LCDTV_VSE WFP_101001_GPS OTHER" xfId="0"/>
    <cellStyle name="_LCDTV_VSE WFP_101001_GPS OTHER 2" xfId="0"/>
    <cellStyle name="_LCDTV_VSE WFP_101001_GPS OTHER 3" xfId="0"/>
    <cellStyle name="_LCDTV_VSE WFP_101001_GPS OTHER 4" xfId="0"/>
    <cellStyle name="_LCDTV_VSE WFP_101001_GPS OTHER 4 2" xfId="0"/>
    <cellStyle name="_LCDTV_VSE WFP_101001_GPS OTHER_By Region" xfId="0"/>
    <cellStyle name="_LCDTV_VSE WFP_101001_GPS OTHER_CORP SG&amp;A" xfId="0"/>
    <cellStyle name="_LCDTV_VSE WFP_101001_GPS OTHER_LCD" xfId="0"/>
    <cellStyle name="_LCDTV_VSE WFP_101001_GPS OTHER_PJ" xfId="0"/>
    <cellStyle name="_LCDTV_VSE WFP_101001_LCD" xfId="0"/>
    <cellStyle name="_LCDTV_VSE WFP_101001_LCD 2" xfId="0"/>
    <cellStyle name="_LCDTV_VSE WFP_101001_LCD 3" xfId="0"/>
    <cellStyle name="_LCDTV_VSE WFP_101001_LCD 4" xfId="0"/>
    <cellStyle name="_LCDTV_VSE WFP_101001_LCD_By Region" xfId="0"/>
    <cellStyle name="_LCDTV_VSE WFP_101001_LCD_CORP SG&amp;A" xfId="0"/>
    <cellStyle name="_LCDTV_VSE WFP_101001_LCD_LCD" xfId="0"/>
    <cellStyle name="_LCDTV_VSE WFP_101001_LCD_PJ" xfId="0"/>
    <cellStyle name="_LCDTV_VSE WFP_101001_PC Products" xfId="0"/>
    <cellStyle name="_LCDTV_VSE WFP_101001_PC Products 2" xfId="0"/>
    <cellStyle name="_LCDTV_VSE WFP_101001_PC Products 3" xfId="0"/>
    <cellStyle name="_LCDTV_VSE WFP_101001_PC Products 4" xfId="0"/>
    <cellStyle name="_LCDTV_VSE WFP_101001_PC Products 4 2" xfId="0"/>
    <cellStyle name="_LCDTV_VSE WFP_101001_PC Products_By Region" xfId="0"/>
    <cellStyle name="_LCDTV_VSE WFP_101001_PC Products_CORP SG&amp;A" xfId="0"/>
    <cellStyle name="_LCDTV_VSE WFP_101001_PC Products_LCD" xfId="0"/>
    <cellStyle name="_LCDTV_VSE WFP_101001_PC Products_PJ" xfId="0"/>
    <cellStyle name="_LCDTV_VSE WFP_101001_VSA 111014" xfId="0"/>
    <cellStyle name="_LCDTV_VSE WFP_101001_VSA 111014 2" xfId="0"/>
    <cellStyle name="_LCDTV_VSE WFP_101001_VSA 111014 3" xfId="0"/>
    <cellStyle name="_LCDTV_VSE WFP_101001_VSA 111014 4" xfId="0"/>
    <cellStyle name="_LCDTV_VSE WFP_101001_VSA 111014 4 2" xfId="0"/>
    <cellStyle name="_LCDTV_VSE WFP_101001_VSA 111014_By Region" xfId="0"/>
    <cellStyle name="_LCDTV_VSE WFP_101001_VSA 111014_CORP SG&amp;A" xfId="0"/>
    <cellStyle name="_LCDTV_VSE WFP_101001_VSA 111014_LCD" xfId="0"/>
    <cellStyle name="_LCDTV_VSE WFP_101001_VSA 111014_PJ" xfId="0"/>
    <cellStyle name="_LCDTV_VSE WFP_101001_VSA Roll-Up (LW)" xfId="0"/>
    <cellStyle name="_LCDTV_VSE WFP_101001_VSA Roll-Up (LW) 2" xfId="0"/>
    <cellStyle name="_LCDTV_VSE WFP_101001_VSA Roll-Up (LW) 3" xfId="0"/>
    <cellStyle name="_LCDTV_VSE WFP_101001_VSA Roll-Up (LW) 4" xfId="0"/>
    <cellStyle name="_LCDTV_VSE WFP_101001_VSA Roll-Up (LW) 4 2" xfId="0"/>
    <cellStyle name="_LCDTV_VSE WFP_101001_VSA Roll-Up (LW)_By Region" xfId="0"/>
    <cellStyle name="_LCDTV_VSE WFP_101001_VSA Roll-Up (LW)_CORP SG&amp;A" xfId="0"/>
    <cellStyle name="_LCDTV_VSE WFP_101001_VSA Roll-Up (LW)_LCD" xfId="0"/>
    <cellStyle name="_LCDTV_VSE WFP_101001_VSA Roll-Up (LW)_PJ" xfId="0"/>
    <cellStyle name="_LCDTV_VSE WFP_101029-with more ViewPad 7" xfId="0"/>
    <cellStyle name="_LCDTV_VSE WFP_101029-with more ViewPad 7 2" xfId="0"/>
    <cellStyle name="_LCDTV_VSE WFP_101029-with more ViewPad 7 3" xfId="0"/>
    <cellStyle name="_LCDTV_VSE WFP_101029-with more ViewPad 7 4" xfId="0"/>
    <cellStyle name="_LCDTV_VSE WFP_101029-with more ViewPad 7_By Region" xfId="0"/>
    <cellStyle name="_LCDTV_VSE WFP_101029-with more ViewPad 7_CORP SG&amp;A" xfId="0"/>
    <cellStyle name="_LCDTV_VSE WFP_101029-with more ViewPad 7_Digitizer" xfId="0"/>
    <cellStyle name="_LCDTV_VSE WFP_101029-with more ViewPad 7_GPS OTHER" xfId="0"/>
    <cellStyle name="_LCDTV_VSE WFP_101029-with more ViewPad 7_GPS OTHER 2" xfId="0"/>
    <cellStyle name="_LCDTV_VSE WFP_101029-with more ViewPad 7_GPS OTHER 3" xfId="0"/>
    <cellStyle name="_LCDTV_VSE WFP_101029-with more ViewPad 7_GPS OTHER 4" xfId="0"/>
    <cellStyle name="_LCDTV_VSE WFP_101029-with more ViewPad 7_GPS OTHER 4 2" xfId="0"/>
    <cellStyle name="_LCDTV_VSE WFP_101029-with more ViewPad 7_GPS OTHER_By Region" xfId="0"/>
    <cellStyle name="_LCDTV_VSE WFP_101029-with more ViewPad 7_GPS OTHER_CORP SG&amp;A" xfId="0"/>
    <cellStyle name="_LCDTV_VSE WFP_101029-with more ViewPad 7_GPS OTHER_LCD" xfId="0"/>
    <cellStyle name="_LCDTV_VSE WFP_101029-with more ViewPad 7_GPS OTHER_PJ" xfId="0"/>
    <cellStyle name="_LCDTV_VSE WFP_101029-with more ViewPad 7_LCD" xfId="0"/>
    <cellStyle name="_LCDTV_VSE WFP_101029-with more ViewPad 7_LCD 2" xfId="0"/>
    <cellStyle name="_LCDTV_VSE WFP_101029-with more ViewPad 7_LCD 3" xfId="0"/>
    <cellStyle name="_LCDTV_VSE WFP_101029-with more ViewPad 7_LCD 4" xfId="0"/>
    <cellStyle name="_LCDTV_VSE WFP_101029-with more ViewPad 7_LCD_By Region" xfId="0"/>
    <cellStyle name="_LCDTV_VSE WFP_101029-with more ViewPad 7_LCD_CORP SG&amp;A" xfId="0"/>
    <cellStyle name="_LCDTV_VSE WFP_101029-with more ViewPad 7_LCD_LCD" xfId="0"/>
    <cellStyle name="_LCDTV_VSE WFP_101029-with more ViewPad 7_LCD_PJ" xfId="0"/>
    <cellStyle name="_LCDTV_VSE WFP_101029-with more ViewPad 7_PC Products" xfId="0"/>
    <cellStyle name="_LCDTV_VSE WFP_101029-with more ViewPad 7_PC Products 2" xfId="0"/>
    <cellStyle name="_LCDTV_VSE WFP_101029-with more ViewPad 7_PC Products 3" xfId="0"/>
    <cellStyle name="_LCDTV_VSE WFP_101029-with more ViewPad 7_PC Products 4" xfId="0"/>
    <cellStyle name="_LCDTV_VSE WFP_101029-with more ViewPad 7_PC Products 4 2" xfId="0"/>
    <cellStyle name="_LCDTV_VSE WFP_101029-with more ViewPad 7_PC Products_By Region" xfId="0"/>
    <cellStyle name="_LCDTV_VSE WFP_101029-with more ViewPad 7_PC Products_CORP SG&amp;A" xfId="0"/>
    <cellStyle name="_LCDTV_VSE WFP_101029-with more ViewPad 7_PC Products_LCD" xfId="0"/>
    <cellStyle name="_LCDTV_VSE WFP_101029-with more ViewPad 7_PC Products_PJ" xfId="0"/>
    <cellStyle name="_LCDTV_VSE WFP_101029-with more ViewPad 7_VSA 111014" xfId="0"/>
    <cellStyle name="_LCDTV_VSE WFP_101029-with more ViewPad 7_VSA 111014 2" xfId="0"/>
    <cellStyle name="_LCDTV_VSE WFP_101029-with more ViewPad 7_VSA 111014 3" xfId="0"/>
    <cellStyle name="_LCDTV_VSE WFP_101029-with more ViewPad 7_VSA 111014 4" xfId="0"/>
    <cellStyle name="_LCDTV_VSE WFP_101029-with more ViewPad 7_VSA 111014 4 2" xfId="0"/>
    <cellStyle name="_LCDTV_VSE WFP_101029-with more ViewPad 7_VSA 111014_By Region" xfId="0"/>
    <cellStyle name="_LCDTV_VSE WFP_101029-with more ViewPad 7_VSA 111014_CORP SG&amp;A" xfId="0"/>
    <cellStyle name="_LCDTV_VSE WFP_101029-with more ViewPad 7_VSA 111014_LCD" xfId="0"/>
    <cellStyle name="_LCDTV_VSE WFP_101029-with more ViewPad 7_VSA 111014_PJ" xfId="0"/>
    <cellStyle name="_LCDTV_VSE WFP_101029-with more ViewPad 7_VSA Roll-Up (LW)" xfId="0"/>
    <cellStyle name="_LCDTV_VSE WFP_101029-with more ViewPad 7_VSA Roll-Up (LW) 2" xfId="0"/>
    <cellStyle name="_LCDTV_VSE WFP_101029-with more ViewPad 7_VSA Roll-Up (LW) 3" xfId="0"/>
    <cellStyle name="_LCDTV_VSE WFP_101029-with more ViewPad 7_VSA Roll-Up (LW) 4" xfId="0"/>
    <cellStyle name="_LCDTV_VSE WFP_101029-with more ViewPad 7_VSA Roll-Up (LW) 4 2" xfId="0"/>
    <cellStyle name="_LCDTV_VSE WFP_101029-with more ViewPad 7_VSA Roll-Up (LW)_By Region" xfId="0"/>
    <cellStyle name="_LCDTV_VSE WFP_101029-with more ViewPad 7_VSA Roll-Up (LW)_CORP SG&amp;A" xfId="0"/>
    <cellStyle name="_LCDTV_VSE WFP_101029-with more ViewPad 7_VSA Roll-Up (LW)_LCD" xfId="0"/>
    <cellStyle name="_LCDTV_VSE WFP_101029-with more ViewPad 7_VSA Roll-Up (LW)_PJ" xfId="0"/>
    <cellStyle name="_LCM analysis" xfId="0"/>
    <cellStyle name="_LCM analysis 2" xfId="0"/>
    <cellStyle name="_Lookup - Product Warranty VSE-1" xfId="0"/>
    <cellStyle name="_Lookup - Product Warranty VSE-1 2" xfId="0"/>
    <cellStyle name="_Lookup - Product Warranty VSI" xfId="0"/>
    <cellStyle name="_Lookup - Product Warranty VSI 2" xfId="0"/>
    <cellStyle name="_Mar" xfId="0"/>
    <cellStyle name="_Mar 2" xfId="0"/>
    <cellStyle name="_margin-10" xfId="0"/>
    <cellStyle name="_margin-10 2" xfId="0"/>
    <cellStyle name="_margin-10_CORP SG&amp;A" xfId="0"/>
    <cellStyle name="_master" xfId="0"/>
    <cellStyle name="_master 2" xfId="0"/>
    <cellStyle name="_May 08 Margin" xfId="0"/>
    <cellStyle name="_May 08 Margin 2" xfId="0"/>
    <cellStyle name="_May-10" xfId="0"/>
    <cellStyle name="_May-10 2" xfId="0"/>
    <cellStyle name="_MNT" xfId="0"/>
    <cellStyle name="_MNT 2" xfId="0"/>
    <cellStyle name="_MNT 3" xfId="0"/>
    <cellStyle name="_MNT 4" xfId="0"/>
    <cellStyle name="_MNT 5" xfId="0"/>
    <cellStyle name="_MNT_By Region" xfId="0"/>
    <cellStyle name="_MNT_CIS" xfId="0"/>
    <cellStyle name="_MNT_CIS 2" xfId="0"/>
    <cellStyle name="_MNT_CIS 3" xfId="0"/>
    <cellStyle name="_MNT_CIS 4" xfId="0"/>
    <cellStyle name="_MNT_CIS_By Region" xfId="0"/>
    <cellStyle name="_MNT_CIS_CORP SG&amp;A" xfId="0"/>
    <cellStyle name="_MNT_CIS_Digitizer" xfId="0"/>
    <cellStyle name="_MNT_CIS_GPS OTHER" xfId="0"/>
    <cellStyle name="_MNT_CIS_GPS OTHER 2" xfId="0"/>
    <cellStyle name="_MNT_CIS_GPS OTHER 3" xfId="0"/>
    <cellStyle name="_MNT_CIS_GPS OTHER 4" xfId="0"/>
    <cellStyle name="_MNT_CIS_GPS OTHER 4 2" xfId="0"/>
    <cellStyle name="_MNT_CIS_GPS OTHER_By Region" xfId="0"/>
    <cellStyle name="_MNT_CIS_GPS OTHER_CORP SG&amp;A" xfId="0"/>
    <cellStyle name="_MNT_CIS_GPS OTHER_LCD" xfId="0"/>
    <cellStyle name="_MNT_CIS_GPS OTHER_PJ" xfId="0"/>
    <cellStyle name="_MNT_CIS_LCD" xfId="0"/>
    <cellStyle name="_MNT_CIS_LCD 2" xfId="0"/>
    <cellStyle name="_MNT_CIS_LCD 3" xfId="0"/>
    <cellStyle name="_MNT_CIS_LCD 4" xfId="0"/>
    <cellStyle name="_MNT_CIS_LCD_By Region" xfId="0"/>
    <cellStyle name="_MNT_CIS_LCD_CORP SG&amp;A" xfId="0"/>
    <cellStyle name="_MNT_CIS_LCD_LCD" xfId="0"/>
    <cellStyle name="_MNT_CIS_LCD_PJ" xfId="0"/>
    <cellStyle name="_MNT_CIS_PC Products" xfId="0"/>
    <cellStyle name="_MNT_CIS_PC Products 2" xfId="0"/>
    <cellStyle name="_MNT_CIS_PC Products 3" xfId="0"/>
    <cellStyle name="_MNT_CIS_PC Products 4" xfId="0"/>
    <cellStyle name="_MNT_CIS_PC Products 4 2" xfId="0"/>
    <cellStyle name="_MNT_CIS_PC Products_By Region" xfId="0"/>
    <cellStyle name="_MNT_CIS_PC Products_CORP SG&amp;A" xfId="0"/>
    <cellStyle name="_MNT_CIS_PC Products_LCD" xfId="0"/>
    <cellStyle name="_MNT_CIS_PC Products_PJ" xfId="0"/>
    <cellStyle name="_MNT_CIS_VSA 111014" xfId="0"/>
    <cellStyle name="_MNT_CIS_VSA 111014 2" xfId="0"/>
    <cellStyle name="_MNT_CIS_VSA 111014 3" xfId="0"/>
    <cellStyle name="_MNT_CIS_VSA 111014 4" xfId="0"/>
    <cellStyle name="_MNT_CIS_VSA 111014 4 2" xfId="0"/>
    <cellStyle name="_MNT_CIS_VSA 111014_By Region" xfId="0"/>
    <cellStyle name="_MNT_CIS_VSA 111014_CORP SG&amp;A" xfId="0"/>
    <cellStyle name="_MNT_CIS_VSA 111014_LCD" xfId="0"/>
    <cellStyle name="_MNT_CIS_VSA 111014_PJ" xfId="0"/>
    <cellStyle name="_MNT_CIS_VSA Roll-Up (LW)" xfId="0"/>
    <cellStyle name="_MNT_CIS_VSA Roll-Up (LW) 2" xfId="0"/>
    <cellStyle name="_MNT_CIS_VSA Roll-Up (LW) 3" xfId="0"/>
    <cellStyle name="_MNT_CIS_VSA Roll-Up (LW) 4" xfId="0"/>
    <cellStyle name="_MNT_CIS_VSA Roll-Up (LW) 4 2" xfId="0"/>
    <cellStyle name="_MNT_CIS_VSA Roll-Up (LW)_By Region" xfId="0"/>
    <cellStyle name="_MNT_CIS_VSA Roll-Up (LW)_CORP SG&amp;A" xfId="0"/>
    <cellStyle name="_MNT_CIS_VSA Roll-Up (LW)_LCD" xfId="0"/>
    <cellStyle name="_MNT_CIS_VSA Roll-Up (LW)_PJ" xfId="0"/>
    <cellStyle name="_MNT_CORP SG&amp;A" xfId="0"/>
    <cellStyle name="_MNT_CRT" xfId="0"/>
    <cellStyle name="_MNT_CRT 2" xfId="0"/>
    <cellStyle name="_MNT_CRT 3" xfId="0"/>
    <cellStyle name="_MNT_CRT 4" xfId="0"/>
    <cellStyle name="_MNT_CRT_By Region" xfId="0"/>
    <cellStyle name="_MNT_CRT_CORP SG&amp;A" xfId="0"/>
    <cellStyle name="_MNT_CRT_Digitizer" xfId="0"/>
    <cellStyle name="_MNT_CRT_GPS OTHER" xfId="0"/>
    <cellStyle name="_MNT_CRT_GPS OTHER 2" xfId="0"/>
    <cellStyle name="_MNT_CRT_GPS OTHER 3" xfId="0"/>
    <cellStyle name="_MNT_CRT_GPS OTHER 4" xfId="0"/>
    <cellStyle name="_MNT_CRT_GPS OTHER 4 2" xfId="0"/>
    <cellStyle name="_MNT_CRT_GPS OTHER_By Region" xfId="0"/>
    <cellStyle name="_MNT_CRT_GPS OTHER_CORP SG&amp;A" xfId="0"/>
    <cellStyle name="_MNT_CRT_GPS OTHER_LCD" xfId="0"/>
    <cellStyle name="_MNT_CRT_GPS OTHER_PJ" xfId="0"/>
    <cellStyle name="_MNT_CRT_LCD" xfId="0"/>
    <cellStyle name="_MNT_CRT_LCD 2" xfId="0"/>
    <cellStyle name="_MNT_CRT_LCD 3" xfId="0"/>
    <cellStyle name="_MNT_CRT_LCD 4" xfId="0"/>
    <cellStyle name="_MNT_CRT_LCD_By Region" xfId="0"/>
    <cellStyle name="_MNT_CRT_LCD_CORP SG&amp;A" xfId="0"/>
    <cellStyle name="_MNT_CRT_LCD_LCD" xfId="0"/>
    <cellStyle name="_MNT_CRT_LCD_PJ" xfId="0"/>
    <cellStyle name="_MNT_CRT_PC Products" xfId="0"/>
    <cellStyle name="_MNT_CRT_PC Products 2" xfId="0"/>
    <cellStyle name="_MNT_CRT_PC Products 3" xfId="0"/>
    <cellStyle name="_MNT_CRT_PC Products 4" xfId="0"/>
    <cellStyle name="_MNT_CRT_PC Products 4 2" xfId="0"/>
    <cellStyle name="_MNT_CRT_PC Products_By Region" xfId="0"/>
    <cellStyle name="_MNT_CRT_PC Products_CORP SG&amp;A" xfId="0"/>
    <cellStyle name="_MNT_CRT_PC Products_LCD" xfId="0"/>
    <cellStyle name="_MNT_CRT_PC Products_PJ" xfId="0"/>
    <cellStyle name="_MNT_CRT_VSA 111014" xfId="0"/>
    <cellStyle name="_MNT_CRT_VSA 111014 2" xfId="0"/>
    <cellStyle name="_MNT_CRT_VSA 111014 3" xfId="0"/>
    <cellStyle name="_MNT_CRT_VSA 111014 4" xfId="0"/>
    <cellStyle name="_MNT_CRT_VSA 111014 4 2" xfId="0"/>
    <cellStyle name="_MNT_CRT_VSA 111014_By Region" xfId="0"/>
    <cellStyle name="_MNT_CRT_VSA 111014_CORP SG&amp;A" xfId="0"/>
    <cellStyle name="_MNT_CRT_VSA 111014_LCD" xfId="0"/>
    <cellStyle name="_MNT_CRT_VSA 111014_PJ" xfId="0"/>
    <cellStyle name="_MNT_CRT_VSA Roll-Up (LW)" xfId="0"/>
    <cellStyle name="_MNT_CRT_VSA Roll-Up (LW) 2" xfId="0"/>
    <cellStyle name="_MNT_CRT_VSA Roll-Up (LW) 3" xfId="0"/>
    <cellStyle name="_MNT_CRT_VSA Roll-Up (LW) 4" xfId="0"/>
    <cellStyle name="_MNT_CRT_VSA Roll-Up (LW) 4 2" xfId="0"/>
    <cellStyle name="_MNT_CRT_VSA Roll-Up (LW)_By Region" xfId="0"/>
    <cellStyle name="_MNT_CRT_VSA Roll-Up (LW)_CORP SG&amp;A" xfId="0"/>
    <cellStyle name="_MNT_CRT_VSA Roll-Up (LW)_LCD" xfId="0"/>
    <cellStyle name="_MNT_CRT_VSA Roll-Up (LW)_PJ" xfId="0"/>
    <cellStyle name="_MNT_Diff" xfId="0"/>
    <cellStyle name="_MNT_Diff 2" xfId="0"/>
    <cellStyle name="_MNT_Diff 3" xfId="0"/>
    <cellStyle name="_MNT_Diff 4" xfId="0"/>
    <cellStyle name="_MNT_Diff_By Region" xfId="0"/>
    <cellStyle name="_MNT_Diff_CORP SG&amp;A" xfId="0"/>
    <cellStyle name="_MNT_Diff_Digitizer" xfId="0"/>
    <cellStyle name="_MNT_Diff_GPS OTHER" xfId="0"/>
    <cellStyle name="_MNT_Diff_GPS OTHER 2" xfId="0"/>
    <cellStyle name="_MNT_Diff_GPS OTHER 3" xfId="0"/>
    <cellStyle name="_MNT_Diff_GPS OTHER 4" xfId="0"/>
    <cellStyle name="_MNT_Diff_GPS OTHER 4 2" xfId="0"/>
    <cellStyle name="_MNT_Diff_GPS OTHER_By Region" xfId="0"/>
    <cellStyle name="_MNT_Diff_GPS OTHER_CORP SG&amp;A" xfId="0"/>
    <cellStyle name="_MNT_Diff_GPS OTHER_LCD" xfId="0"/>
    <cellStyle name="_MNT_Diff_GPS OTHER_PJ" xfId="0"/>
    <cellStyle name="_MNT_Diff_LCD" xfId="0"/>
    <cellStyle name="_MNT_Diff_LCD 2" xfId="0"/>
    <cellStyle name="_MNT_Diff_LCD 3" xfId="0"/>
    <cellStyle name="_MNT_Diff_LCD 4" xfId="0"/>
    <cellStyle name="_MNT_Diff_LCD_By Region" xfId="0"/>
    <cellStyle name="_MNT_Diff_LCD_CORP SG&amp;A" xfId="0"/>
    <cellStyle name="_MNT_Diff_LCD_LCD" xfId="0"/>
    <cellStyle name="_MNT_Diff_LCD_PJ" xfId="0"/>
    <cellStyle name="_MNT_Diff_PC Products" xfId="0"/>
    <cellStyle name="_MNT_Diff_PC Products 2" xfId="0"/>
    <cellStyle name="_MNT_Diff_PC Products 3" xfId="0"/>
    <cellStyle name="_MNT_Diff_PC Products 4" xfId="0"/>
    <cellStyle name="_MNT_Diff_PC Products 4 2" xfId="0"/>
    <cellStyle name="_MNT_Diff_PC Products_By Region" xfId="0"/>
    <cellStyle name="_MNT_Diff_PC Products_CORP SG&amp;A" xfId="0"/>
    <cellStyle name="_MNT_Diff_PC Products_LCD" xfId="0"/>
    <cellStyle name="_MNT_Diff_PC Products_PJ" xfId="0"/>
    <cellStyle name="_MNT_Diff_VSA 111014" xfId="0"/>
    <cellStyle name="_MNT_Diff_VSA 111014 2" xfId="0"/>
    <cellStyle name="_MNT_Diff_VSA 111014 3" xfId="0"/>
    <cellStyle name="_MNT_Diff_VSA 111014 4" xfId="0"/>
    <cellStyle name="_MNT_Diff_VSA 111014 4 2" xfId="0"/>
    <cellStyle name="_MNT_Diff_VSA 111014_By Region" xfId="0"/>
    <cellStyle name="_MNT_Diff_VSA 111014_CORP SG&amp;A" xfId="0"/>
    <cellStyle name="_MNT_Diff_VSA 111014_LCD" xfId="0"/>
    <cellStyle name="_MNT_Diff_VSA 111014_PJ" xfId="0"/>
    <cellStyle name="_MNT_Diff_VSA Roll-Up (LW)" xfId="0"/>
    <cellStyle name="_MNT_Diff_VSA Roll-Up (LW) 2" xfId="0"/>
    <cellStyle name="_MNT_Diff_VSA Roll-Up (LW) 3" xfId="0"/>
    <cellStyle name="_MNT_Diff_VSA Roll-Up (LW) 4" xfId="0"/>
    <cellStyle name="_MNT_Diff_VSA Roll-Up (LW) 4 2" xfId="0"/>
    <cellStyle name="_MNT_Diff_VSA Roll-Up (LW)_By Region" xfId="0"/>
    <cellStyle name="_MNT_Diff_VSA Roll-Up (LW)_CORP SG&amp;A" xfId="0"/>
    <cellStyle name="_MNT_Diff_VSA Roll-Up (LW)_LCD" xfId="0"/>
    <cellStyle name="_MNT_Diff_VSA Roll-Up (LW)_PJ" xfId="0"/>
    <cellStyle name="_MNT_Digital Product" xfId="0"/>
    <cellStyle name="_MNT_Digital Product 2" xfId="0"/>
    <cellStyle name="_MNT_Digital Product 3" xfId="0"/>
    <cellStyle name="_MNT_Digital Product 4" xfId="0"/>
    <cellStyle name="_MNT_Digital Product_By Region" xfId="0"/>
    <cellStyle name="_MNT_Digital Product_CORP SG&amp;A" xfId="0"/>
    <cellStyle name="_MNT_Digital Product_Digitizer" xfId="0"/>
    <cellStyle name="_MNT_Digital Product_GPS OTHER" xfId="0"/>
    <cellStyle name="_MNT_Digital Product_GPS OTHER 2" xfId="0"/>
    <cellStyle name="_MNT_Digital Product_GPS OTHER 3" xfId="0"/>
    <cellStyle name="_MNT_Digital Product_GPS OTHER 4" xfId="0"/>
    <cellStyle name="_MNT_Digital Product_GPS OTHER 4 2" xfId="0"/>
    <cellStyle name="_MNT_Digital Product_GPS OTHER_By Region" xfId="0"/>
    <cellStyle name="_MNT_Digital Product_GPS OTHER_CORP SG&amp;A" xfId="0"/>
    <cellStyle name="_MNT_Digital Product_GPS OTHER_LCD" xfId="0"/>
    <cellStyle name="_MNT_Digital Product_GPS OTHER_PJ" xfId="0"/>
    <cellStyle name="_MNT_Digital Product_LCD" xfId="0"/>
    <cellStyle name="_MNT_Digital Product_LCD 2" xfId="0"/>
    <cellStyle name="_MNT_Digital Product_LCD 3" xfId="0"/>
    <cellStyle name="_MNT_Digital Product_LCD 4" xfId="0"/>
    <cellStyle name="_MNT_Digital Product_LCD_By Region" xfId="0"/>
    <cellStyle name="_MNT_Digital Product_LCD_CORP SG&amp;A" xfId="0"/>
    <cellStyle name="_MNT_Digital Product_LCD_LCD" xfId="0"/>
    <cellStyle name="_MNT_Digital Product_LCD_PJ" xfId="0"/>
    <cellStyle name="_MNT_Digital Product_PC Products" xfId="0"/>
    <cellStyle name="_MNT_Digital Product_PC Products 2" xfId="0"/>
    <cellStyle name="_MNT_Digital Product_PC Products 3" xfId="0"/>
    <cellStyle name="_MNT_Digital Product_PC Products 4" xfId="0"/>
    <cellStyle name="_MNT_Digital Product_PC Products 4 2" xfId="0"/>
    <cellStyle name="_MNT_Digital Product_PC Products_By Region" xfId="0"/>
    <cellStyle name="_MNT_Digital Product_PC Products_CORP SG&amp;A" xfId="0"/>
    <cellStyle name="_MNT_Digital Product_PC Products_LCD" xfId="0"/>
    <cellStyle name="_MNT_Digital Product_PC Products_PJ" xfId="0"/>
    <cellStyle name="_MNT_Digital Product_VSA 111014" xfId="0"/>
    <cellStyle name="_MNT_Digital Product_VSA 111014 2" xfId="0"/>
    <cellStyle name="_MNT_Digital Product_VSA 111014 3" xfId="0"/>
    <cellStyle name="_MNT_Digital Product_VSA 111014 4" xfId="0"/>
    <cellStyle name="_MNT_Digital Product_VSA 111014 4 2" xfId="0"/>
    <cellStyle name="_MNT_Digital Product_VSA 111014_By Region" xfId="0"/>
    <cellStyle name="_MNT_Digital Product_VSA 111014_CORP SG&amp;A" xfId="0"/>
    <cellStyle name="_MNT_Digital Product_VSA 111014_LCD" xfId="0"/>
    <cellStyle name="_MNT_Digital Product_VSA 111014_PJ" xfId="0"/>
    <cellStyle name="_MNT_Digital Product_VSA Roll-Up (LW)" xfId="0"/>
    <cellStyle name="_MNT_Digital Product_VSA Roll-Up (LW) 2" xfId="0"/>
    <cellStyle name="_MNT_Digital Product_VSA Roll-Up (LW) 3" xfId="0"/>
    <cellStyle name="_MNT_Digital Product_VSA Roll-Up (LW) 4" xfId="0"/>
    <cellStyle name="_MNT_Digital Product_VSA Roll-Up (LW) 4 2" xfId="0"/>
    <cellStyle name="_MNT_Digital Product_VSA Roll-Up (LW)_By Region" xfId="0"/>
    <cellStyle name="_MNT_Digital Product_VSA Roll-Up (LW)_CORP SG&amp;A" xfId="0"/>
    <cellStyle name="_MNT_Digital Product_VSA Roll-Up (LW)_LCD" xfId="0"/>
    <cellStyle name="_MNT_Digital Product_VSA Roll-Up (LW)_PJ" xfId="0"/>
    <cellStyle name="_MNT_Digital Signage" xfId="0"/>
    <cellStyle name="_MNT_Digital Signage 2" xfId="0"/>
    <cellStyle name="_MNT_Digital Signage 3" xfId="0"/>
    <cellStyle name="_MNT_Digital Signage 4" xfId="0"/>
    <cellStyle name="_MNT_Digital Signage_By Region" xfId="0"/>
    <cellStyle name="_MNT_Digital Signage_CORP SG&amp;A" xfId="0"/>
    <cellStyle name="_MNT_Digital Signage_Digitizer" xfId="0"/>
    <cellStyle name="_MNT_Digital Signage_GPS OTHER" xfId="0"/>
    <cellStyle name="_MNT_Digital Signage_GPS OTHER 2" xfId="0"/>
    <cellStyle name="_MNT_Digital Signage_GPS OTHER 3" xfId="0"/>
    <cellStyle name="_MNT_Digital Signage_GPS OTHER 4" xfId="0"/>
    <cellStyle name="_MNT_Digital Signage_GPS OTHER 4 2" xfId="0"/>
    <cellStyle name="_MNT_Digital Signage_GPS OTHER_By Region" xfId="0"/>
    <cellStyle name="_MNT_Digital Signage_GPS OTHER_CORP SG&amp;A" xfId="0"/>
    <cellStyle name="_MNT_Digital Signage_GPS OTHER_LCD" xfId="0"/>
    <cellStyle name="_MNT_Digital Signage_GPS OTHER_PJ" xfId="0"/>
    <cellStyle name="_MNT_Digital Signage_LCD" xfId="0"/>
    <cellStyle name="_MNT_Digital Signage_LCD 2" xfId="0"/>
    <cellStyle name="_MNT_Digital Signage_LCD 3" xfId="0"/>
    <cellStyle name="_MNT_Digital Signage_LCD 4" xfId="0"/>
    <cellStyle name="_MNT_Digital Signage_LCD_By Region" xfId="0"/>
    <cellStyle name="_MNT_Digital Signage_LCD_CORP SG&amp;A" xfId="0"/>
    <cellStyle name="_MNT_Digital Signage_LCD_LCD" xfId="0"/>
    <cellStyle name="_MNT_Digital Signage_LCD_PJ" xfId="0"/>
    <cellStyle name="_MNT_Digital Signage_PC Products" xfId="0"/>
    <cellStyle name="_MNT_Digital Signage_PC Products 2" xfId="0"/>
    <cellStyle name="_MNT_Digital Signage_PC Products 3" xfId="0"/>
    <cellStyle name="_MNT_Digital Signage_PC Products 4" xfId="0"/>
    <cellStyle name="_MNT_Digital Signage_PC Products 4 2" xfId="0"/>
    <cellStyle name="_MNT_Digital Signage_PC Products_By Region" xfId="0"/>
    <cellStyle name="_MNT_Digital Signage_PC Products_CORP SG&amp;A" xfId="0"/>
    <cellStyle name="_MNT_Digital Signage_PC Products_LCD" xfId="0"/>
    <cellStyle name="_MNT_Digital Signage_PC Products_PJ" xfId="0"/>
    <cellStyle name="_MNT_Digital Signage_VSA 111014" xfId="0"/>
    <cellStyle name="_MNT_Digital Signage_VSA 111014 2" xfId="0"/>
    <cellStyle name="_MNT_Digital Signage_VSA 111014 3" xfId="0"/>
    <cellStyle name="_MNT_Digital Signage_VSA 111014 4" xfId="0"/>
    <cellStyle name="_MNT_Digital Signage_VSA 111014 4 2" xfId="0"/>
    <cellStyle name="_MNT_Digital Signage_VSA 111014_By Region" xfId="0"/>
    <cellStyle name="_MNT_Digital Signage_VSA 111014_CORP SG&amp;A" xfId="0"/>
    <cellStyle name="_MNT_Digital Signage_VSA 111014_LCD" xfId="0"/>
    <cellStyle name="_MNT_Digital Signage_VSA 111014_PJ" xfId="0"/>
    <cellStyle name="_MNT_Digital Signage_VSA Roll-Up (LW)" xfId="0"/>
    <cellStyle name="_MNT_Digital Signage_VSA Roll-Up (LW) 2" xfId="0"/>
    <cellStyle name="_MNT_Digital Signage_VSA Roll-Up (LW) 3" xfId="0"/>
    <cellStyle name="_MNT_Digital Signage_VSA Roll-Up (LW) 4" xfId="0"/>
    <cellStyle name="_MNT_Digital Signage_VSA Roll-Up (LW) 4 2" xfId="0"/>
    <cellStyle name="_MNT_Digital Signage_VSA Roll-Up (LW)_By Region" xfId="0"/>
    <cellStyle name="_MNT_Digital Signage_VSA Roll-Up (LW)_CORP SG&amp;A" xfId="0"/>
    <cellStyle name="_MNT_Digital Signage_VSA Roll-Up (LW)_LCD" xfId="0"/>
    <cellStyle name="_MNT_Digital Signage_VSA Roll-Up (LW)_PJ" xfId="0"/>
    <cellStyle name="_MNT_Digitizer" xfId="0"/>
    <cellStyle name="_MNT_DMA(VMP)" xfId="0"/>
    <cellStyle name="_MNT_DMA(VMP) 2" xfId="0"/>
    <cellStyle name="_MNT_DMA(VMP) 3" xfId="0"/>
    <cellStyle name="_MNT_DMA(VMP) 4" xfId="0"/>
    <cellStyle name="_MNT_DMA(VMP)_By Region" xfId="0"/>
    <cellStyle name="_MNT_DMA(VMP)_CORP SG&amp;A" xfId="0"/>
    <cellStyle name="_MNT_DMA(VMP)_Digitizer" xfId="0"/>
    <cellStyle name="_MNT_DMA(VMP)_GPS OTHER" xfId="0"/>
    <cellStyle name="_MNT_DMA(VMP)_GPS OTHER 2" xfId="0"/>
    <cellStyle name="_MNT_DMA(VMP)_GPS OTHER 3" xfId="0"/>
    <cellStyle name="_MNT_DMA(VMP)_GPS OTHER 4" xfId="0"/>
    <cellStyle name="_MNT_DMA(VMP)_GPS OTHER 4 2" xfId="0"/>
    <cellStyle name="_MNT_DMA(VMP)_GPS OTHER_By Region" xfId="0"/>
    <cellStyle name="_MNT_DMA(VMP)_GPS OTHER_CORP SG&amp;A" xfId="0"/>
    <cellStyle name="_MNT_DMA(VMP)_GPS OTHER_LCD" xfId="0"/>
    <cellStyle name="_MNT_DMA(VMP)_GPS OTHER_PJ" xfId="0"/>
    <cellStyle name="_MNT_DMA(VMP)_LCD" xfId="0"/>
    <cellStyle name="_MNT_DMA(VMP)_LCD 2" xfId="0"/>
    <cellStyle name="_MNT_DMA(VMP)_LCD 3" xfId="0"/>
    <cellStyle name="_MNT_DMA(VMP)_LCD 4" xfId="0"/>
    <cellStyle name="_MNT_DMA(VMP)_LCD_By Region" xfId="0"/>
    <cellStyle name="_MNT_DMA(VMP)_LCD_CORP SG&amp;A" xfId="0"/>
    <cellStyle name="_MNT_DMA(VMP)_LCD_LCD" xfId="0"/>
    <cellStyle name="_MNT_DMA(VMP)_LCD_PJ" xfId="0"/>
    <cellStyle name="_MNT_DMA(VMP)_PC Products" xfId="0"/>
    <cellStyle name="_MNT_DMA(VMP)_PC Products 2" xfId="0"/>
    <cellStyle name="_MNT_DMA(VMP)_PC Products 3" xfId="0"/>
    <cellStyle name="_MNT_DMA(VMP)_PC Products 4" xfId="0"/>
    <cellStyle name="_MNT_DMA(VMP)_PC Products 4 2" xfId="0"/>
    <cellStyle name="_MNT_DMA(VMP)_PC Products_By Region" xfId="0"/>
    <cellStyle name="_MNT_DMA(VMP)_PC Products_CORP SG&amp;A" xfId="0"/>
    <cellStyle name="_MNT_DMA(VMP)_PC Products_LCD" xfId="0"/>
    <cellStyle name="_MNT_DMA(VMP)_PC Products_PJ" xfId="0"/>
    <cellStyle name="_MNT_DMA(VMP)_VSA 111014" xfId="0"/>
    <cellStyle name="_MNT_DMA(VMP)_VSA 111014 2" xfId="0"/>
    <cellStyle name="_MNT_DMA(VMP)_VSA 111014 3" xfId="0"/>
    <cellStyle name="_MNT_DMA(VMP)_VSA 111014 4" xfId="0"/>
    <cellStyle name="_MNT_DMA(VMP)_VSA 111014 4 2" xfId="0"/>
    <cellStyle name="_MNT_DMA(VMP)_VSA 111014_By Region" xfId="0"/>
    <cellStyle name="_MNT_DMA(VMP)_VSA 111014_CORP SG&amp;A" xfId="0"/>
    <cellStyle name="_MNT_DMA(VMP)_VSA 111014_LCD" xfId="0"/>
    <cellStyle name="_MNT_DMA(VMP)_VSA 111014_PJ" xfId="0"/>
    <cellStyle name="_MNT_DMA(VMP)_VSA Roll-Up (LW)" xfId="0"/>
    <cellStyle name="_MNT_DMA(VMP)_VSA Roll-Up (LW) 2" xfId="0"/>
    <cellStyle name="_MNT_DMA(VMP)_VSA Roll-Up (LW) 3" xfId="0"/>
    <cellStyle name="_MNT_DMA(VMP)_VSA Roll-Up (LW) 4" xfId="0"/>
    <cellStyle name="_MNT_DMA(VMP)_VSA Roll-Up (LW) 4 2" xfId="0"/>
    <cellStyle name="_MNT_DMA(VMP)_VSA Roll-Up (LW)_By Region" xfId="0"/>
    <cellStyle name="_MNT_DMA(VMP)_VSA Roll-Up (LW)_CORP SG&amp;A" xfId="0"/>
    <cellStyle name="_MNT_DMA(VMP)_VSA Roll-Up (LW)_LCD" xfId="0"/>
    <cellStyle name="_MNT_DMA(VMP)_VSA Roll-Up (LW)_PJ" xfId="0"/>
    <cellStyle name="_MNT_DPF" xfId="0"/>
    <cellStyle name="_MNT_DPF 2" xfId="0"/>
    <cellStyle name="_MNT_DPF 3" xfId="0"/>
    <cellStyle name="_MNT_DPF 4" xfId="0"/>
    <cellStyle name="_MNT_DPF_By Region" xfId="0"/>
    <cellStyle name="_MNT_DPF_CORP SG&amp;A" xfId="0"/>
    <cellStyle name="_MNT_DPF_Digitizer" xfId="0"/>
    <cellStyle name="_MNT_DPF_GPS OTHER" xfId="0"/>
    <cellStyle name="_MNT_DPF_GPS OTHER 2" xfId="0"/>
    <cellStyle name="_MNT_DPF_GPS OTHER 3" xfId="0"/>
    <cellStyle name="_MNT_DPF_GPS OTHER 4" xfId="0"/>
    <cellStyle name="_MNT_DPF_GPS OTHER 4 2" xfId="0"/>
    <cellStyle name="_MNT_DPF_GPS OTHER_By Region" xfId="0"/>
    <cellStyle name="_MNT_DPF_GPS OTHER_CORP SG&amp;A" xfId="0"/>
    <cellStyle name="_MNT_DPF_GPS OTHER_LCD" xfId="0"/>
    <cellStyle name="_MNT_DPF_GPS OTHER_PJ" xfId="0"/>
    <cellStyle name="_MNT_DPF_LCD" xfId="0"/>
    <cellStyle name="_MNT_DPF_LCD 2" xfId="0"/>
    <cellStyle name="_MNT_DPF_LCD 3" xfId="0"/>
    <cellStyle name="_MNT_DPF_LCD 4" xfId="0"/>
    <cellStyle name="_MNT_DPF_LCD_By Region" xfId="0"/>
    <cellStyle name="_MNT_DPF_LCD_CORP SG&amp;A" xfId="0"/>
    <cellStyle name="_MNT_DPF_LCD_LCD" xfId="0"/>
    <cellStyle name="_MNT_DPF_LCD_PJ" xfId="0"/>
    <cellStyle name="_MNT_DPF_PC Products" xfId="0"/>
    <cellStyle name="_MNT_DPF_PC Products 2" xfId="0"/>
    <cellStyle name="_MNT_DPF_PC Products 3" xfId="0"/>
    <cellStyle name="_MNT_DPF_PC Products 4" xfId="0"/>
    <cellStyle name="_MNT_DPF_PC Products 4 2" xfId="0"/>
    <cellStyle name="_MNT_DPF_PC Products_By Region" xfId="0"/>
    <cellStyle name="_MNT_DPF_PC Products_CORP SG&amp;A" xfId="0"/>
    <cellStyle name="_MNT_DPF_PC Products_LCD" xfId="0"/>
    <cellStyle name="_MNT_DPF_PC Products_PJ" xfId="0"/>
    <cellStyle name="_MNT_DPF_VSA 111014" xfId="0"/>
    <cellStyle name="_MNT_DPF_VSA 111014 2" xfId="0"/>
    <cellStyle name="_MNT_DPF_VSA 111014 3" xfId="0"/>
    <cellStyle name="_MNT_DPF_VSA 111014 4" xfId="0"/>
    <cellStyle name="_MNT_DPF_VSA 111014 4 2" xfId="0"/>
    <cellStyle name="_MNT_DPF_VSA 111014_By Region" xfId="0"/>
    <cellStyle name="_MNT_DPF_VSA 111014_CORP SG&amp;A" xfId="0"/>
    <cellStyle name="_MNT_DPF_VSA 111014_LCD" xfId="0"/>
    <cellStyle name="_MNT_DPF_VSA 111014_PJ" xfId="0"/>
    <cellStyle name="_MNT_DPF_VSA Roll-Up (LW)" xfId="0"/>
    <cellStyle name="_MNT_DPF_VSA Roll-Up (LW) 2" xfId="0"/>
    <cellStyle name="_MNT_DPF_VSA Roll-Up (LW) 3" xfId="0"/>
    <cellStyle name="_MNT_DPF_VSA Roll-Up (LW) 4" xfId="0"/>
    <cellStyle name="_MNT_DPF_VSA Roll-Up (LW) 4 2" xfId="0"/>
    <cellStyle name="_MNT_DPF_VSA Roll-Up (LW)_By Region" xfId="0"/>
    <cellStyle name="_MNT_DPF_VSA Roll-Up (LW)_CORP SG&amp;A" xfId="0"/>
    <cellStyle name="_MNT_DPF_VSA Roll-Up (LW)_LCD" xfId="0"/>
    <cellStyle name="_MNT_DPF_VSA Roll-Up (LW)_PJ" xfId="0"/>
    <cellStyle name="_MNT_DS" xfId="0"/>
    <cellStyle name="_MNT_DS 2" xfId="0"/>
    <cellStyle name="_MNT_DS 3" xfId="0"/>
    <cellStyle name="_MNT_DS 4" xfId="0"/>
    <cellStyle name="_MNT_DS_By Region" xfId="0"/>
    <cellStyle name="_MNT_DS_CORP SG&amp;A" xfId="0"/>
    <cellStyle name="_MNT_DS_Digitizer" xfId="0"/>
    <cellStyle name="_MNT_DS_GPS OTHER" xfId="0"/>
    <cellStyle name="_MNT_DS_GPS OTHER 2" xfId="0"/>
    <cellStyle name="_MNT_DS_GPS OTHER 3" xfId="0"/>
    <cellStyle name="_MNT_DS_GPS OTHER 4" xfId="0"/>
    <cellStyle name="_MNT_DS_GPS OTHER 4 2" xfId="0"/>
    <cellStyle name="_MNT_DS_GPS OTHER_By Region" xfId="0"/>
    <cellStyle name="_MNT_DS_GPS OTHER_CORP SG&amp;A" xfId="0"/>
    <cellStyle name="_MNT_DS_GPS OTHER_LCD" xfId="0"/>
    <cellStyle name="_MNT_DS_GPS OTHER_PJ" xfId="0"/>
    <cellStyle name="_MNT_DS_LCD" xfId="0"/>
    <cellStyle name="_MNT_DS_LCD 2" xfId="0"/>
    <cellStyle name="_MNT_DS_LCD 3" xfId="0"/>
    <cellStyle name="_MNT_DS_LCD 4" xfId="0"/>
    <cellStyle name="_MNT_DS_LCD_By Region" xfId="0"/>
    <cellStyle name="_MNT_DS_LCD_CORP SG&amp;A" xfId="0"/>
    <cellStyle name="_MNT_DS_LCD_LCD" xfId="0"/>
    <cellStyle name="_MNT_DS_LCD_PJ" xfId="0"/>
    <cellStyle name="_MNT_DS_PC Products" xfId="0"/>
    <cellStyle name="_MNT_DS_PC Products 2" xfId="0"/>
    <cellStyle name="_MNT_DS_PC Products 3" xfId="0"/>
    <cellStyle name="_MNT_DS_PC Products 4" xfId="0"/>
    <cellStyle name="_MNT_DS_PC Products 4 2" xfId="0"/>
    <cellStyle name="_MNT_DS_PC Products_By Region" xfId="0"/>
    <cellStyle name="_MNT_DS_PC Products_CORP SG&amp;A" xfId="0"/>
    <cellStyle name="_MNT_DS_PC Products_LCD" xfId="0"/>
    <cellStyle name="_MNT_DS_PC Products_PJ" xfId="0"/>
    <cellStyle name="_MNT_DS_VSA 111014" xfId="0"/>
    <cellStyle name="_MNT_DS_VSA 111014 2" xfId="0"/>
    <cellStyle name="_MNT_DS_VSA 111014 3" xfId="0"/>
    <cellStyle name="_MNT_DS_VSA 111014 4" xfId="0"/>
    <cellStyle name="_MNT_DS_VSA 111014 4 2" xfId="0"/>
    <cellStyle name="_MNT_DS_VSA 111014_By Region" xfId="0"/>
    <cellStyle name="_MNT_DS_VSA 111014_CORP SG&amp;A" xfId="0"/>
    <cellStyle name="_MNT_DS_VSA 111014_LCD" xfId="0"/>
    <cellStyle name="_MNT_DS_VSA 111014_PJ" xfId="0"/>
    <cellStyle name="_MNT_DS_VSA Roll-Up (LW)" xfId="0"/>
    <cellStyle name="_MNT_DS_VSA Roll-Up (LW) 2" xfId="0"/>
    <cellStyle name="_MNT_DS_VSA Roll-Up (LW) 3" xfId="0"/>
    <cellStyle name="_MNT_DS_VSA Roll-Up (LW) 4" xfId="0"/>
    <cellStyle name="_MNT_DS_VSA Roll-Up (LW) 4 2" xfId="0"/>
    <cellStyle name="_MNT_DS_VSA Roll-Up (LW)_By Region" xfId="0"/>
    <cellStyle name="_MNT_DS_VSA Roll-Up (LW)_CORP SG&amp;A" xfId="0"/>
    <cellStyle name="_MNT_DS_VSA Roll-Up (LW)_LCD" xfId="0"/>
    <cellStyle name="_MNT_DS_VSA Roll-Up (LW)_PJ" xfId="0"/>
    <cellStyle name="_MNT_DVD_TV" xfId="0"/>
    <cellStyle name="_MNT_DVD_TV 2" xfId="0"/>
    <cellStyle name="_MNT_DVD_TV 3" xfId="0"/>
    <cellStyle name="_MNT_DVD_TV 4" xfId="0"/>
    <cellStyle name="_MNT_DVD_TV_By Region" xfId="0"/>
    <cellStyle name="_MNT_DVD_TV_CORP SG&amp;A" xfId="0"/>
    <cellStyle name="_MNT_DVD_TV_Digitizer" xfId="0"/>
    <cellStyle name="_MNT_DVD_TV_GPS OTHER" xfId="0"/>
    <cellStyle name="_MNT_DVD_TV_GPS OTHER 2" xfId="0"/>
    <cellStyle name="_MNT_DVD_TV_GPS OTHER 3" xfId="0"/>
    <cellStyle name="_MNT_DVD_TV_GPS OTHER 4" xfId="0"/>
    <cellStyle name="_MNT_DVD_TV_GPS OTHER 4 2" xfId="0"/>
    <cellStyle name="_MNT_DVD_TV_GPS OTHER_By Region" xfId="0"/>
    <cellStyle name="_MNT_DVD_TV_GPS OTHER_CORP SG&amp;A" xfId="0"/>
    <cellStyle name="_MNT_DVD_TV_GPS OTHER_LCD" xfId="0"/>
    <cellStyle name="_MNT_DVD_TV_GPS OTHER_PJ" xfId="0"/>
    <cellStyle name="_MNT_DVD_TV_LCD" xfId="0"/>
    <cellStyle name="_MNT_DVD_TV_LCD 2" xfId="0"/>
    <cellStyle name="_MNT_DVD_TV_LCD 3" xfId="0"/>
    <cellStyle name="_MNT_DVD_TV_LCD 4" xfId="0"/>
    <cellStyle name="_MNT_DVD_TV_LCD_By Region" xfId="0"/>
    <cellStyle name="_MNT_DVD_TV_LCD_CORP SG&amp;A" xfId="0"/>
    <cellStyle name="_MNT_DVD_TV_LCD_LCD" xfId="0"/>
    <cellStyle name="_MNT_DVD_TV_LCD_PJ" xfId="0"/>
    <cellStyle name="_MNT_DVD_TV_PC Products" xfId="0"/>
    <cellStyle name="_MNT_DVD_TV_PC Products 2" xfId="0"/>
    <cellStyle name="_MNT_DVD_TV_PC Products 3" xfId="0"/>
    <cellStyle name="_MNT_DVD_TV_PC Products 4" xfId="0"/>
    <cellStyle name="_MNT_DVD_TV_PC Products 4 2" xfId="0"/>
    <cellStyle name="_MNT_DVD_TV_PC Products_By Region" xfId="0"/>
    <cellStyle name="_MNT_DVD_TV_PC Products_CORP SG&amp;A" xfId="0"/>
    <cellStyle name="_MNT_DVD_TV_PC Products_LCD" xfId="0"/>
    <cellStyle name="_MNT_DVD_TV_PC Products_PJ" xfId="0"/>
    <cellStyle name="_MNT_DVD_TV_VSA 111014" xfId="0"/>
    <cellStyle name="_MNT_DVD_TV_VSA 111014 2" xfId="0"/>
    <cellStyle name="_MNT_DVD_TV_VSA 111014 3" xfId="0"/>
    <cellStyle name="_MNT_DVD_TV_VSA 111014 4" xfId="0"/>
    <cellStyle name="_MNT_DVD_TV_VSA 111014 4 2" xfId="0"/>
    <cellStyle name="_MNT_DVD_TV_VSA 111014_By Region" xfId="0"/>
    <cellStyle name="_MNT_DVD_TV_VSA 111014_CORP SG&amp;A" xfId="0"/>
    <cellStyle name="_MNT_DVD_TV_VSA 111014_LCD" xfId="0"/>
    <cellStyle name="_MNT_DVD_TV_VSA 111014_PJ" xfId="0"/>
    <cellStyle name="_MNT_DVD_TV_VSA Roll-Up (LW)" xfId="0"/>
    <cellStyle name="_MNT_DVD_TV_VSA Roll-Up (LW) 2" xfId="0"/>
    <cellStyle name="_MNT_DVD_TV_VSA Roll-Up (LW) 3" xfId="0"/>
    <cellStyle name="_MNT_DVD_TV_VSA Roll-Up (LW) 4" xfId="0"/>
    <cellStyle name="_MNT_DVD_TV_VSA Roll-Up (LW) 4 2" xfId="0"/>
    <cellStyle name="_MNT_DVD_TV_VSA Roll-Up (LW)_By Region" xfId="0"/>
    <cellStyle name="_MNT_DVD_TV_VSA Roll-Up (LW)_CORP SG&amp;A" xfId="0"/>
    <cellStyle name="_MNT_DVD_TV_VSA Roll-Up (LW)_LCD" xfId="0"/>
    <cellStyle name="_MNT_DVD_TV_VSA Roll-Up (LW)_PJ" xfId="0"/>
    <cellStyle name="_MNT_GPS OTHER" xfId="0"/>
    <cellStyle name="_MNT_GPS OTHER 2" xfId="0"/>
    <cellStyle name="_MNT_GPS OTHER 3" xfId="0"/>
    <cellStyle name="_MNT_GPS OTHER 4" xfId="0"/>
    <cellStyle name="_MNT_GPS OTHER 4 2" xfId="0"/>
    <cellStyle name="_MNT_GPS OTHER_By Region" xfId="0"/>
    <cellStyle name="_MNT_GPS OTHER_CORP SG&amp;A" xfId="0"/>
    <cellStyle name="_MNT_GPS OTHER_LCD" xfId="0"/>
    <cellStyle name="_MNT_GPS OTHER_PJ" xfId="0"/>
    <cellStyle name="_MNT_LCD" xfId="0"/>
    <cellStyle name="_MNT_LCD 2" xfId="0"/>
    <cellStyle name="_MNT_LCD 3" xfId="0"/>
    <cellStyle name="_MNT_LCD 4" xfId="0"/>
    <cellStyle name="_MNT_LCD_1" xfId="0"/>
    <cellStyle name="_MNT_LCD_1 2" xfId="0"/>
    <cellStyle name="_MNT_LCD_1 3" xfId="0"/>
    <cellStyle name="_MNT_LCD_1 4" xfId="0"/>
    <cellStyle name="_MNT_LCD_1_By Region" xfId="0"/>
    <cellStyle name="_MNT_LCD_1_CORP SG&amp;A" xfId="0"/>
    <cellStyle name="_MNT_LCD_1_LCD" xfId="0"/>
    <cellStyle name="_MNT_LCD_1_PJ" xfId="0"/>
    <cellStyle name="_MNT_LCD_By Region" xfId="0"/>
    <cellStyle name="_MNT_LCD_CORP SG&amp;A" xfId="0"/>
    <cellStyle name="_MNT_LCD_Digitizer" xfId="0"/>
    <cellStyle name="_MNT_LCD_GPS OTHER" xfId="0"/>
    <cellStyle name="_MNT_LCD_GPS OTHER 2" xfId="0"/>
    <cellStyle name="_MNT_LCD_GPS OTHER 3" xfId="0"/>
    <cellStyle name="_MNT_LCD_GPS OTHER 4" xfId="0"/>
    <cellStyle name="_MNT_LCD_GPS OTHER 4 2" xfId="0"/>
    <cellStyle name="_MNT_LCD_GPS OTHER_By Region" xfId="0"/>
    <cellStyle name="_MNT_LCD_GPS OTHER_CORP SG&amp;A" xfId="0"/>
    <cellStyle name="_MNT_LCD_GPS OTHER_LCD" xfId="0"/>
    <cellStyle name="_MNT_LCD_GPS OTHER_PJ" xfId="0"/>
    <cellStyle name="_MNT_LCD_LCD" xfId="0"/>
    <cellStyle name="_MNT_LCD_LCD 2" xfId="0"/>
    <cellStyle name="_MNT_LCD_LCD 3" xfId="0"/>
    <cellStyle name="_MNT_LCD_LCD 4" xfId="0"/>
    <cellStyle name="_MNT_LCD_LCD_By Region" xfId="0"/>
    <cellStyle name="_MNT_LCD_LCD_CORP SG&amp;A" xfId="0"/>
    <cellStyle name="_MNT_LCD_LCD_LCD" xfId="0"/>
    <cellStyle name="_MNT_LCD_LCD_PJ" xfId="0"/>
    <cellStyle name="_MNT_LCD_PC Products" xfId="0"/>
    <cellStyle name="_MNT_LCD_PC Products 2" xfId="0"/>
    <cellStyle name="_MNT_LCD_PC Products 3" xfId="0"/>
    <cellStyle name="_MNT_LCD_PC Products 4" xfId="0"/>
    <cellStyle name="_MNT_LCD_PC Products 4 2" xfId="0"/>
    <cellStyle name="_MNT_LCD_PC Products_By Region" xfId="0"/>
    <cellStyle name="_MNT_LCD_PC Products_CORP SG&amp;A" xfId="0"/>
    <cellStyle name="_MNT_LCD_PC Products_LCD" xfId="0"/>
    <cellStyle name="_MNT_LCD_PC Products_PJ" xfId="0"/>
    <cellStyle name="_MNT_LCD_VSA 111014" xfId="0"/>
    <cellStyle name="_MNT_LCD_VSA 111014 2" xfId="0"/>
    <cellStyle name="_MNT_LCD_VSA 111014 3" xfId="0"/>
    <cellStyle name="_MNT_LCD_VSA 111014 4" xfId="0"/>
    <cellStyle name="_MNT_LCD_VSA 111014 4 2" xfId="0"/>
    <cellStyle name="_MNT_LCD_VSA 111014_By Region" xfId="0"/>
    <cellStyle name="_MNT_LCD_VSA 111014_CORP SG&amp;A" xfId="0"/>
    <cellStyle name="_MNT_LCD_VSA 111014_LCD" xfId="0"/>
    <cellStyle name="_MNT_LCD_VSA 111014_PJ" xfId="0"/>
    <cellStyle name="_MNT_LCD_VSA Roll-Up (LW)" xfId="0"/>
    <cellStyle name="_MNT_LCD_VSA Roll-Up (LW) 2" xfId="0"/>
    <cellStyle name="_MNT_LCD_VSA Roll-Up (LW) 3" xfId="0"/>
    <cellStyle name="_MNT_LCD_VSA Roll-Up (LW) 4" xfId="0"/>
    <cellStyle name="_MNT_LCD_VSA Roll-Up (LW) 4 2" xfId="0"/>
    <cellStyle name="_MNT_LCD_VSA Roll-Up (LW)_By Region" xfId="0"/>
    <cellStyle name="_MNT_LCD_VSA Roll-Up (LW)_CORP SG&amp;A" xfId="0"/>
    <cellStyle name="_MNT_LCD_VSA Roll-Up (LW)_LCD" xfId="0"/>
    <cellStyle name="_MNT_LCD_VSA Roll-Up (LW)_PJ" xfId="0"/>
    <cellStyle name="_MNT_LCDTV" xfId="0"/>
    <cellStyle name="_MNT_LCDTV 2" xfId="0"/>
    <cellStyle name="_MNT_LCDTV 3" xfId="0"/>
    <cellStyle name="_MNT_LCDTV 4" xfId="0"/>
    <cellStyle name="_MNT_LCDTV_By Region" xfId="0"/>
    <cellStyle name="_MNT_LCDTV_CORP SG&amp;A" xfId="0"/>
    <cellStyle name="_MNT_LCDTV_Digitizer" xfId="0"/>
    <cellStyle name="_MNT_LCDTV_GPS OTHER" xfId="0"/>
    <cellStyle name="_MNT_LCDTV_GPS OTHER 2" xfId="0"/>
    <cellStyle name="_MNT_LCDTV_GPS OTHER 3" xfId="0"/>
    <cellStyle name="_MNT_LCDTV_GPS OTHER 4" xfId="0"/>
    <cellStyle name="_MNT_LCDTV_GPS OTHER 4 2" xfId="0"/>
    <cellStyle name="_MNT_LCDTV_GPS OTHER_By Region" xfId="0"/>
    <cellStyle name="_MNT_LCDTV_GPS OTHER_CORP SG&amp;A" xfId="0"/>
    <cellStyle name="_MNT_LCDTV_GPS OTHER_LCD" xfId="0"/>
    <cellStyle name="_MNT_LCDTV_GPS OTHER_PJ" xfId="0"/>
    <cellStyle name="_MNT_LCDTV_LCD" xfId="0"/>
    <cellStyle name="_MNT_LCDTV_LCD 2" xfId="0"/>
    <cellStyle name="_MNT_LCDTV_LCD 3" xfId="0"/>
    <cellStyle name="_MNT_LCDTV_LCD 4" xfId="0"/>
    <cellStyle name="_MNT_LCDTV_LCD_By Region" xfId="0"/>
    <cellStyle name="_MNT_LCDTV_LCD_CORP SG&amp;A" xfId="0"/>
    <cellStyle name="_MNT_LCDTV_LCD_LCD" xfId="0"/>
    <cellStyle name="_MNT_LCDTV_LCD_PJ" xfId="0"/>
    <cellStyle name="_MNT_LCDTV_PC Products" xfId="0"/>
    <cellStyle name="_MNT_LCDTV_PC Products 2" xfId="0"/>
    <cellStyle name="_MNT_LCDTV_PC Products 3" xfId="0"/>
    <cellStyle name="_MNT_LCDTV_PC Products 4" xfId="0"/>
    <cellStyle name="_MNT_LCDTV_PC Products 4 2" xfId="0"/>
    <cellStyle name="_MNT_LCDTV_PC Products_By Region" xfId="0"/>
    <cellStyle name="_MNT_LCDTV_PC Products_CORP SG&amp;A" xfId="0"/>
    <cellStyle name="_MNT_LCDTV_PC Products_LCD" xfId="0"/>
    <cellStyle name="_MNT_LCDTV_PC Products_PJ" xfId="0"/>
    <cellStyle name="_MNT_LCDTV_VSA 111014" xfId="0"/>
    <cellStyle name="_MNT_LCDTV_VSA 111014 2" xfId="0"/>
    <cellStyle name="_MNT_LCDTV_VSA 111014 3" xfId="0"/>
    <cellStyle name="_MNT_LCDTV_VSA 111014 4" xfId="0"/>
    <cellStyle name="_MNT_LCDTV_VSA 111014 4 2" xfId="0"/>
    <cellStyle name="_MNT_LCDTV_VSA 111014_By Region" xfId="0"/>
    <cellStyle name="_MNT_LCDTV_VSA 111014_CORP SG&amp;A" xfId="0"/>
    <cellStyle name="_MNT_LCDTV_VSA 111014_LCD" xfId="0"/>
    <cellStyle name="_MNT_LCDTV_VSA 111014_PJ" xfId="0"/>
    <cellStyle name="_MNT_LCDTV_VSA Roll-Up (LW)" xfId="0"/>
    <cellStyle name="_MNT_LCDTV_VSA Roll-Up (LW) 2" xfId="0"/>
    <cellStyle name="_MNT_LCDTV_VSA Roll-Up (LW) 3" xfId="0"/>
    <cellStyle name="_MNT_LCDTV_VSA Roll-Up (LW) 4" xfId="0"/>
    <cellStyle name="_MNT_LCDTV_VSA Roll-Up (LW) 4 2" xfId="0"/>
    <cellStyle name="_MNT_LCDTV_VSA Roll-Up (LW)_By Region" xfId="0"/>
    <cellStyle name="_MNT_LCDTV_VSA Roll-Up (LW)_CORP SG&amp;A" xfId="0"/>
    <cellStyle name="_MNT_LCDTV_VSA Roll-Up (LW)_LCD" xfId="0"/>
    <cellStyle name="_MNT_LCDTV_VSA Roll-Up (LW)_PJ" xfId="0"/>
    <cellStyle name="_MNT_MNT" xfId="0"/>
    <cellStyle name="_MNT_MNT 2" xfId="0"/>
    <cellStyle name="_MNT_MNT 3" xfId="0"/>
    <cellStyle name="_MNT_MNT 4" xfId="0"/>
    <cellStyle name="_MNT_MNT_By Region" xfId="0"/>
    <cellStyle name="_MNT_MNT_CORP SG&amp;A" xfId="0"/>
    <cellStyle name="_MNT_MNT_Digitizer" xfId="0"/>
    <cellStyle name="_MNT_MNT_GPS OTHER" xfId="0"/>
    <cellStyle name="_MNT_MNT_GPS OTHER 2" xfId="0"/>
    <cellStyle name="_MNT_MNT_GPS OTHER 3" xfId="0"/>
    <cellStyle name="_MNT_MNT_GPS OTHER 4" xfId="0"/>
    <cellStyle name="_MNT_MNT_GPS OTHER 4 2" xfId="0"/>
    <cellStyle name="_MNT_MNT_GPS OTHER_By Region" xfId="0"/>
    <cellStyle name="_MNT_MNT_GPS OTHER_CORP SG&amp;A" xfId="0"/>
    <cellStyle name="_MNT_MNT_GPS OTHER_LCD" xfId="0"/>
    <cellStyle name="_MNT_MNT_GPS OTHER_PJ" xfId="0"/>
    <cellStyle name="_MNT_MNT_LCD" xfId="0"/>
    <cellStyle name="_MNT_MNT_LCD 2" xfId="0"/>
    <cellStyle name="_MNT_MNT_LCD 3" xfId="0"/>
    <cellStyle name="_MNT_MNT_LCD 4" xfId="0"/>
    <cellStyle name="_MNT_MNT_LCD_By Region" xfId="0"/>
    <cellStyle name="_MNT_MNT_LCD_CORP SG&amp;A" xfId="0"/>
    <cellStyle name="_MNT_MNT_LCD_LCD" xfId="0"/>
    <cellStyle name="_MNT_MNT_LCD_PJ" xfId="0"/>
    <cellStyle name="_MNT_MNT_PC Products" xfId="0"/>
    <cellStyle name="_MNT_MNT_PC Products 2" xfId="0"/>
    <cellStyle name="_MNT_MNT_PC Products 3" xfId="0"/>
    <cellStyle name="_MNT_MNT_PC Products 4" xfId="0"/>
    <cellStyle name="_MNT_MNT_PC Products 4 2" xfId="0"/>
    <cellStyle name="_MNT_MNT_PC Products_By Region" xfId="0"/>
    <cellStyle name="_MNT_MNT_PC Products_CORP SG&amp;A" xfId="0"/>
    <cellStyle name="_MNT_MNT_PC Products_LCD" xfId="0"/>
    <cellStyle name="_MNT_MNT_PC Products_PJ" xfId="0"/>
    <cellStyle name="_MNT_MNT_VSA 111014" xfId="0"/>
    <cellStyle name="_MNT_MNT_VSA 111014 2" xfId="0"/>
    <cellStyle name="_MNT_MNT_VSA 111014 3" xfId="0"/>
    <cellStyle name="_MNT_MNT_VSA 111014 4" xfId="0"/>
    <cellStyle name="_MNT_MNT_VSA 111014 4 2" xfId="0"/>
    <cellStyle name="_MNT_MNT_VSA 111014_By Region" xfId="0"/>
    <cellStyle name="_MNT_MNT_VSA 111014_CORP SG&amp;A" xfId="0"/>
    <cellStyle name="_MNT_MNT_VSA 111014_LCD" xfId="0"/>
    <cellStyle name="_MNT_MNT_VSA 111014_PJ" xfId="0"/>
    <cellStyle name="_MNT_MNT_VSA Roll-Up (LW)" xfId="0"/>
    <cellStyle name="_MNT_MNT_VSA Roll-Up (LW) 2" xfId="0"/>
    <cellStyle name="_MNT_MNT_VSA Roll-Up (LW) 3" xfId="0"/>
    <cellStyle name="_MNT_MNT_VSA Roll-Up (LW) 4" xfId="0"/>
    <cellStyle name="_MNT_MNT_VSA Roll-Up (LW) 4 2" xfId="0"/>
    <cellStyle name="_MNT_MNT_VSA Roll-Up (LW)_By Region" xfId="0"/>
    <cellStyle name="_MNT_MNT_VSA Roll-Up (LW)_CORP SG&amp;A" xfId="0"/>
    <cellStyle name="_MNT_MNT_VSA Roll-Up (LW)_LCD" xfId="0"/>
    <cellStyle name="_MNT_MNT_VSA Roll-Up (LW)_PJ" xfId="0"/>
    <cellStyle name="_MNT_Other" xfId="0"/>
    <cellStyle name="_MNT_Other 2" xfId="0"/>
    <cellStyle name="_MNT_Other 3" xfId="0"/>
    <cellStyle name="_MNT_Other 4" xfId="0"/>
    <cellStyle name="_MNT_Other_By Region" xfId="0"/>
    <cellStyle name="_MNT_Other_CORP SG&amp;A" xfId="0"/>
    <cellStyle name="_MNT_Other_Digitizer" xfId="0"/>
    <cellStyle name="_MNT_Other_GPS OTHER" xfId="0"/>
    <cellStyle name="_MNT_Other_GPS OTHER 2" xfId="0"/>
    <cellStyle name="_MNT_Other_GPS OTHER 3" xfId="0"/>
    <cellStyle name="_MNT_Other_GPS OTHER 4" xfId="0"/>
    <cellStyle name="_MNT_Other_GPS OTHER 4 2" xfId="0"/>
    <cellStyle name="_MNT_Other_GPS OTHER_By Region" xfId="0"/>
    <cellStyle name="_MNT_Other_GPS OTHER_CORP SG&amp;A" xfId="0"/>
    <cellStyle name="_MNT_Other_GPS OTHER_LCD" xfId="0"/>
    <cellStyle name="_MNT_Other_GPS OTHER_PJ" xfId="0"/>
    <cellStyle name="_MNT_Other_LCD" xfId="0"/>
    <cellStyle name="_MNT_Other_LCD 2" xfId="0"/>
    <cellStyle name="_MNT_Other_LCD 3" xfId="0"/>
    <cellStyle name="_MNT_Other_LCD 4" xfId="0"/>
    <cellStyle name="_MNT_Other_LCD_By Region" xfId="0"/>
    <cellStyle name="_MNT_Other_LCD_CORP SG&amp;A" xfId="0"/>
    <cellStyle name="_MNT_Other_LCD_LCD" xfId="0"/>
    <cellStyle name="_MNT_Other_LCD_PJ" xfId="0"/>
    <cellStyle name="_MNT_Other_PC Products" xfId="0"/>
    <cellStyle name="_MNT_Other_PC Products 2" xfId="0"/>
    <cellStyle name="_MNT_Other_PC Products 3" xfId="0"/>
    <cellStyle name="_MNT_Other_PC Products 4" xfId="0"/>
    <cellStyle name="_MNT_Other_PC Products 4 2" xfId="0"/>
    <cellStyle name="_MNT_Other_PC Products_By Region" xfId="0"/>
    <cellStyle name="_MNT_Other_PC Products_CORP SG&amp;A" xfId="0"/>
    <cellStyle name="_MNT_Other_PC Products_LCD" xfId="0"/>
    <cellStyle name="_MNT_Other_PC Products_PJ" xfId="0"/>
    <cellStyle name="_MNT_Other_VSA 111014" xfId="0"/>
    <cellStyle name="_MNT_Other_VSA 111014 2" xfId="0"/>
    <cellStyle name="_MNT_Other_VSA 111014 3" xfId="0"/>
    <cellStyle name="_MNT_Other_VSA 111014 4" xfId="0"/>
    <cellStyle name="_MNT_Other_VSA 111014 4 2" xfId="0"/>
    <cellStyle name="_MNT_Other_VSA 111014_By Region" xfId="0"/>
    <cellStyle name="_MNT_Other_VSA 111014_CORP SG&amp;A" xfId="0"/>
    <cellStyle name="_MNT_Other_VSA 111014_LCD" xfId="0"/>
    <cellStyle name="_MNT_Other_VSA 111014_PJ" xfId="0"/>
    <cellStyle name="_MNT_Other_VSA Roll-Up (LW)" xfId="0"/>
    <cellStyle name="_MNT_Other_VSA Roll-Up (LW) 2" xfId="0"/>
    <cellStyle name="_MNT_Other_VSA Roll-Up (LW) 3" xfId="0"/>
    <cellStyle name="_MNT_Other_VSA Roll-Up (LW) 4" xfId="0"/>
    <cellStyle name="_MNT_Other_VSA Roll-Up (LW) 4 2" xfId="0"/>
    <cellStyle name="_MNT_Other_VSA Roll-Up (LW)_By Region" xfId="0"/>
    <cellStyle name="_MNT_Other_VSA Roll-Up (LW)_CORP SG&amp;A" xfId="0"/>
    <cellStyle name="_MNT_Other_VSA Roll-Up (LW)_LCD" xfId="0"/>
    <cellStyle name="_MNT_Other_VSA Roll-Up (LW)_PJ" xfId="0"/>
    <cellStyle name="_MNT_PC" xfId="0"/>
    <cellStyle name="_MNT_PC 2" xfId="0"/>
    <cellStyle name="_MNT_PC 3" xfId="0"/>
    <cellStyle name="_MNT_PC 4" xfId="0"/>
    <cellStyle name="_MNT_PC Products" xfId="0"/>
    <cellStyle name="_MNT_PC Products 2" xfId="0"/>
    <cellStyle name="_MNT_PC Products 3" xfId="0"/>
    <cellStyle name="_MNT_PC Products 4" xfId="0"/>
    <cellStyle name="_MNT_PC Products 4 2" xfId="0"/>
    <cellStyle name="_MNT_PC Products_By Region" xfId="0"/>
    <cellStyle name="_MNT_PC Products_CORP SG&amp;A" xfId="0"/>
    <cellStyle name="_MNT_PC Products_LCD" xfId="0"/>
    <cellStyle name="_MNT_PC Products_PJ" xfId="0"/>
    <cellStyle name="_MNT_PC_By Region" xfId="0"/>
    <cellStyle name="_MNT_PC_CORP SG&amp;A" xfId="0"/>
    <cellStyle name="_MNT_PC_Digitizer" xfId="0"/>
    <cellStyle name="_MNT_PC_DT" xfId="0"/>
    <cellStyle name="_MNT_PC_DT 2" xfId="0"/>
    <cellStyle name="_MNT_PC_DT 3" xfId="0"/>
    <cellStyle name="_MNT_PC_DT_By Region" xfId="0"/>
    <cellStyle name="_MNT_PC_GPS OTHER" xfId="0"/>
    <cellStyle name="_MNT_PC_GPS OTHER 2" xfId="0"/>
    <cellStyle name="_MNT_PC_GPS OTHER 3" xfId="0"/>
    <cellStyle name="_MNT_PC_GPS OTHER 4" xfId="0"/>
    <cellStyle name="_MNT_PC_GPS OTHER 4 2" xfId="0"/>
    <cellStyle name="_MNT_PC_GPS OTHER_By Region" xfId="0"/>
    <cellStyle name="_MNT_PC_GPS OTHER_CORP SG&amp;A" xfId="0"/>
    <cellStyle name="_MNT_PC_GPS OTHER_LCD" xfId="0"/>
    <cellStyle name="_MNT_PC_GPS OTHER_PJ" xfId="0"/>
    <cellStyle name="_MNT_PC_LCD" xfId="0"/>
    <cellStyle name="_MNT_PC_LCD 2" xfId="0"/>
    <cellStyle name="_MNT_PC_LCD 3" xfId="0"/>
    <cellStyle name="_MNT_PC_LCD 4" xfId="0"/>
    <cellStyle name="_MNT_PC_LCD_By Region" xfId="0"/>
    <cellStyle name="_MNT_PC_LCD_CORP SG&amp;A" xfId="0"/>
    <cellStyle name="_MNT_PC_LCD_LCD" xfId="0"/>
    <cellStyle name="_MNT_PC_LCD_PJ" xfId="0"/>
    <cellStyle name="_MNT_PC_PC Products" xfId="0"/>
    <cellStyle name="_MNT_PC_PC Products 2" xfId="0"/>
    <cellStyle name="_MNT_PC_PC Products 3" xfId="0"/>
    <cellStyle name="_MNT_PC_PC Products 4" xfId="0"/>
    <cellStyle name="_MNT_PC_PC Products 4 2" xfId="0"/>
    <cellStyle name="_MNT_PC_PC Products_By Region" xfId="0"/>
    <cellStyle name="_MNT_PC_PC Products_CORP SG&amp;A" xfId="0"/>
    <cellStyle name="_MNT_PC_PC Products_LCD" xfId="0"/>
    <cellStyle name="_MNT_PC_PC Products_PJ" xfId="0"/>
    <cellStyle name="_MNT_PC_TV" xfId="0"/>
    <cellStyle name="_MNT_PC_TV 2" xfId="0"/>
    <cellStyle name="_MNT_PC_TV 3" xfId="0"/>
    <cellStyle name="_MNT_PC_TV 4" xfId="0"/>
    <cellStyle name="_MNT_PC_TV_By Region" xfId="0"/>
    <cellStyle name="_MNT_PC_TV_CORP SG&amp;A" xfId="0"/>
    <cellStyle name="_MNT_PC_TV_Digitizer" xfId="0"/>
    <cellStyle name="_MNT_PC_TV_GPS OTHER" xfId="0"/>
    <cellStyle name="_MNT_PC_TV_GPS OTHER 2" xfId="0"/>
    <cellStyle name="_MNT_PC_TV_GPS OTHER 3" xfId="0"/>
    <cellStyle name="_MNT_PC_TV_GPS OTHER 4" xfId="0"/>
    <cellStyle name="_MNT_PC_TV_GPS OTHER 4 2" xfId="0"/>
    <cellStyle name="_MNT_PC_TV_GPS OTHER_By Region" xfId="0"/>
    <cellStyle name="_MNT_PC_TV_GPS OTHER_CORP SG&amp;A" xfId="0"/>
    <cellStyle name="_MNT_PC_TV_GPS OTHER_LCD" xfId="0"/>
    <cellStyle name="_MNT_PC_TV_GPS OTHER_PJ" xfId="0"/>
    <cellStyle name="_MNT_PC_TV_LCD" xfId="0"/>
    <cellStyle name="_MNT_PC_TV_LCD 2" xfId="0"/>
    <cellStyle name="_MNT_PC_TV_LCD 3" xfId="0"/>
    <cellStyle name="_MNT_PC_TV_LCD 4" xfId="0"/>
    <cellStyle name="_MNT_PC_TV_LCD_By Region" xfId="0"/>
    <cellStyle name="_MNT_PC_TV_LCD_CORP SG&amp;A" xfId="0"/>
    <cellStyle name="_MNT_PC_TV_LCD_LCD" xfId="0"/>
    <cellStyle name="_MNT_PC_TV_LCD_PJ" xfId="0"/>
    <cellStyle name="_MNT_PC_TV_PC Products" xfId="0"/>
    <cellStyle name="_MNT_PC_TV_PC Products 2" xfId="0"/>
    <cellStyle name="_MNT_PC_TV_PC Products 3" xfId="0"/>
    <cellStyle name="_MNT_PC_TV_PC Products 4" xfId="0"/>
    <cellStyle name="_MNT_PC_TV_PC Products 4 2" xfId="0"/>
    <cellStyle name="_MNT_PC_TV_PC Products_By Region" xfId="0"/>
    <cellStyle name="_MNT_PC_TV_PC Products_CORP SG&amp;A" xfId="0"/>
    <cellStyle name="_MNT_PC_TV_PC Products_LCD" xfId="0"/>
    <cellStyle name="_MNT_PC_TV_PC Products_PJ" xfId="0"/>
    <cellStyle name="_MNT_PC_TV_VSA 111014" xfId="0"/>
    <cellStyle name="_MNT_PC_TV_VSA 111014 2" xfId="0"/>
    <cellStyle name="_MNT_PC_TV_VSA 111014 3" xfId="0"/>
    <cellStyle name="_MNT_PC_TV_VSA 111014 4" xfId="0"/>
    <cellStyle name="_MNT_PC_TV_VSA 111014 4 2" xfId="0"/>
    <cellStyle name="_MNT_PC_TV_VSA 111014_By Region" xfId="0"/>
    <cellStyle name="_MNT_PC_TV_VSA 111014_CORP SG&amp;A" xfId="0"/>
    <cellStyle name="_MNT_PC_TV_VSA 111014_LCD" xfId="0"/>
    <cellStyle name="_MNT_PC_TV_VSA 111014_PJ" xfId="0"/>
    <cellStyle name="_MNT_PC_TV_VSA Roll-Up (LW)" xfId="0"/>
    <cellStyle name="_MNT_PC_TV_VSA Roll-Up (LW) 2" xfId="0"/>
    <cellStyle name="_MNT_PC_TV_VSA Roll-Up (LW) 3" xfId="0"/>
    <cellStyle name="_MNT_PC_TV_VSA Roll-Up (LW) 4" xfId="0"/>
    <cellStyle name="_MNT_PC_TV_VSA Roll-Up (LW) 4 2" xfId="0"/>
    <cellStyle name="_MNT_PC_TV_VSA Roll-Up (LW)_By Region" xfId="0"/>
    <cellStyle name="_MNT_PC_TV_VSA Roll-Up (LW)_CORP SG&amp;A" xfId="0"/>
    <cellStyle name="_MNT_PC_TV_VSA Roll-Up (LW)_LCD" xfId="0"/>
    <cellStyle name="_MNT_PC_TV_VSA Roll-Up (LW)_PJ" xfId="0"/>
    <cellStyle name="_MNT_PC_VSA 111014" xfId="0"/>
    <cellStyle name="_MNT_PC_VSA 111014 2" xfId="0"/>
    <cellStyle name="_MNT_PC_VSA 111014 3" xfId="0"/>
    <cellStyle name="_MNT_PC_VSA 111014 4" xfId="0"/>
    <cellStyle name="_MNT_PC_VSA 111014 4 2" xfId="0"/>
    <cellStyle name="_MNT_PC_VSA 111014_By Region" xfId="0"/>
    <cellStyle name="_MNT_PC_VSA 111014_CORP SG&amp;A" xfId="0"/>
    <cellStyle name="_MNT_PC_VSA 111014_LCD" xfId="0"/>
    <cellStyle name="_MNT_PC_VSA 111014_PJ" xfId="0"/>
    <cellStyle name="_MNT_PC_VSA Roll-Up (LW)" xfId="0"/>
    <cellStyle name="_MNT_PC_VSA Roll-Up (LW) 2" xfId="0"/>
    <cellStyle name="_MNT_PC_VSA Roll-Up (LW) 3" xfId="0"/>
    <cellStyle name="_MNT_PC_VSA Roll-Up (LW) 4" xfId="0"/>
    <cellStyle name="_MNT_PC_VSA Roll-Up (LW) 4 2" xfId="0"/>
    <cellStyle name="_MNT_PC_VSA Roll-Up (LW)_By Region" xfId="0"/>
    <cellStyle name="_MNT_PC_VSA Roll-Up (LW)_CORP SG&amp;A" xfId="0"/>
    <cellStyle name="_MNT_PC_VSA Roll-Up (LW)_LCD" xfId="0"/>
    <cellStyle name="_MNT_PC_VSA Roll-Up (LW)_PJ" xfId="0"/>
    <cellStyle name="_MNT_PJ" xfId="0"/>
    <cellStyle name="_MNT_PJ 2" xfId="0"/>
    <cellStyle name="_MNT_PJ 3" xfId="0"/>
    <cellStyle name="_MNT_PJ 4" xfId="0"/>
    <cellStyle name="_MNT_PJ_By Region" xfId="0"/>
    <cellStyle name="_MNT_PJ_CORP SG&amp;A" xfId="0"/>
    <cellStyle name="_MNT_PJ_Digitizer" xfId="0"/>
    <cellStyle name="_MNT_PJ_GPS OTHER" xfId="0"/>
    <cellStyle name="_MNT_PJ_GPS OTHER 2" xfId="0"/>
    <cellStyle name="_MNT_PJ_GPS OTHER 3" xfId="0"/>
    <cellStyle name="_MNT_PJ_GPS OTHER 4" xfId="0"/>
    <cellStyle name="_MNT_PJ_GPS OTHER 4 2" xfId="0"/>
    <cellStyle name="_MNT_PJ_GPS OTHER_By Region" xfId="0"/>
    <cellStyle name="_MNT_PJ_GPS OTHER_CORP SG&amp;A" xfId="0"/>
    <cellStyle name="_MNT_PJ_GPS OTHER_LCD" xfId="0"/>
    <cellStyle name="_MNT_PJ_GPS OTHER_PJ" xfId="0"/>
    <cellStyle name="_MNT_PJ_LCD" xfId="0"/>
    <cellStyle name="_MNT_PJ_LCD 2" xfId="0"/>
    <cellStyle name="_MNT_PJ_LCD 3" xfId="0"/>
    <cellStyle name="_MNT_PJ_LCD 4" xfId="0"/>
    <cellStyle name="_MNT_PJ_LCD_By Region" xfId="0"/>
    <cellStyle name="_MNT_PJ_LCD_CORP SG&amp;A" xfId="0"/>
    <cellStyle name="_MNT_PJ_LCD_LCD" xfId="0"/>
    <cellStyle name="_MNT_PJ_LCD_PJ" xfId="0"/>
    <cellStyle name="_MNT_PJ_PC Products" xfId="0"/>
    <cellStyle name="_MNT_PJ_PC Products 2" xfId="0"/>
    <cellStyle name="_MNT_PJ_PC Products 3" xfId="0"/>
    <cellStyle name="_MNT_PJ_PC Products 4" xfId="0"/>
    <cellStyle name="_MNT_PJ_PC Products 4 2" xfId="0"/>
    <cellStyle name="_MNT_PJ_PC Products_By Region" xfId="0"/>
    <cellStyle name="_MNT_PJ_PC Products_CORP SG&amp;A" xfId="0"/>
    <cellStyle name="_MNT_PJ_PC Products_LCD" xfId="0"/>
    <cellStyle name="_MNT_PJ_PC Products_PJ" xfId="0"/>
    <cellStyle name="_MNT_PJ_VSA 111014" xfId="0"/>
    <cellStyle name="_MNT_PJ_VSA 111014 2" xfId="0"/>
    <cellStyle name="_MNT_PJ_VSA 111014 3" xfId="0"/>
    <cellStyle name="_MNT_PJ_VSA 111014 4" xfId="0"/>
    <cellStyle name="_MNT_PJ_VSA 111014 4 2" xfId="0"/>
    <cellStyle name="_MNT_PJ_VSA 111014_By Region" xfId="0"/>
    <cellStyle name="_MNT_PJ_VSA 111014_CORP SG&amp;A" xfId="0"/>
    <cellStyle name="_MNT_PJ_VSA 111014_LCD" xfId="0"/>
    <cellStyle name="_MNT_PJ_VSA 111014_PJ" xfId="0"/>
    <cellStyle name="_MNT_PJ_VSA Roll-Up (LW)" xfId="0"/>
    <cellStyle name="_MNT_PJ_VSA Roll-Up (LW) 2" xfId="0"/>
    <cellStyle name="_MNT_PJ_VSA Roll-Up (LW) 3" xfId="0"/>
    <cellStyle name="_MNT_PJ_VSA Roll-Up (LW) 4" xfId="0"/>
    <cellStyle name="_MNT_PJ_VSA Roll-Up (LW) 4 2" xfId="0"/>
    <cellStyle name="_MNT_PJ_VSA Roll-Up (LW)_By Region" xfId="0"/>
    <cellStyle name="_MNT_PJ_VSA Roll-Up (LW)_CORP SG&amp;A" xfId="0"/>
    <cellStyle name="_MNT_PJ_VSA Roll-Up (LW)_LCD" xfId="0"/>
    <cellStyle name="_MNT_PJ_VSA Roll-Up (LW)_PJ" xfId="0"/>
    <cellStyle name="_MNT_PMP(VPD)" xfId="0"/>
    <cellStyle name="_MNT_PMP(VPD) 2" xfId="0"/>
    <cellStyle name="_MNT_PMP(VPD) 3" xfId="0"/>
    <cellStyle name="_MNT_PMP(VPD) 4" xfId="0"/>
    <cellStyle name="_MNT_PMP(VPD)_By Region" xfId="0"/>
    <cellStyle name="_MNT_PMP(VPD)_CORP SG&amp;A" xfId="0"/>
    <cellStyle name="_MNT_PMP(VPD)_Digitizer" xfId="0"/>
    <cellStyle name="_MNT_PMP(VPD)_GPS OTHER" xfId="0"/>
    <cellStyle name="_MNT_PMP(VPD)_GPS OTHER 2" xfId="0"/>
    <cellStyle name="_MNT_PMP(VPD)_GPS OTHER 3" xfId="0"/>
    <cellStyle name="_MNT_PMP(VPD)_GPS OTHER 4" xfId="0"/>
    <cellStyle name="_MNT_PMP(VPD)_GPS OTHER 4 2" xfId="0"/>
    <cellStyle name="_MNT_PMP(VPD)_GPS OTHER_By Region" xfId="0"/>
    <cellStyle name="_MNT_PMP(VPD)_GPS OTHER_CORP SG&amp;A" xfId="0"/>
    <cellStyle name="_MNT_PMP(VPD)_GPS OTHER_LCD" xfId="0"/>
    <cellStyle name="_MNT_PMP(VPD)_GPS OTHER_PJ" xfId="0"/>
    <cellStyle name="_MNT_PMP(VPD)_LCD" xfId="0"/>
    <cellStyle name="_MNT_PMP(VPD)_LCD 2" xfId="0"/>
    <cellStyle name="_MNT_PMP(VPD)_LCD 3" xfId="0"/>
    <cellStyle name="_MNT_PMP(VPD)_LCD 4" xfId="0"/>
    <cellStyle name="_MNT_PMP(VPD)_LCD_By Region" xfId="0"/>
    <cellStyle name="_MNT_PMP(VPD)_LCD_CORP SG&amp;A" xfId="0"/>
    <cellStyle name="_MNT_PMP(VPD)_LCD_LCD" xfId="0"/>
    <cellStyle name="_MNT_PMP(VPD)_LCD_PJ" xfId="0"/>
    <cellStyle name="_MNT_PMP(VPD)_PC Products" xfId="0"/>
    <cellStyle name="_MNT_PMP(VPD)_PC Products 2" xfId="0"/>
    <cellStyle name="_MNT_PMP(VPD)_PC Products 3" xfId="0"/>
    <cellStyle name="_MNT_PMP(VPD)_PC Products 4" xfId="0"/>
    <cellStyle name="_MNT_PMP(VPD)_PC Products 4 2" xfId="0"/>
    <cellStyle name="_MNT_PMP(VPD)_PC Products_By Region" xfId="0"/>
    <cellStyle name="_MNT_PMP(VPD)_PC Products_CORP SG&amp;A" xfId="0"/>
    <cellStyle name="_MNT_PMP(VPD)_PC Products_LCD" xfId="0"/>
    <cellStyle name="_MNT_PMP(VPD)_PC Products_PJ" xfId="0"/>
    <cellStyle name="_MNT_PMP(VPD)_VSA 111014" xfId="0"/>
    <cellStyle name="_MNT_PMP(VPD)_VSA 111014 2" xfId="0"/>
    <cellStyle name="_MNT_PMP(VPD)_VSA 111014 3" xfId="0"/>
    <cellStyle name="_MNT_PMP(VPD)_VSA 111014 4" xfId="0"/>
    <cellStyle name="_MNT_PMP(VPD)_VSA 111014 4 2" xfId="0"/>
    <cellStyle name="_MNT_PMP(VPD)_VSA 111014_By Region" xfId="0"/>
    <cellStyle name="_MNT_PMP(VPD)_VSA 111014_CORP SG&amp;A" xfId="0"/>
    <cellStyle name="_MNT_PMP(VPD)_VSA 111014_LCD" xfId="0"/>
    <cellStyle name="_MNT_PMP(VPD)_VSA 111014_PJ" xfId="0"/>
    <cellStyle name="_MNT_PMP(VPD)_VSA Roll-Up (LW)" xfId="0"/>
    <cellStyle name="_MNT_PMP(VPD)_VSA Roll-Up (LW) 2" xfId="0"/>
    <cellStyle name="_MNT_PMP(VPD)_VSA Roll-Up (LW) 3" xfId="0"/>
    <cellStyle name="_MNT_PMP(VPD)_VSA Roll-Up (LW) 4" xfId="0"/>
    <cellStyle name="_MNT_PMP(VPD)_VSA Roll-Up (LW) 4 2" xfId="0"/>
    <cellStyle name="_MNT_PMP(VPD)_VSA Roll-Up (LW)_By Region" xfId="0"/>
    <cellStyle name="_MNT_PMP(VPD)_VSA Roll-Up (LW)_CORP SG&amp;A" xfId="0"/>
    <cellStyle name="_MNT_PMP(VPD)_VSA Roll-Up (LW)_LCD" xfId="0"/>
    <cellStyle name="_MNT_PMP(VPD)_VSA Roll-Up (LW)_PJ" xfId="0"/>
    <cellStyle name="_MNT_Pocket TV" xfId="0"/>
    <cellStyle name="_MNT_Pocket TV 2" xfId="0"/>
    <cellStyle name="_MNT_Pocket TV 3" xfId="0"/>
    <cellStyle name="_MNT_Pocket TV 4" xfId="0"/>
    <cellStyle name="_MNT_Pocket TV_By Region" xfId="0"/>
    <cellStyle name="_MNT_Pocket TV_CORP SG&amp;A" xfId="0"/>
    <cellStyle name="_MNT_Pocket TV_Digitizer" xfId="0"/>
    <cellStyle name="_MNT_Pocket TV_GPS OTHER" xfId="0"/>
    <cellStyle name="_MNT_Pocket TV_GPS OTHER 2" xfId="0"/>
    <cellStyle name="_MNT_Pocket TV_GPS OTHER 3" xfId="0"/>
    <cellStyle name="_MNT_Pocket TV_GPS OTHER 4" xfId="0"/>
    <cellStyle name="_MNT_Pocket TV_GPS OTHER 4 2" xfId="0"/>
    <cellStyle name="_MNT_Pocket TV_GPS OTHER_By Region" xfId="0"/>
    <cellStyle name="_MNT_Pocket TV_GPS OTHER_CORP SG&amp;A" xfId="0"/>
    <cellStyle name="_MNT_Pocket TV_GPS OTHER_LCD" xfId="0"/>
    <cellStyle name="_MNT_Pocket TV_GPS OTHER_PJ" xfId="0"/>
    <cellStyle name="_MNT_Pocket TV_LCD" xfId="0"/>
    <cellStyle name="_MNT_Pocket TV_LCD 2" xfId="0"/>
    <cellStyle name="_MNT_Pocket TV_LCD 3" xfId="0"/>
    <cellStyle name="_MNT_Pocket TV_LCD 4" xfId="0"/>
    <cellStyle name="_MNT_Pocket TV_LCD_By Region" xfId="0"/>
    <cellStyle name="_MNT_Pocket TV_LCD_CORP SG&amp;A" xfId="0"/>
    <cellStyle name="_MNT_Pocket TV_LCD_LCD" xfId="0"/>
    <cellStyle name="_MNT_Pocket TV_LCD_PJ" xfId="0"/>
    <cellStyle name="_MNT_Pocket TV_PC Products" xfId="0"/>
    <cellStyle name="_MNT_Pocket TV_PC Products 2" xfId="0"/>
    <cellStyle name="_MNT_Pocket TV_PC Products 3" xfId="0"/>
    <cellStyle name="_MNT_Pocket TV_PC Products 4" xfId="0"/>
    <cellStyle name="_MNT_Pocket TV_PC Products 4 2" xfId="0"/>
    <cellStyle name="_MNT_Pocket TV_PC Products_By Region" xfId="0"/>
    <cellStyle name="_MNT_Pocket TV_PC Products_CORP SG&amp;A" xfId="0"/>
    <cellStyle name="_MNT_Pocket TV_PC Products_LCD" xfId="0"/>
    <cellStyle name="_MNT_Pocket TV_PC Products_PJ" xfId="0"/>
    <cellStyle name="_MNT_Pocket TV_VSA 111014" xfId="0"/>
    <cellStyle name="_MNT_Pocket TV_VSA 111014 2" xfId="0"/>
    <cellStyle name="_MNT_Pocket TV_VSA 111014 3" xfId="0"/>
    <cellStyle name="_MNT_Pocket TV_VSA 111014 4" xfId="0"/>
    <cellStyle name="_MNT_Pocket TV_VSA 111014 4 2" xfId="0"/>
    <cellStyle name="_MNT_Pocket TV_VSA 111014_By Region" xfId="0"/>
    <cellStyle name="_MNT_Pocket TV_VSA 111014_CORP SG&amp;A" xfId="0"/>
    <cellStyle name="_MNT_Pocket TV_VSA 111014_LCD" xfId="0"/>
    <cellStyle name="_MNT_Pocket TV_VSA 111014_PJ" xfId="0"/>
    <cellStyle name="_MNT_Pocket TV_VSA Roll-Up (LW)" xfId="0"/>
    <cellStyle name="_MNT_Pocket TV_VSA Roll-Up (LW) 2" xfId="0"/>
    <cellStyle name="_MNT_Pocket TV_VSA Roll-Up (LW) 3" xfId="0"/>
    <cellStyle name="_MNT_Pocket TV_VSA Roll-Up (LW) 4" xfId="0"/>
    <cellStyle name="_MNT_Pocket TV_VSA Roll-Up (LW) 4 2" xfId="0"/>
    <cellStyle name="_MNT_Pocket TV_VSA Roll-Up (LW)_By Region" xfId="0"/>
    <cellStyle name="_MNT_Pocket TV_VSA Roll-Up (LW)_CORP SG&amp;A" xfId="0"/>
    <cellStyle name="_MNT_Pocket TV_VSA Roll-Up (LW)_LCD" xfId="0"/>
    <cellStyle name="_MNT_Pocket TV_VSA Roll-Up (LW)_PJ" xfId="0"/>
    <cellStyle name="_MNT_Pocket_TV" xfId="0"/>
    <cellStyle name="_MNT_Pocket_TV 2" xfId="0"/>
    <cellStyle name="_MNT_Pocket_TV 3" xfId="0"/>
    <cellStyle name="_MNT_Pocket_TV 4" xfId="0"/>
    <cellStyle name="_MNT_Pocket_TV_By Region" xfId="0"/>
    <cellStyle name="_MNT_Pocket_TV_CORP SG&amp;A" xfId="0"/>
    <cellStyle name="_MNT_Pocket_TV_Digitizer" xfId="0"/>
    <cellStyle name="_MNT_Pocket_TV_GPS OTHER" xfId="0"/>
    <cellStyle name="_MNT_Pocket_TV_GPS OTHER 2" xfId="0"/>
    <cellStyle name="_MNT_Pocket_TV_GPS OTHER 3" xfId="0"/>
    <cellStyle name="_MNT_Pocket_TV_GPS OTHER 4" xfId="0"/>
    <cellStyle name="_MNT_Pocket_TV_GPS OTHER 4 2" xfId="0"/>
    <cellStyle name="_MNT_Pocket_TV_GPS OTHER_By Region" xfId="0"/>
    <cellStyle name="_MNT_Pocket_TV_GPS OTHER_CORP SG&amp;A" xfId="0"/>
    <cellStyle name="_MNT_Pocket_TV_GPS OTHER_LCD" xfId="0"/>
    <cellStyle name="_MNT_Pocket_TV_GPS OTHER_PJ" xfId="0"/>
    <cellStyle name="_MNT_Pocket_TV_LCD" xfId="0"/>
    <cellStyle name="_MNT_Pocket_TV_LCD 2" xfId="0"/>
    <cellStyle name="_MNT_Pocket_TV_LCD 3" xfId="0"/>
    <cellStyle name="_MNT_Pocket_TV_LCD 4" xfId="0"/>
    <cellStyle name="_MNT_Pocket_TV_LCD_By Region" xfId="0"/>
    <cellStyle name="_MNT_Pocket_TV_LCD_CORP SG&amp;A" xfId="0"/>
    <cellStyle name="_MNT_Pocket_TV_LCD_LCD" xfId="0"/>
    <cellStyle name="_MNT_Pocket_TV_LCD_PJ" xfId="0"/>
    <cellStyle name="_MNT_Pocket_TV_PC Products" xfId="0"/>
    <cellStyle name="_MNT_Pocket_TV_PC Products 2" xfId="0"/>
    <cellStyle name="_MNT_Pocket_TV_PC Products 3" xfId="0"/>
    <cellStyle name="_MNT_Pocket_TV_PC Products 4" xfId="0"/>
    <cellStyle name="_MNT_Pocket_TV_PC Products 4 2" xfId="0"/>
    <cellStyle name="_MNT_Pocket_TV_PC Products_By Region" xfId="0"/>
    <cellStyle name="_MNT_Pocket_TV_PC Products_CORP SG&amp;A" xfId="0"/>
    <cellStyle name="_MNT_Pocket_TV_PC Products_LCD" xfId="0"/>
    <cellStyle name="_MNT_Pocket_TV_PC Products_PJ" xfId="0"/>
    <cellStyle name="_MNT_Pocket_TV_VSA 111014" xfId="0"/>
    <cellStyle name="_MNT_Pocket_TV_VSA 111014 2" xfId="0"/>
    <cellStyle name="_MNT_Pocket_TV_VSA 111014 3" xfId="0"/>
    <cellStyle name="_MNT_Pocket_TV_VSA 111014 4" xfId="0"/>
    <cellStyle name="_MNT_Pocket_TV_VSA 111014 4 2" xfId="0"/>
    <cellStyle name="_MNT_Pocket_TV_VSA 111014_By Region" xfId="0"/>
    <cellStyle name="_MNT_Pocket_TV_VSA 111014_CORP SG&amp;A" xfId="0"/>
    <cellStyle name="_MNT_Pocket_TV_VSA 111014_LCD" xfId="0"/>
    <cellStyle name="_MNT_Pocket_TV_VSA 111014_PJ" xfId="0"/>
    <cellStyle name="_MNT_Pocket_TV_VSA Roll-Up (LW)" xfId="0"/>
    <cellStyle name="_MNT_Pocket_TV_VSA Roll-Up (LW) 2" xfId="0"/>
    <cellStyle name="_MNT_Pocket_TV_VSA Roll-Up (LW) 3" xfId="0"/>
    <cellStyle name="_MNT_Pocket_TV_VSA Roll-Up (LW) 4" xfId="0"/>
    <cellStyle name="_MNT_Pocket_TV_VSA Roll-Up (LW) 4 2" xfId="0"/>
    <cellStyle name="_MNT_Pocket_TV_VSA Roll-Up (LW)_By Region" xfId="0"/>
    <cellStyle name="_MNT_Pocket_TV_VSA Roll-Up (LW)_CORP SG&amp;A" xfId="0"/>
    <cellStyle name="_MNT_Pocket_TV_VSA Roll-Up (LW)_LCD" xfId="0"/>
    <cellStyle name="_MNT_Pocket_TV_VSA Roll-Up (LW)_PJ" xfId="0"/>
    <cellStyle name="_MNT_TV" xfId="0"/>
    <cellStyle name="_MNT_TV 2" xfId="0"/>
    <cellStyle name="_MNT_TV 3" xfId="0"/>
    <cellStyle name="_MNT_TV 4" xfId="0"/>
    <cellStyle name="_MNT_TV_By Region" xfId="0"/>
    <cellStyle name="_MNT_TV_CORP SG&amp;A" xfId="0"/>
    <cellStyle name="_MNT_TV_Digitizer" xfId="0"/>
    <cellStyle name="_MNT_TV_GPS OTHER" xfId="0"/>
    <cellStyle name="_MNT_TV_GPS OTHER 2" xfId="0"/>
    <cellStyle name="_MNT_TV_GPS OTHER 3" xfId="0"/>
    <cellStyle name="_MNT_TV_GPS OTHER 4" xfId="0"/>
    <cellStyle name="_MNT_TV_GPS OTHER 4 2" xfId="0"/>
    <cellStyle name="_MNT_TV_GPS OTHER_By Region" xfId="0"/>
    <cellStyle name="_MNT_TV_GPS OTHER_CORP SG&amp;A" xfId="0"/>
    <cellStyle name="_MNT_TV_GPS OTHER_LCD" xfId="0"/>
    <cellStyle name="_MNT_TV_GPS OTHER_PJ" xfId="0"/>
    <cellStyle name="_MNT_TV_LCD" xfId="0"/>
    <cellStyle name="_MNT_TV_LCD 2" xfId="0"/>
    <cellStyle name="_MNT_TV_LCD 3" xfId="0"/>
    <cellStyle name="_MNT_TV_LCD 4" xfId="0"/>
    <cellStyle name="_MNT_TV_LCD_By Region" xfId="0"/>
    <cellStyle name="_MNT_TV_LCD_CORP SG&amp;A" xfId="0"/>
    <cellStyle name="_MNT_TV_LCD_LCD" xfId="0"/>
    <cellStyle name="_MNT_TV_LCD_PJ" xfId="0"/>
    <cellStyle name="_MNT_TV_PC Products" xfId="0"/>
    <cellStyle name="_MNT_TV_PC Products 2" xfId="0"/>
    <cellStyle name="_MNT_TV_PC Products 3" xfId="0"/>
    <cellStyle name="_MNT_TV_PC Products 4" xfId="0"/>
    <cellStyle name="_MNT_TV_PC Products 4 2" xfId="0"/>
    <cellStyle name="_MNT_TV_PC Products_By Region" xfId="0"/>
    <cellStyle name="_MNT_TV_PC Products_CORP SG&amp;A" xfId="0"/>
    <cellStyle name="_MNT_TV_PC Products_LCD" xfId="0"/>
    <cellStyle name="_MNT_TV_PC Products_PJ" xfId="0"/>
    <cellStyle name="_MNT_TV_VSA 111014" xfId="0"/>
    <cellStyle name="_MNT_TV_VSA 111014 2" xfId="0"/>
    <cellStyle name="_MNT_TV_VSA 111014 3" xfId="0"/>
    <cellStyle name="_MNT_TV_VSA 111014 4" xfId="0"/>
    <cellStyle name="_MNT_TV_VSA 111014 4 2" xfId="0"/>
    <cellStyle name="_MNT_TV_VSA 111014_By Region" xfId="0"/>
    <cellStyle name="_MNT_TV_VSA 111014_CORP SG&amp;A" xfId="0"/>
    <cellStyle name="_MNT_TV_VSA 111014_LCD" xfId="0"/>
    <cellStyle name="_MNT_TV_VSA 111014_PJ" xfId="0"/>
    <cellStyle name="_MNT_TV_VSA Roll-Up (LW)" xfId="0"/>
    <cellStyle name="_MNT_TV_VSA Roll-Up (LW) 2" xfId="0"/>
    <cellStyle name="_MNT_TV_VSA Roll-Up (LW) 3" xfId="0"/>
    <cellStyle name="_MNT_TV_VSA Roll-Up (LW) 4" xfId="0"/>
    <cellStyle name="_MNT_TV_VSA Roll-Up (LW) 4 2" xfId="0"/>
    <cellStyle name="_MNT_TV_VSA Roll-Up (LW)_By Region" xfId="0"/>
    <cellStyle name="_MNT_TV_VSA Roll-Up (LW)_CORP SG&amp;A" xfId="0"/>
    <cellStyle name="_MNT_TV_VSA Roll-Up (LW)_LCD" xfId="0"/>
    <cellStyle name="_MNT_TV_VSA Roll-Up (LW)_PJ" xfId="0"/>
    <cellStyle name="_MNT_VD" xfId="0"/>
    <cellStyle name="_MNT_VD 2" xfId="0"/>
    <cellStyle name="_MNT_VD 3" xfId="0"/>
    <cellStyle name="_MNT_VD 4" xfId="0"/>
    <cellStyle name="_MNT_VD_By Region" xfId="0"/>
    <cellStyle name="_MNT_VD_CORP SG&amp;A" xfId="0"/>
    <cellStyle name="_MNT_VD_Digitizer" xfId="0"/>
    <cellStyle name="_MNT_VD_GPS OTHER" xfId="0"/>
    <cellStyle name="_MNT_VD_GPS OTHER 2" xfId="0"/>
    <cellStyle name="_MNT_VD_GPS OTHER 3" xfId="0"/>
    <cellStyle name="_MNT_VD_GPS OTHER 4" xfId="0"/>
    <cellStyle name="_MNT_VD_GPS OTHER 4 2" xfId="0"/>
    <cellStyle name="_MNT_VD_GPS OTHER_By Region" xfId="0"/>
    <cellStyle name="_MNT_VD_GPS OTHER_CORP SG&amp;A" xfId="0"/>
    <cellStyle name="_MNT_VD_GPS OTHER_LCD" xfId="0"/>
    <cellStyle name="_MNT_VD_GPS OTHER_PJ" xfId="0"/>
    <cellStyle name="_MNT_VD_LCD" xfId="0"/>
    <cellStyle name="_MNT_VD_LCD 2" xfId="0"/>
    <cellStyle name="_MNT_VD_LCD 3" xfId="0"/>
    <cellStyle name="_MNT_VD_LCD 4" xfId="0"/>
    <cellStyle name="_MNT_VD_LCD_By Region" xfId="0"/>
    <cellStyle name="_MNT_VD_LCD_CORP SG&amp;A" xfId="0"/>
    <cellStyle name="_MNT_VD_LCD_LCD" xfId="0"/>
    <cellStyle name="_MNT_VD_LCD_PJ" xfId="0"/>
    <cellStyle name="_MNT_VD_PC Products" xfId="0"/>
    <cellStyle name="_MNT_VD_PC Products 2" xfId="0"/>
    <cellStyle name="_MNT_VD_PC Products 3" xfId="0"/>
    <cellStyle name="_MNT_VD_PC Products 4" xfId="0"/>
    <cellStyle name="_MNT_VD_PC Products 4 2" xfId="0"/>
    <cellStyle name="_MNT_VD_PC Products_By Region" xfId="0"/>
    <cellStyle name="_MNT_VD_PC Products_CORP SG&amp;A" xfId="0"/>
    <cellStyle name="_MNT_VD_PC Products_LCD" xfId="0"/>
    <cellStyle name="_MNT_VD_PC Products_PJ" xfId="0"/>
    <cellStyle name="_MNT_VD_VSA 111014" xfId="0"/>
    <cellStyle name="_MNT_VD_VSA 111014 2" xfId="0"/>
    <cellStyle name="_MNT_VD_VSA 111014 3" xfId="0"/>
    <cellStyle name="_MNT_VD_VSA 111014 4" xfId="0"/>
    <cellStyle name="_MNT_VD_VSA 111014 4 2" xfId="0"/>
    <cellStyle name="_MNT_VD_VSA 111014_By Region" xfId="0"/>
    <cellStyle name="_MNT_VD_VSA 111014_CORP SG&amp;A" xfId="0"/>
    <cellStyle name="_MNT_VD_VSA 111014_LCD" xfId="0"/>
    <cellStyle name="_MNT_VD_VSA 111014_PJ" xfId="0"/>
    <cellStyle name="_MNT_VD_VSA Roll-Up (LW)" xfId="0"/>
    <cellStyle name="_MNT_VD_VSA Roll-Up (LW) 2" xfId="0"/>
    <cellStyle name="_MNT_VD_VSA Roll-Up (LW) 3" xfId="0"/>
    <cellStyle name="_MNT_VD_VSA Roll-Up (LW) 4" xfId="0"/>
    <cellStyle name="_MNT_VD_VSA Roll-Up (LW) 4 2" xfId="0"/>
    <cellStyle name="_MNT_VD_VSA Roll-Up (LW)_By Region" xfId="0"/>
    <cellStyle name="_MNT_VD_VSA Roll-Up (LW)_CORP SG&amp;A" xfId="0"/>
    <cellStyle name="_MNT_VD_VSA Roll-Up (LW)_LCD" xfId="0"/>
    <cellStyle name="_MNT_VD_VSA Roll-Up (LW)_PJ" xfId="0"/>
    <cellStyle name="_MNT_VSA 111014" xfId="0"/>
    <cellStyle name="_MNT_VSA 111014 2" xfId="0"/>
    <cellStyle name="_MNT_VSA 111014 3" xfId="0"/>
    <cellStyle name="_MNT_VSA 111014 4" xfId="0"/>
    <cellStyle name="_MNT_VSA 111014 4 2" xfId="0"/>
    <cellStyle name="_MNT_VSA 111014_By Region" xfId="0"/>
    <cellStyle name="_MNT_VSA 111014_CORP SG&amp;A" xfId="0"/>
    <cellStyle name="_MNT_VSA 111014_LCD" xfId="0"/>
    <cellStyle name="_MNT_VSA 111014_PJ" xfId="0"/>
    <cellStyle name="_MNT_VSA Roll-Up (LW)" xfId="0"/>
    <cellStyle name="_MNT_VSA Roll-Up (LW) 2" xfId="0"/>
    <cellStyle name="_MNT_VSA Roll-Up (LW) 3" xfId="0"/>
    <cellStyle name="_MNT_VSA Roll-Up (LW) 4" xfId="0"/>
    <cellStyle name="_MNT_VSA Roll-Up (LW) 4 2" xfId="0"/>
    <cellStyle name="_MNT_VSA Roll-Up (LW)_By Region" xfId="0"/>
    <cellStyle name="_MNT_VSA Roll-Up (LW)_CORP SG&amp;A" xfId="0"/>
    <cellStyle name="_MNT_VSA Roll-Up (LW)_LCD" xfId="0"/>
    <cellStyle name="_MNT_VSA Roll-Up (LW)_PJ" xfId="0"/>
    <cellStyle name="_MNT_VSE 2011 Budget" xfId="0"/>
    <cellStyle name="_MNT_VSE 2011 Budget 2" xfId="0"/>
    <cellStyle name="_MNT_VSE 2011 Budget 3" xfId="0"/>
    <cellStyle name="_MNT_VSE 2011 Budget 4" xfId="0"/>
    <cellStyle name="_MNT_VSE 2011 Budget_By Region" xfId="0"/>
    <cellStyle name="_MNT_VSE 2011 Budget_CORP SG&amp;A" xfId="0"/>
    <cellStyle name="_MNT_VSE 2011 Budget_Digitizer" xfId="0"/>
    <cellStyle name="_MNT_VSE 2011 Budget_GPS OTHER" xfId="0"/>
    <cellStyle name="_MNT_VSE 2011 Budget_GPS OTHER 2" xfId="0"/>
    <cellStyle name="_MNT_VSE 2011 Budget_GPS OTHER 3" xfId="0"/>
    <cellStyle name="_MNT_VSE 2011 Budget_GPS OTHER 4" xfId="0"/>
    <cellStyle name="_MNT_VSE 2011 Budget_GPS OTHER 4 2" xfId="0"/>
    <cellStyle name="_MNT_VSE 2011 Budget_GPS OTHER_By Region" xfId="0"/>
    <cellStyle name="_MNT_VSE 2011 Budget_GPS OTHER_CORP SG&amp;A" xfId="0"/>
    <cellStyle name="_MNT_VSE 2011 Budget_GPS OTHER_LCD" xfId="0"/>
    <cellStyle name="_MNT_VSE 2011 Budget_GPS OTHER_PJ" xfId="0"/>
    <cellStyle name="_MNT_VSE 2011 Budget_LCD" xfId="0"/>
    <cellStyle name="_MNT_VSE 2011 Budget_LCD 2" xfId="0"/>
    <cellStyle name="_MNT_VSE 2011 Budget_LCD 3" xfId="0"/>
    <cellStyle name="_MNT_VSE 2011 Budget_LCD 4" xfId="0"/>
    <cellStyle name="_MNT_VSE 2011 Budget_LCD_By Region" xfId="0"/>
    <cellStyle name="_MNT_VSE 2011 Budget_LCD_CORP SG&amp;A" xfId="0"/>
    <cellStyle name="_MNT_VSE 2011 Budget_LCD_LCD" xfId="0"/>
    <cellStyle name="_MNT_VSE 2011 Budget_LCD_PJ" xfId="0"/>
    <cellStyle name="_MNT_VSE 2011 Budget_PC Products" xfId="0"/>
    <cellStyle name="_MNT_VSE 2011 Budget_PC Products 2" xfId="0"/>
    <cellStyle name="_MNT_VSE 2011 Budget_PC Products 3" xfId="0"/>
    <cellStyle name="_MNT_VSE 2011 Budget_PC Products 4" xfId="0"/>
    <cellStyle name="_MNT_VSE 2011 Budget_PC Products 4 2" xfId="0"/>
    <cellStyle name="_MNT_VSE 2011 Budget_PC Products_By Region" xfId="0"/>
    <cellStyle name="_MNT_VSE 2011 Budget_PC Products_CORP SG&amp;A" xfId="0"/>
    <cellStyle name="_MNT_VSE 2011 Budget_PC Products_LCD" xfId="0"/>
    <cellStyle name="_MNT_VSE 2011 Budget_PC Products_PJ" xfId="0"/>
    <cellStyle name="_MNT_VSE 2011 Budget_VSA 111014" xfId="0"/>
    <cellStyle name="_MNT_VSE 2011 Budget_VSA 111014 2" xfId="0"/>
    <cellStyle name="_MNT_VSE 2011 Budget_VSA 111014 3" xfId="0"/>
    <cellStyle name="_MNT_VSE 2011 Budget_VSA 111014 4" xfId="0"/>
    <cellStyle name="_MNT_VSE 2011 Budget_VSA 111014 4 2" xfId="0"/>
    <cellStyle name="_MNT_VSE 2011 Budget_VSA 111014_By Region" xfId="0"/>
    <cellStyle name="_MNT_VSE 2011 Budget_VSA 111014_CORP SG&amp;A" xfId="0"/>
    <cellStyle name="_MNT_VSE 2011 Budget_VSA 111014_LCD" xfId="0"/>
    <cellStyle name="_MNT_VSE 2011 Budget_VSA 111014_PJ" xfId="0"/>
    <cellStyle name="_MNT_VSE 2011 Budget_VSA Roll-Up (LW)" xfId="0"/>
    <cellStyle name="_MNT_VSE 2011 Budget_VSA Roll-Up (LW) 2" xfId="0"/>
    <cellStyle name="_MNT_VSE 2011 Budget_VSA Roll-Up (LW) 3" xfId="0"/>
    <cellStyle name="_MNT_VSE 2011 Budget_VSA Roll-Up (LW) 4" xfId="0"/>
    <cellStyle name="_MNT_VSE 2011 Budget_VSA Roll-Up (LW) 4 2" xfId="0"/>
    <cellStyle name="_MNT_VSE 2011 Budget_VSA Roll-Up (LW)_By Region" xfId="0"/>
    <cellStyle name="_MNT_VSE 2011 Budget_VSA Roll-Up (LW)_CORP SG&amp;A" xfId="0"/>
    <cellStyle name="_MNT_VSE 2011 Budget_VSA Roll-Up (LW)_LCD" xfId="0"/>
    <cellStyle name="_MNT_VSE 2011 Budget_VSA Roll-Up (LW)_PJ" xfId="0"/>
    <cellStyle name="_MNT_VSE 2H  WFP review (Spring Global meeting)-conservative Adam working v3" xfId="0"/>
    <cellStyle name="_MNT_VSE 2H  WFP review (Spring Global meeting)-conservative Adam working v3 2" xfId="0"/>
    <cellStyle name="_MNT_VSE 2H  WFP review (Spring Global meeting)-conservative Adam working v3 3" xfId="0"/>
    <cellStyle name="_MNT_VSE 2H Rebalance 110712" xfId="0"/>
    <cellStyle name="_MNT_VSE 2H Rebalance 110712 2" xfId="0"/>
    <cellStyle name="_MNT_VSE 2H Rebalance 110712 3" xfId="0"/>
    <cellStyle name="_MNT_VSE 2H Rebalance 110712 4" xfId="0"/>
    <cellStyle name="_MNT_VSE 2H Rebalance 110712_By Region" xfId="0"/>
    <cellStyle name="_MNT_VSE 2H Rebalance 110712_CORP SG&amp;A" xfId="0"/>
    <cellStyle name="_MNT_VSE WFP 101203" xfId="0"/>
    <cellStyle name="_MNT_VSE WFP 101203 2" xfId="0"/>
    <cellStyle name="_MNT_VSE WFP 101203 3" xfId="0"/>
    <cellStyle name="_MNT_VSE WFP 101203 4" xfId="0"/>
    <cellStyle name="_MNT_VSE WFP 101203_By Region" xfId="0"/>
    <cellStyle name="_MNT_VSE WFP 101203_CORP SG&amp;A" xfId="0"/>
    <cellStyle name="_MNT_VSE WFP 110311" xfId="0"/>
    <cellStyle name="_MNT_VSE WFP 110311 2" xfId="0"/>
    <cellStyle name="_MNT_VSE WFP 110311 3" xfId="0"/>
    <cellStyle name="_MNT_VSE WFP 110311 4" xfId="0"/>
    <cellStyle name="_MNT_VSE WFP 110311_By Region" xfId="0"/>
    <cellStyle name="_MNT_VSE WFP 110311_CORP SG&amp;A" xfId="0"/>
    <cellStyle name="_MNT_VSE WFP 110415" xfId="0"/>
    <cellStyle name="_MNT_VSE WFP 110415 2" xfId="0"/>
    <cellStyle name="_MNT_VSE WFP 110415 3" xfId="0"/>
    <cellStyle name="_MNT_VSE WFP 110415 4" xfId="0"/>
    <cellStyle name="_MNT_VSE WFP 110415_By Region" xfId="0"/>
    <cellStyle name="_MNT_VSE WFP 110415_CORP SG&amp;A" xfId="0"/>
    <cellStyle name="_MNT_VSE WFP_100409" xfId="0"/>
    <cellStyle name="_MNT_VSE WFP_100409 2" xfId="0"/>
    <cellStyle name="_MNT_VSE WFP_100409 3" xfId="0"/>
    <cellStyle name="_MNT_VSE WFP_100409 4" xfId="0"/>
    <cellStyle name="_MNT_VSE WFP_100409_By Region" xfId="0"/>
    <cellStyle name="_MNT_VSE WFP_100409_CORP SG&amp;A" xfId="0"/>
    <cellStyle name="_MNT_VSE WFP_100409_Digitizer" xfId="0"/>
    <cellStyle name="_MNT_VSE WFP_100409_GPS OTHER" xfId="0"/>
    <cellStyle name="_MNT_VSE WFP_100409_GPS OTHER 2" xfId="0"/>
    <cellStyle name="_MNT_VSE WFP_100409_GPS OTHER 3" xfId="0"/>
    <cellStyle name="_MNT_VSE WFP_100409_GPS OTHER 4" xfId="0"/>
    <cellStyle name="_MNT_VSE WFP_100409_GPS OTHER 4 2" xfId="0"/>
    <cellStyle name="_MNT_VSE WFP_100409_GPS OTHER_By Region" xfId="0"/>
    <cellStyle name="_MNT_VSE WFP_100409_GPS OTHER_CORP SG&amp;A" xfId="0"/>
    <cellStyle name="_MNT_VSE WFP_100409_GPS OTHER_LCD" xfId="0"/>
    <cellStyle name="_MNT_VSE WFP_100409_GPS OTHER_PJ" xfId="0"/>
    <cellStyle name="_MNT_VSE WFP_100409_LCD" xfId="0"/>
    <cellStyle name="_MNT_VSE WFP_100409_LCD 2" xfId="0"/>
    <cellStyle name="_MNT_VSE WFP_100409_LCD 3" xfId="0"/>
    <cellStyle name="_MNT_VSE WFP_100409_LCD 4" xfId="0"/>
    <cellStyle name="_MNT_VSE WFP_100409_LCD_By Region" xfId="0"/>
    <cellStyle name="_MNT_VSE WFP_100409_LCD_CORP SG&amp;A" xfId="0"/>
    <cellStyle name="_MNT_VSE WFP_100409_LCD_LCD" xfId="0"/>
    <cellStyle name="_MNT_VSE WFP_100409_LCD_PJ" xfId="0"/>
    <cellStyle name="_MNT_VSE WFP_100409_PC Products" xfId="0"/>
    <cellStyle name="_MNT_VSE WFP_100409_PC Products 2" xfId="0"/>
    <cellStyle name="_MNT_VSE WFP_100409_PC Products 3" xfId="0"/>
    <cellStyle name="_MNT_VSE WFP_100409_PC Products 4" xfId="0"/>
    <cellStyle name="_MNT_VSE WFP_100409_PC Products 4 2" xfId="0"/>
    <cellStyle name="_MNT_VSE WFP_100409_PC Products_By Region" xfId="0"/>
    <cellStyle name="_MNT_VSE WFP_100409_PC Products_CORP SG&amp;A" xfId="0"/>
    <cellStyle name="_MNT_VSE WFP_100409_PC Products_LCD" xfId="0"/>
    <cellStyle name="_MNT_VSE WFP_100409_PC Products_PJ" xfId="0"/>
    <cellStyle name="_MNT_VSE WFP_100409_VSA 111014" xfId="0"/>
    <cellStyle name="_MNT_VSE WFP_100409_VSA 111014 2" xfId="0"/>
    <cellStyle name="_MNT_VSE WFP_100409_VSA 111014 3" xfId="0"/>
    <cellStyle name="_MNT_VSE WFP_100409_VSA 111014 4" xfId="0"/>
    <cellStyle name="_MNT_VSE WFP_100409_VSA 111014 4 2" xfId="0"/>
    <cellStyle name="_MNT_VSE WFP_100409_VSA 111014_By Region" xfId="0"/>
    <cellStyle name="_MNT_VSE WFP_100409_VSA 111014_CORP SG&amp;A" xfId="0"/>
    <cellStyle name="_MNT_VSE WFP_100409_VSA 111014_LCD" xfId="0"/>
    <cellStyle name="_MNT_VSE WFP_100409_VSA 111014_PJ" xfId="0"/>
    <cellStyle name="_MNT_VSE WFP_100409_VSA Roll-Up (LW)" xfId="0"/>
    <cellStyle name="_MNT_VSE WFP_100409_VSA Roll-Up (LW) 2" xfId="0"/>
    <cellStyle name="_MNT_VSE WFP_100409_VSA Roll-Up (LW) 3" xfId="0"/>
    <cellStyle name="_MNT_VSE WFP_100409_VSA Roll-Up (LW) 4" xfId="0"/>
    <cellStyle name="_MNT_VSE WFP_100409_VSA Roll-Up (LW) 4 2" xfId="0"/>
    <cellStyle name="_MNT_VSE WFP_100409_VSA Roll-Up (LW)_By Region" xfId="0"/>
    <cellStyle name="_MNT_VSE WFP_100409_VSA Roll-Up (LW)_CORP SG&amp;A" xfId="0"/>
    <cellStyle name="_MNT_VSE WFP_100409_VSA Roll-Up (LW)_LCD" xfId="0"/>
    <cellStyle name="_MNT_VSE WFP_100409_VSA Roll-Up (LW)_PJ" xfId="0"/>
    <cellStyle name="_MNT_VSE WFP_100421 v2" xfId="0"/>
    <cellStyle name="_MNT_VSE WFP_100421 v2 2" xfId="0"/>
    <cellStyle name="_MNT_VSE WFP_100421 v2 3" xfId="0"/>
    <cellStyle name="_MNT_VSE WFP_100421 v2 4" xfId="0"/>
    <cellStyle name="_MNT_VSE WFP_100421 v2_By Region" xfId="0"/>
    <cellStyle name="_MNT_VSE WFP_100421 v2_CORP SG&amp;A" xfId="0"/>
    <cellStyle name="_MNT_VSE WFP_100421 v2_Digitizer" xfId="0"/>
    <cellStyle name="_MNT_VSE WFP_100421 v2_GPS OTHER" xfId="0"/>
    <cellStyle name="_MNT_VSE WFP_100421 v2_GPS OTHER 2" xfId="0"/>
    <cellStyle name="_MNT_VSE WFP_100421 v2_GPS OTHER 3" xfId="0"/>
    <cellStyle name="_MNT_VSE WFP_100421 v2_GPS OTHER 4" xfId="0"/>
    <cellStyle name="_MNT_VSE WFP_100421 v2_GPS OTHER 4 2" xfId="0"/>
    <cellStyle name="_MNT_VSE WFP_100421 v2_GPS OTHER_By Region" xfId="0"/>
    <cellStyle name="_MNT_VSE WFP_100421 v2_GPS OTHER_CORP SG&amp;A" xfId="0"/>
    <cellStyle name="_MNT_VSE WFP_100421 v2_GPS OTHER_LCD" xfId="0"/>
    <cellStyle name="_MNT_VSE WFP_100421 v2_GPS OTHER_PJ" xfId="0"/>
    <cellStyle name="_MNT_VSE WFP_100421 v2_LCD" xfId="0"/>
    <cellStyle name="_MNT_VSE WFP_100421 v2_LCD 2" xfId="0"/>
    <cellStyle name="_MNT_VSE WFP_100421 v2_LCD 3" xfId="0"/>
    <cellStyle name="_MNT_VSE WFP_100421 v2_LCD 4" xfId="0"/>
    <cellStyle name="_MNT_VSE WFP_100421 v2_LCD_By Region" xfId="0"/>
    <cellStyle name="_MNT_VSE WFP_100421 v2_LCD_CORP SG&amp;A" xfId="0"/>
    <cellStyle name="_MNT_VSE WFP_100421 v2_LCD_LCD" xfId="0"/>
    <cellStyle name="_MNT_VSE WFP_100421 v2_LCD_PJ" xfId="0"/>
    <cellStyle name="_MNT_VSE WFP_100421 v2_PC Products" xfId="0"/>
    <cellStyle name="_MNT_VSE WFP_100421 v2_PC Products 2" xfId="0"/>
    <cellStyle name="_MNT_VSE WFP_100421 v2_PC Products 3" xfId="0"/>
    <cellStyle name="_MNT_VSE WFP_100421 v2_PC Products 4" xfId="0"/>
    <cellStyle name="_MNT_VSE WFP_100421 v2_PC Products 4 2" xfId="0"/>
    <cellStyle name="_MNT_VSE WFP_100421 v2_PC Products_By Region" xfId="0"/>
    <cellStyle name="_MNT_VSE WFP_100421 v2_PC Products_CORP SG&amp;A" xfId="0"/>
    <cellStyle name="_MNT_VSE WFP_100421 v2_PC Products_LCD" xfId="0"/>
    <cellStyle name="_MNT_VSE WFP_100421 v2_PC Products_PJ" xfId="0"/>
    <cellStyle name="_MNT_VSE WFP_100421 v2_VSA 111014" xfId="0"/>
    <cellStyle name="_MNT_VSE WFP_100421 v2_VSA 111014 2" xfId="0"/>
    <cellStyle name="_MNT_VSE WFP_100421 v2_VSA 111014 3" xfId="0"/>
    <cellStyle name="_MNT_VSE WFP_100421 v2_VSA 111014 4" xfId="0"/>
    <cellStyle name="_MNT_VSE WFP_100421 v2_VSA 111014 4 2" xfId="0"/>
    <cellStyle name="_MNT_VSE WFP_100421 v2_VSA 111014_By Region" xfId="0"/>
    <cellStyle name="_MNT_VSE WFP_100421 v2_VSA 111014_CORP SG&amp;A" xfId="0"/>
    <cellStyle name="_MNT_VSE WFP_100421 v2_VSA 111014_LCD" xfId="0"/>
    <cellStyle name="_MNT_VSE WFP_100421 v2_VSA 111014_PJ" xfId="0"/>
    <cellStyle name="_MNT_VSE WFP_100421 v2_VSA Roll-Up (LW)" xfId="0"/>
    <cellStyle name="_MNT_VSE WFP_100421 v2_VSA Roll-Up (LW) 2" xfId="0"/>
    <cellStyle name="_MNT_VSE WFP_100421 v2_VSA Roll-Up (LW) 3" xfId="0"/>
    <cellStyle name="_MNT_VSE WFP_100421 v2_VSA Roll-Up (LW) 4" xfId="0"/>
    <cellStyle name="_MNT_VSE WFP_100421 v2_VSA Roll-Up (LW) 4 2" xfId="0"/>
    <cellStyle name="_MNT_VSE WFP_100421 v2_VSA Roll-Up (LW)_By Region" xfId="0"/>
    <cellStyle name="_MNT_VSE WFP_100421 v2_VSA Roll-Up (LW)_CORP SG&amp;A" xfId="0"/>
    <cellStyle name="_MNT_VSE WFP_100421 v2_VSA Roll-Up (LW)_LCD" xfId="0"/>
    <cellStyle name="_MNT_VSE WFP_100421 v2_VSA Roll-Up (LW)_PJ" xfId="0"/>
    <cellStyle name="_MNT_VSE WFP_100507" xfId="0"/>
    <cellStyle name="_MNT_VSE WFP_100507 2" xfId="0"/>
    <cellStyle name="_MNT_VSE WFP_100507 3" xfId="0"/>
    <cellStyle name="_MNT_VSE WFP_100507 4" xfId="0"/>
    <cellStyle name="_MNT_VSE WFP_100507_By Region" xfId="0"/>
    <cellStyle name="_MNT_VSE WFP_100507_CORP SG&amp;A" xfId="0"/>
    <cellStyle name="_MNT_VSE WFP_100507_Digitizer" xfId="0"/>
    <cellStyle name="_MNT_VSE WFP_100507_GPS OTHER" xfId="0"/>
    <cellStyle name="_MNT_VSE WFP_100507_GPS OTHER 2" xfId="0"/>
    <cellStyle name="_MNT_VSE WFP_100507_GPS OTHER 3" xfId="0"/>
    <cellStyle name="_MNT_VSE WFP_100507_GPS OTHER 4" xfId="0"/>
    <cellStyle name="_MNT_VSE WFP_100507_GPS OTHER 4 2" xfId="0"/>
    <cellStyle name="_MNT_VSE WFP_100507_GPS OTHER_By Region" xfId="0"/>
    <cellStyle name="_MNT_VSE WFP_100507_GPS OTHER_CORP SG&amp;A" xfId="0"/>
    <cellStyle name="_MNT_VSE WFP_100507_GPS OTHER_LCD" xfId="0"/>
    <cellStyle name="_MNT_VSE WFP_100507_GPS OTHER_PJ" xfId="0"/>
    <cellStyle name="_MNT_VSE WFP_100507_LCD" xfId="0"/>
    <cellStyle name="_MNT_VSE WFP_100507_LCD 2" xfId="0"/>
    <cellStyle name="_MNT_VSE WFP_100507_LCD 3" xfId="0"/>
    <cellStyle name="_MNT_VSE WFP_100507_LCD 4" xfId="0"/>
    <cellStyle name="_MNT_VSE WFP_100507_LCD_By Region" xfId="0"/>
    <cellStyle name="_MNT_VSE WFP_100507_LCD_CORP SG&amp;A" xfId="0"/>
    <cellStyle name="_MNT_VSE WFP_100507_LCD_LCD" xfId="0"/>
    <cellStyle name="_MNT_VSE WFP_100507_LCD_PJ" xfId="0"/>
    <cellStyle name="_MNT_VSE WFP_100507_PC Products" xfId="0"/>
    <cellStyle name="_MNT_VSE WFP_100507_PC Products 2" xfId="0"/>
    <cellStyle name="_MNT_VSE WFP_100507_PC Products 3" xfId="0"/>
    <cellStyle name="_MNT_VSE WFP_100507_PC Products 4" xfId="0"/>
    <cellStyle name="_MNT_VSE WFP_100507_PC Products 4 2" xfId="0"/>
    <cellStyle name="_MNT_VSE WFP_100507_PC Products_By Region" xfId="0"/>
    <cellStyle name="_MNT_VSE WFP_100507_PC Products_CORP SG&amp;A" xfId="0"/>
    <cellStyle name="_MNT_VSE WFP_100507_PC Products_LCD" xfId="0"/>
    <cellStyle name="_MNT_VSE WFP_100507_PC Products_PJ" xfId="0"/>
    <cellStyle name="_MNT_VSE WFP_100507_VSA 111014" xfId="0"/>
    <cellStyle name="_MNT_VSE WFP_100507_VSA 111014 2" xfId="0"/>
    <cellStyle name="_MNT_VSE WFP_100507_VSA 111014 3" xfId="0"/>
    <cellStyle name="_MNT_VSE WFP_100507_VSA 111014 4" xfId="0"/>
    <cellStyle name="_MNT_VSE WFP_100507_VSA 111014 4 2" xfId="0"/>
    <cellStyle name="_MNT_VSE WFP_100507_VSA 111014_By Region" xfId="0"/>
    <cellStyle name="_MNT_VSE WFP_100507_VSA 111014_CORP SG&amp;A" xfId="0"/>
    <cellStyle name="_MNT_VSE WFP_100507_VSA 111014_LCD" xfId="0"/>
    <cellStyle name="_MNT_VSE WFP_100507_VSA 111014_PJ" xfId="0"/>
    <cellStyle name="_MNT_VSE WFP_100507_VSA Roll-Up (LW)" xfId="0"/>
    <cellStyle name="_MNT_VSE WFP_100507_VSA Roll-Up (LW) 2" xfId="0"/>
    <cellStyle name="_MNT_VSE WFP_100507_VSA Roll-Up (LW) 3" xfId="0"/>
    <cellStyle name="_MNT_VSE WFP_100507_VSA Roll-Up (LW) 4" xfId="0"/>
    <cellStyle name="_MNT_VSE WFP_100507_VSA Roll-Up (LW) 4 2" xfId="0"/>
    <cellStyle name="_MNT_VSE WFP_100507_VSA Roll-Up (LW)_By Region" xfId="0"/>
    <cellStyle name="_MNT_VSE WFP_100507_VSA Roll-Up (LW)_CORP SG&amp;A" xfId="0"/>
    <cellStyle name="_MNT_VSE WFP_100507_VSA Roll-Up (LW)_LCD" xfId="0"/>
    <cellStyle name="_MNT_VSE WFP_100507_VSA Roll-Up (LW)_PJ" xfId="0"/>
    <cellStyle name="_MNT_VSE WFP_100608" xfId="0"/>
    <cellStyle name="_MNT_VSE WFP_100608 2" xfId="0"/>
    <cellStyle name="_MNT_VSE WFP_100608 3" xfId="0"/>
    <cellStyle name="_MNT_VSE WFP_100608 4" xfId="0"/>
    <cellStyle name="_MNT_VSE WFP_100608_By Region" xfId="0"/>
    <cellStyle name="_MNT_VSE WFP_100608_CORP SG&amp;A" xfId="0"/>
    <cellStyle name="_MNT_VSE WFP_100608_Digitizer" xfId="0"/>
    <cellStyle name="_MNT_VSE WFP_100608_GPS OTHER" xfId="0"/>
    <cellStyle name="_MNT_VSE WFP_100608_GPS OTHER 2" xfId="0"/>
    <cellStyle name="_MNT_VSE WFP_100608_GPS OTHER 3" xfId="0"/>
    <cellStyle name="_MNT_VSE WFP_100608_GPS OTHER 4" xfId="0"/>
    <cellStyle name="_MNT_VSE WFP_100608_GPS OTHER 4 2" xfId="0"/>
    <cellStyle name="_MNT_VSE WFP_100608_GPS OTHER_By Region" xfId="0"/>
    <cellStyle name="_MNT_VSE WFP_100608_GPS OTHER_CORP SG&amp;A" xfId="0"/>
    <cellStyle name="_MNT_VSE WFP_100608_GPS OTHER_LCD" xfId="0"/>
    <cellStyle name="_MNT_VSE WFP_100608_GPS OTHER_PJ" xfId="0"/>
    <cellStyle name="_MNT_VSE WFP_100608_LCD" xfId="0"/>
    <cellStyle name="_MNT_VSE WFP_100608_LCD 2" xfId="0"/>
    <cellStyle name="_MNT_VSE WFP_100608_LCD 3" xfId="0"/>
    <cellStyle name="_MNT_VSE WFP_100608_LCD 4" xfId="0"/>
    <cellStyle name="_MNT_VSE WFP_100608_LCD_By Region" xfId="0"/>
    <cellStyle name="_MNT_VSE WFP_100608_LCD_CORP SG&amp;A" xfId="0"/>
    <cellStyle name="_MNT_VSE WFP_100608_LCD_LCD" xfId="0"/>
    <cellStyle name="_MNT_VSE WFP_100608_LCD_PJ" xfId="0"/>
    <cellStyle name="_MNT_VSE WFP_100608_PC Products" xfId="0"/>
    <cellStyle name="_MNT_VSE WFP_100608_PC Products 2" xfId="0"/>
    <cellStyle name="_MNT_VSE WFP_100608_PC Products 3" xfId="0"/>
    <cellStyle name="_MNT_VSE WFP_100608_PC Products 4" xfId="0"/>
    <cellStyle name="_MNT_VSE WFP_100608_PC Products 4 2" xfId="0"/>
    <cellStyle name="_MNT_VSE WFP_100608_PC Products_By Region" xfId="0"/>
    <cellStyle name="_MNT_VSE WFP_100608_PC Products_CORP SG&amp;A" xfId="0"/>
    <cellStyle name="_MNT_VSE WFP_100608_PC Products_LCD" xfId="0"/>
    <cellStyle name="_MNT_VSE WFP_100608_PC Products_PJ" xfId="0"/>
    <cellStyle name="_MNT_VSE WFP_100608_VSA 111014" xfId="0"/>
    <cellStyle name="_MNT_VSE WFP_100608_VSA 111014 2" xfId="0"/>
    <cellStyle name="_MNT_VSE WFP_100608_VSA 111014 3" xfId="0"/>
    <cellStyle name="_MNT_VSE WFP_100608_VSA 111014 4" xfId="0"/>
    <cellStyle name="_MNT_VSE WFP_100608_VSA 111014 4 2" xfId="0"/>
    <cellStyle name="_MNT_VSE WFP_100608_VSA 111014_By Region" xfId="0"/>
    <cellStyle name="_MNT_VSE WFP_100608_VSA 111014_CORP SG&amp;A" xfId="0"/>
    <cellStyle name="_MNT_VSE WFP_100608_VSA 111014_LCD" xfId="0"/>
    <cellStyle name="_MNT_VSE WFP_100608_VSA 111014_PJ" xfId="0"/>
    <cellStyle name="_MNT_VSE WFP_100608_VSA Roll-Up (LW)" xfId="0"/>
    <cellStyle name="_MNT_VSE WFP_100608_VSA Roll-Up (LW) 2" xfId="0"/>
    <cellStyle name="_MNT_VSE WFP_100608_VSA Roll-Up (LW) 3" xfId="0"/>
    <cellStyle name="_MNT_VSE WFP_100608_VSA Roll-Up (LW) 4" xfId="0"/>
    <cellStyle name="_MNT_VSE WFP_100608_VSA Roll-Up (LW) 4 2" xfId="0"/>
    <cellStyle name="_MNT_VSE WFP_100608_VSA Roll-Up (LW)_By Region" xfId="0"/>
    <cellStyle name="_MNT_VSE WFP_100608_VSA Roll-Up (LW)_CORP SG&amp;A" xfId="0"/>
    <cellStyle name="_MNT_VSE WFP_100608_VSA Roll-Up (LW)_LCD" xfId="0"/>
    <cellStyle name="_MNT_VSE WFP_100608_VSA Roll-Up (LW)_PJ" xfId="0"/>
    <cellStyle name="_MNT_VSE WFP_100625" xfId="0"/>
    <cellStyle name="_MNT_VSE WFP_100625 2" xfId="0"/>
    <cellStyle name="_MNT_VSE WFP_100625 3" xfId="0"/>
    <cellStyle name="_MNT_VSE WFP_100625 4" xfId="0"/>
    <cellStyle name="_MNT_VSE WFP_100625_By Region" xfId="0"/>
    <cellStyle name="_MNT_VSE WFP_100625_CORP SG&amp;A" xfId="0"/>
    <cellStyle name="_MNT_VSE WFP_100625_Digitizer" xfId="0"/>
    <cellStyle name="_MNT_VSE WFP_100625_GPS OTHER" xfId="0"/>
    <cellStyle name="_MNT_VSE WFP_100625_GPS OTHER 2" xfId="0"/>
    <cellStyle name="_MNT_VSE WFP_100625_GPS OTHER 3" xfId="0"/>
    <cellStyle name="_MNT_VSE WFP_100625_GPS OTHER 4" xfId="0"/>
    <cellStyle name="_MNT_VSE WFP_100625_GPS OTHER 4 2" xfId="0"/>
    <cellStyle name="_MNT_VSE WFP_100625_GPS OTHER_By Region" xfId="0"/>
    <cellStyle name="_MNT_VSE WFP_100625_GPS OTHER_CORP SG&amp;A" xfId="0"/>
    <cellStyle name="_MNT_VSE WFP_100625_GPS OTHER_LCD" xfId="0"/>
    <cellStyle name="_MNT_VSE WFP_100625_GPS OTHER_PJ" xfId="0"/>
    <cellStyle name="_MNT_VSE WFP_100625_LCD" xfId="0"/>
    <cellStyle name="_MNT_VSE WFP_100625_LCD 2" xfId="0"/>
    <cellStyle name="_MNT_VSE WFP_100625_LCD 3" xfId="0"/>
    <cellStyle name="_MNT_VSE WFP_100625_LCD 4" xfId="0"/>
    <cellStyle name="_MNT_VSE WFP_100625_LCD_By Region" xfId="0"/>
    <cellStyle name="_MNT_VSE WFP_100625_LCD_CORP SG&amp;A" xfId="0"/>
    <cellStyle name="_MNT_VSE WFP_100625_LCD_LCD" xfId="0"/>
    <cellStyle name="_MNT_VSE WFP_100625_LCD_PJ" xfId="0"/>
    <cellStyle name="_MNT_VSE WFP_100625_PC Products" xfId="0"/>
    <cellStyle name="_MNT_VSE WFP_100625_PC Products 2" xfId="0"/>
    <cellStyle name="_MNT_VSE WFP_100625_PC Products 3" xfId="0"/>
    <cellStyle name="_MNT_VSE WFP_100625_PC Products 4" xfId="0"/>
    <cellStyle name="_MNT_VSE WFP_100625_PC Products 4 2" xfId="0"/>
    <cellStyle name="_MNT_VSE WFP_100625_PC Products_By Region" xfId="0"/>
    <cellStyle name="_MNT_VSE WFP_100625_PC Products_CORP SG&amp;A" xfId="0"/>
    <cellStyle name="_MNT_VSE WFP_100625_PC Products_LCD" xfId="0"/>
    <cellStyle name="_MNT_VSE WFP_100625_PC Products_PJ" xfId="0"/>
    <cellStyle name="_MNT_VSE WFP_100625_VSA 111014" xfId="0"/>
    <cellStyle name="_MNT_VSE WFP_100625_VSA 111014 2" xfId="0"/>
    <cellStyle name="_MNT_VSE WFP_100625_VSA 111014 3" xfId="0"/>
    <cellStyle name="_MNT_VSE WFP_100625_VSA 111014 4" xfId="0"/>
    <cellStyle name="_MNT_VSE WFP_100625_VSA 111014 4 2" xfId="0"/>
    <cellStyle name="_MNT_VSE WFP_100625_VSA 111014_By Region" xfId="0"/>
    <cellStyle name="_MNT_VSE WFP_100625_VSA 111014_CORP SG&amp;A" xfId="0"/>
    <cellStyle name="_MNT_VSE WFP_100625_VSA 111014_LCD" xfId="0"/>
    <cellStyle name="_MNT_VSE WFP_100625_VSA 111014_PJ" xfId="0"/>
    <cellStyle name="_MNT_VSE WFP_100625_VSA Roll-Up (LW)" xfId="0"/>
    <cellStyle name="_MNT_VSE WFP_100625_VSA Roll-Up (LW) 2" xfId="0"/>
    <cellStyle name="_MNT_VSE WFP_100625_VSA Roll-Up (LW) 3" xfId="0"/>
    <cellStyle name="_MNT_VSE WFP_100625_VSA Roll-Up (LW) 4" xfId="0"/>
    <cellStyle name="_MNT_VSE WFP_100625_VSA Roll-Up (LW) 4 2" xfId="0"/>
    <cellStyle name="_MNT_VSE WFP_100625_VSA Roll-Up (LW)_By Region" xfId="0"/>
    <cellStyle name="_MNT_VSE WFP_100625_VSA Roll-Up (LW)_CORP SG&amp;A" xfId="0"/>
    <cellStyle name="_MNT_VSE WFP_100625_VSA Roll-Up (LW)_LCD" xfId="0"/>
    <cellStyle name="_MNT_VSE WFP_100625_VSA Roll-Up (LW)_PJ" xfId="0"/>
    <cellStyle name="_MNT_VSE WFP_100708_3rd" xfId="0"/>
    <cellStyle name="_MNT_VSE WFP_100708_3rd 2" xfId="0"/>
    <cellStyle name="_MNT_VSE WFP_100708_3rd 3" xfId="0"/>
    <cellStyle name="_MNT_VSE WFP_100708_3rd 4" xfId="0"/>
    <cellStyle name="_MNT_VSE WFP_100708_3rd_By Region" xfId="0"/>
    <cellStyle name="_MNT_VSE WFP_100708_3rd_CORP SG&amp;A" xfId="0"/>
    <cellStyle name="_MNT_VSE WFP_100708_3rd_Digitizer" xfId="0"/>
    <cellStyle name="_MNT_VSE WFP_100708_3rd_GPS OTHER" xfId="0"/>
    <cellStyle name="_MNT_VSE WFP_100708_3rd_GPS OTHER 2" xfId="0"/>
    <cellStyle name="_MNT_VSE WFP_100708_3rd_GPS OTHER 3" xfId="0"/>
    <cellStyle name="_MNT_VSE WFP_100708_3rd_GPS OTHER 4" xfId="0"/>
    <cellStyle name="_MNT_VSE WFP_100708_3rd_GPS OTHER 4 2" xfId="0"/>
    <cellStyle name="_MNT_VSE WFP_100708_3rd_GPS OTHER_By Region" xfId="0"/>
    <cellStyle name="_MNT_VSE WFP_100708_3rd_GPS OTHER_CORP SG&amp;A" xfId="0"/>
    <cellStyle name="_MNT_VSE WFP_100708_3rd_GPS OTHER_LCD" xfId="0"/>
    <cellStyle name="_MNT_VSE WFP_100708_3rd_GPS OTHER_PJ" xfId="0"/>
    <cellStyle name="_MNT_VSE WFP_100708_3rd_LCD" xfId="0"/>
    <cellStyle name="_MNT_VSE WFP_100708_3rd_LCD 2" xfId="0"/>
    <cellStyle name="_MNT_VSE WFP_100708_3rd_LCD 3" xfId="0"/>
    <cellStyle name="_MNT_VSE WFP_100708_3rd_LCD 4" xfId="0"/>
    <cellStyle name="_MNT_VSE WFP_100708_3rd_LCD_By Region" xfId="0"/>
    <cellStyle name="_MNT_VSE WFP_100708_3rd_LCD_CORP SG&amp;A" xfId="0"/>
    <cellStyle name="_MNT_VSE WFP_100708_3rd_LCD_LCD" xfId="0"/>
    <cellStyle name="_MNT_VSE WFP_100708_3rd_LCD_PJ" xfId="0"/>
    <cellStyle name="_MNT_VSE WFP_100708_3rd_PC Products" xfId="0"/>
    <cellStyle name="_MNT_VSE WFP_100708_3rd_PC Products 2" xfId="0"/>
    <cellStyle name="_MNT_VSE WFP_100708_3rd_PC Products 3" xfId="0"/>
    <cellStyle name="_MNT_VSE WFP_100708_3rd_PC Products 4" xfId="0"/>
    <cellStyle name="_MNT_VSE WFP_100708_3rd_PC Products 4 2" xfId="0"/>
    <cellStyle name="_MNT_VSE WFP_100708_3rd_PC Products_By Region" xfId="0"/>
    <cellStyle name="_MNT_VSE WFP_100708_3rd_PC Products_CORP SG&amp;A" xfId="0"/>
    <cellStyle name="_MNT_VSE WFP_100708_3rd_PC Products_LCD" xfId="0"/>
    <cellStyle name="_MNT_VSE WFP_100708_3rd_PC Products_PJ" xfId="0"/>
    <cellStyle name="_MNT_VSE WFP_100708_3rd_VSA 111014" xfId="0"/>
    <cellStyle name="_MNT_VSE WFP_100708_3rd_VSA 111014 2" xfId="0"/>
    <cellStyle name="_MNT_VSE WFP_100708_3rd_VSA 111014 3" xfId="0"/>
    <cellStyle name="_MNT_VSE WFP_100708_3rd_VSA 111014 4" xfId="0"/>
    <cellStyle name="_MNT_VSE WFP_100708_3rd_VSA 111014 4 2" xfId="0"/>
    <cellStyle name="_MNT_VSE WFP_100708_3rd_VSA 111014_By Region" xfId="0"/>
    <cellStyle name="_MNT_VSE WFP_100708_3rd_VSA 111014_CORP SG&amp;A" xfId="0"/>
    <cellStyle name="_MNT_VSE WFP_100708_3rd_VSA 111014_LCD" xfId="0"/>
    <cellStyle name="_MNT_VSE WFP_100708_3rd_VSA 111014_PJ" xfId="0"/>
    <cellStyle name="_MNT_VSE WFP_100708_3rd_VSA Roll-Up (LW)" xfId="0"/>
    <cellStyle name="_MNT_VSE WFP_100708_3rd_VSA Roll-Up (LW) 2" xfId="0"/>
    <cellStyle name="_MNT_VSE WFP_100708_3rd_VSA Roll-Up (LW) 3" xfId="0"/>
    <cellStyle name="_MNT_VSE WFP_100708_3rd_VSA Roll-Up (LW) 4" xfId="0"/>
    <cellStyle name="_MNT_VSE WFP_100708_3rd_VSA Roll-Up (LW) 4 2" xfId="0"/>
    <cellStyle name="_MNT_VSE WFP_100708_3rd_VSA Roll-Up (LW)_By Region" xfId="0"/>
    <cellStyle name="_MNT_VSE WFP_100708_3rd_VSA Roll-Up (LW)_CORP SG&amp;A" xfId="0"/>
    <cellStyle name="_MNT_VSE WFP_100708_3rd_VSA Roll-Up (LW)_LCD" xfId="0"/>
    <cellStyle name="_MNT_VSE WFP_100708_3rd_VSA Roll-Up (LW)_PJ" xfId="0"/>
    <cellStyle name="_MNT_VSE WFP_100726" xfId="0"/>
    <cellStyle name="_MNT_VSE WFP_100726 2" xfId="0"/>
    <cellStyle name="_MNT_VSE WFP_100726 3" xfId="0"/>
    <cellStyle name="_MNT_VSE WFP_100726 4" xfId="0"/>
    <cellStyle name="_MNT_VSE WFP_100726-1" xfId="0"/>
    <cellStyle name="_MNT_VSE WFP_100726-1 2" xfId="0"/>
    <cellStyle name="_MNT_VSE WFP_100726-1 3" xfId="0"/>
    <cellStyle name="_MNT_VSE WFP_100726-1 4" xfId="0"/>
    <cellStyle name="_MNT_VSE WFP_100726-1_By Region" xfId="0"/>
    <cellStyle name="_MNT_VSE WFP_100726-1_CORP SG&amp;A" xfId="0"/>
    <cellStyle name="_MNT_VSE WFP_100726-1_Digitizer" xfId="0"/>
    <cellStyle name="_MNT_VSE WFP_100726-1_GPS OTHER" xfId="0"/>
    <cellStyle name="_MNT_VSE WFP_100726-1_GPS OTHER 2" xfId="0"/>
    <cellStyle name="_MNT_VSE WFP_100726-1_GPS OTHER 3" xfId="0"/>
    <cellStyle name="_MNT_VSE WFP_100726-1_GPS OTHER 4" xfId="0"/>
    <cellStyle name="_MNT_VSE WFP_100726-1_GPS OTHER 4 2" xfId="0"/>
    <cellStyle name="_MNT_VSE WFP_100726-1_GPS OTHER_By Region" xfId="0"/>
    <cellStyle name="_MNT_VSE WFP_100726-1_GPS OTHER_CORP SG&amp;A" xfId="0"/>
    <cellStyle name="_MNT_VSE WFP_100726-1_GPS OTHER_LCD" xfId="0"/>
    <cellStyle name="_MNT_VSE WFP_100726-1_GPS OTHER_PJ" xfId="0"/>
    <cellStyle name="_MNT_VSE WFP_100726-1_LCD" xfId="0"/>
    <cellStyle name="_MNT_VSE WFP_100726-1_LCD 2" xfId="0"/>
    <cellStyle name="_MNT_VSE WFP_100726-1_LCD 3" xfId="0"/>
    <cellStyle name="_MNT_VSE WFP_100726-1_LCD 4" xfId="0"/>
    <cellStyle name="_MNT_VSE WFP_100726-1_LCD_By Region" xfId="0"/>
    <cellStyle name="_MNT_VSE WFP_100726-1_LCD_CORP SG&amp;A" xfId="0"/>
    <cellStyle name="_MNT_VSE WFP_100726-1_LCD_LCD" xfId="0"/>
    <cellStyle name="_MNT_VSE WFP_100726-1_LCD_PJ" xfId="0"/>
    <cellStyle name="_MNT_VSE WFP_100726-1_PC Products" xfId="0"/>
    <cellStyle name="_MNT_VSE WFP_100726-1_PC Products 2" xfId="0"/>
    <cellStyle name="_MNT_VSE WFP_100726-1_PC Products 3" xfId="0"/>
    <cellStyle name="_MNT_VSE WFP_100726-1_PC Products 4" xfId="0"/>
    <cellStyle name="_MNT_VSE WFP_100726-1_PC Products 4 2" xfId="0"/>
    <cellStyle name="_MNT_VSE WFP_100726-1_PC Products_By Region" xfId="0"/>
    <cellStyle name="_MNT_VSE WFP_100726-1_PC Products_CORP SG&amp;A" xfId="0"/>
    <cellStyle name="_MNT_VSE WFP_100726-1_PC Products_LCD" xfId="0"/>
    <cellStyle name="_MNT_VSE WFP_100726-1_PC Products_PJ" xfId="0"/>
    <cellStyle name="_MNT_VSE WFP_100726-1_VSA 111014" xfId="0"/>
    <cellStyle name="_MNT_VSE WFP_100726-1_VSA 111014 2" xfId="0"/>
    <cellStyle name="_MNT_VSE WFP_100726-1_VSA 111014 3" xfId="0"/>
    <cellStyle name="_MNT_VSE WFP_100726-1_VSA 111014 4" xfId="0"/>
    <cellStyle name="_MNT_VSE WFP_100726-1_VSA 111014 4 2" xfId="0"/>
    <cellStyle name="_MNT_VSE WFP_100726-1_VSA 111014_By Region" xfId="0"/>
    <cellStyle name="_MNT_VSE WFP_100726-1_VSA 111014_CORP SG&amp;A" xfId="0"/>
    <cellStyle name="_MNT_VSE WFP_100726-1_VSA 111014_LCD" xfId="0"/>
    <cellStyle name="_MNT_VSE WFP_100726-1_VSA 111014_PJ" xfId="0"/>
    <cellStyle name="_MNT_VSE WFP_100726-1_VSA Roll-Up (LW)" xfId="0"/>
    <cellStyle name="_MNT_VSE WFP_100726-1_VSA Roll-Up (LW) 2" xfId="0"/>
    <cellStyle name="_MNT_VSE WFP_100726-1_VSA Roll-Up (LW) 3" xfId="0"/>
    <cellStyle name="_MNT_VSE WFP_100726-1_VSA Roll-Up (LW) 4" xfId="0"/>
    <cellStyle name="_MNT_VSE WFP_100726-1_VSA Roll-Up (LW) 4 2" xfId="0"/>
    <cellStyle name="_MNT_VSE WFP_100726-1_VSA Roll-Up (LW)_By Region" xfId="0"/>
    <cellStyle name="_MNT_VSE WFP_100726-1_VSA Roll-Up (LW)_CORP SG&amp;A" xfId="0"/>
    <cellStyle name="_MNT_VSE WFP_100726-1_VSA Roll-Up (LW)_LCD" xfId="0"/>
    <cellStyle name="_MNT_VSE WFP_100726-1_VSA Roll-Up (LW)_PJ" xfId="0"/>
    <cellStyle name="_MNT_VSE WFP_100726-2-yc" xfId="0"/>
    <cellStyle name="_MNT_VSE WFP_100726-2-yc 2" xfId="0"/>
    <cellStyle name="_MNT_VSE WFP_100726-2-yc 3" xfId="0"/>
    <cellStyle name="_MNT_VSE WFP_100726-2-yc 4" xfId="0"/>
    <cellStyle name="_MNT_VSE WFP_100726-2-yc_By Region" xfId="0"/>
    <cellStyle name="_MNT_VSE WFP_100726-2-yc_CORP SG&amp;A" xfId="0"/>
    <cellStyle name="_MNT_VSE WFP_100726-2-yc_Digitizer" xfId="0"/>
    <cellStyle name="_MNT_VSE WFP_100726-2-yc_GPS OTHER" xfId="0"/>
    <cellStyle name="_MNT_VSE WFP_100726-2-yc_GPS OTHER 2" xfId="0"/>
    <cellStyle name="_MNT_VSE WFP_100726-2-yc_GPS OTHER 3" xfId="0"/>
    <cellStyle name="_MNT_VSE WFP_100726-2-yc_GPS OTHER 4" xfId="0"/>
    <cellStyle name="_MNT_VSE WFP_100726-2-yc_GPS OTHER 4 2" xfId="0"/>
    <cellStyle name="_MNT_VSE WFP_100726-2-yc_GPS OTHER_By Region" xfId="0"/>
    <cellStyle name="_MNT_VSE WFP_100726-2-yc_GPS OTHER_CORP SG&amp;A" xfId="0"/>
    <cellStyle name="_MNT_VSE WFP_100726-2-yc_GPS OTHER_LCD" xfId="0"/>
    <cellStyle name="_MNT_VSE WFP_100726-2-yc_GPS OTHER_PJ" xfId="0"/>
    <cellStyle name="_MNT_VSE WFP_100726-2-yc_LCD" xfId="0"/>
    <cellStyle name="_MNT_VSE WFP_100726-2-yc_LCD 2" xfId="0"/>
    <cellStyle name="_MNT_VSE WFP_100726-2-yc_LCD 3" xfId="0"/>
    <cellStyle name="_MNT_VSE WFP_100726-2-yc_LCD 4" xfId="0"/>
    <cellStyle name="_MNT_VSE WFP_100726-2-yc_LCD_By Region" xfId="0"/>
    <cellStyle name="_MNT_VSE WFP_100726-2-yc_LCD_CORP SG&amp;A" xfId="0"/>
    <cellStyle name="_MNT_VSE WFP_100726-2-yc_LCD_LCD" xfId="0"/>
    <cellStyle name="_MNT_VSE WFP_100726-2-yc_LCD_PJ" xfId="0"/>
    <cellStyle name="_MNT_VSE WFP_100726-2-yc_PC Products" xfId="0"/>
    <cellStyle name="_MNT_VSE WFP_100726-2-yc_PC Products 2" xfId="0"/>
    <cellStyle name="_MNT_VSE WFP_100726-2-yc_PC Products 3" xfId="0"/>
    <cellStyle name="_MNT_VSE WFP_100726-2-yc_PC Products 4" xfId="0"/>
    <cellStyle name="_MNT_VSE WFP_100726-2-yc_PC Products 4 2" xfId="0"/>
    <cellStyle name="_MNT_VSE WFP_100726-2-yc_PC Products_By Region" xfId="0"/>
    <cellStyle name="_MNT_VSE WFP_100726-2-yc_PC Products_CORP SG&amp;A" xfId="0"/>
    <cellStyle name="_MNT_VSE WFP_100726-2-yc_PC Products_LCD" xfId="0"/>
    <cellStyle name="_MNT_VSE WFP_100726-2-yc_PC Products_PJ" xfId="0"/>
    <cellStyle name="_MNT_VSE WFP_100726-2-yc_VSA 111014" xfId="0"/>
    <cellStyle name="_MNT_VSE WFP_100726-2-yc_VSA 111014 2" xfId="0"/>
    <cellStyle name="_MNT_VSE WFP_100726-2-yc_VSA 111014 3" xfId="0"/>
    <cellStyle name="_MNT_VSE WFP_100726-2-yc_VSA 111014 4" xfId="0"/>
    <cellStyle name="_MNT_VSE WFP_100726-2-yc_VSA 111014 4 2" xfId="0"/>
    <cellStyle name="_MNT_VSE WFP_100726-2-yc_VSA 111014_By Region" xfId="0"/>
    <cellStyle name="_MNT_VSE WFP_100726-2-yc_VSA 111014_CORP SG&amp;A" xfId="0"/>
    <cellStyle name="_MNT_VSE WFP_100726-2-yc_VSA 111014_LCD" xfId="0"/>
    <cellStyle name="_MNT_VSE WFP_100726-2-yc_VSA 111014_PJ" xfId="0"/>
    <cellStyle name="_MNT_VSE WFP_100726-2-yc_VSA Roll-Up (LW)" xfId="0"/>
    <cellStyle name="_MNT_VSE WFP_100726-2-yc_VSA Roll-Up (LW) 2" xfId="0"/>
    <cellStyle name="_MNT_VSE WFP_100726-2-yc_VSA Roll-Up (LW) 3" xfId="0"/>
    <cellStyle name="_MNT_VSE WFP_100726-2-yc_VSA Roll-Up (LW) 4" xfId="0"/>
    <cellStyle name="_MNT_VSE WFP_100726-2-yc_VSA Roll-Up (LW) 4 2" xfId="0"/>
    <cellStyle name="_MNT_VSE WFP_100726-2-yc_VSA Roll-Up (LW)_By Region" xfId="0"/>
    <cellStyle name="_MNT_VSE WFP_100726-2-yc_VSA Roll-Up (LW)_CORP SG&amp;A" xfId="0"/>
    <cellStyle name="_MNT_VSE WFP_100726-2-yc_VSA Roll-Up (LW)_LCD" xfId="0"/>
    <cellStyle name="_MNT_VSE WFP_100726-2-yc_VSA Roll-Up (LW)_PJ" xfId="0"/>
    <cellStyle name="_MNT_VSE WFP_100726_By Region" xfId="0"/>
    <cellStyle name="_MNT_VSE WFP_100726_CORP SG&amp;A" xfId="0"/>
    <cellStyle name="_MNT_VSE WFP_100726_Digitizer" xfId="0"/>
    <cellStyle name="_MNT_VSE WFP_100726_GPS OTHER" xfId="0"/>
    <cellStyle name="_MNT_VSE WFP_100726_GPS OTHER 2" xfId="0"/>
    <cellStyle name="_MNT_VSE WFP_100726_GPS OTHER 3" xfId="0"/>
    <cellStyle name="_MNT_VSE WFP_100726_GPS OTHER 4" xfId="0"/>
    <cellStyle name="_MNT_VSE WFP_100726_GPS OTHER 4 2" xfId="0"/>
    <cellStyle name="_MNT_VSE WFP_100726_GPS OTHER_By Region" xfId="0"/>
    <cellStyle name="_MNT_VSE WFP_100726_GPS OTHER_CORP SG&amp;A" xfId="0"/>
    <cellStyle name="_MNT_VSE WFP_100726_GPS OTHER_LCD" xfId="0"/>
    <cellStyle name="_MNT_VSE WFP_100726_GPS OTHER_PJ" xfId="0"/>
    <cellStyle name="_MNT_VSE WFP_100726_LCD" xfId="0"/>
    <cellStyle name="_MNT_VSE WFP_100726_LCD 2" xfId="0"/>
    <cellStyle name="_MNT_VSE WFP_100726_LCD 3" xfId="0"/>
    <cellStyle name="_MNT_VSE WFP_100726_LCD 4" xfId="0"/>
    <cellStyle name="_MNT_VSE WFP_100726_LCD_By Region" xfId="0"/>
    <cellStyle name="_MNT_VSE WFP_100726_LCD_CORP SG&amp;A" xfId="0"/>
    <cellStyle name="_MNT_VSE WFP_100726_LCD_LCD" xfId="0"/>
    <cellStyle name="_MNT_VSE WFP_100726_LCD_PJ" xfId="0"/>
    <cellStyle name="_MNT_VSE WFP_100726_PC Products" xfId="0"/>
    <cellStyle name="_MNT_VSE WFP_100726_PC Products 2" xfId="0"/>
    <cellStyle name="_MNT_VSE WFP_100726_PC Products 3" xfId="0"/>
    <cellStyle name="_MNT_VSE WFP_100726_PC Products 4" xfId="0"/>
    <cellStyle name="_MNT_VSE WFP_100726_PC Products 4 2" xfId="0"/>
    <cellStyle name="_MNT_VSE WFP_100726_PC Products_By Region" xfId="0"/>
    <cellStyle name="_MNT_VSE WFP_100726_PC Products_CORP SG&amp;A" xfId="0"/>
    <cellStyle name="_MNT_VSE WFP_100726_PC Products_LCD" xfId="0"/>
    <cellStyle name="_MNT_VSE WFP_100726_PC Products_PJ" xfId="0"/>
    <cellStyle name="_MNT_VSE WFP_100726_VSA 111014" xfId="0"/>
    <cellStyle name="_MNT_VSE WFP_100726_VSA 111014 2" xfId="0"/>
    <cellStyle name="_MNT_VSE WFP_100726_VSA 111014 3" xfId="0"/>
    <cellStyle name="_MNT_VSE WFP_100726_VSA 111014 4" xfId="0"/>
    <cellStyle name="_MNT_VSE WFP_100726_VSA 111014 4 2" xfId="0"/>
    <cellStyle name="_MNT_VSE WFP_100726_VSA 111014_By Region" xfId="0"/>
    <cellStyle name="_MNT_VSE WFP_100726_VSA 111014_CORP SG&amp;A" xfId="0"/>
    <cellStyle name="_MNT_VSE WFP_100726_VSA 111014_LCD" xfId="0"/>
    <cellStyle name="_MNT_VSE WFP_100726_VSA 111014_PJ" xfId="0"/>
    <cellStyle name="_MNT_VSE WFP_100726_VSA Roll-Up (LW)" xfId="0"/>
    <cellStyle name="_MNT_VSE WFP_100726_VSA Roll-Up (LW) 2" xfId="0"/>
    <cellStyle name="_MNT_VSE WFP_100726_VSA Roll-Up (LW) 3" xfId="0"/>
    <cellStyle name="_MNT_VSE WFP_100726_VSA Roll-Up (LW) 4" xfId="0"/>
    <cellStyle name="_MNT_VSE WFP_100726_VSA Roll-Up (LW) 4 2" xfId="0"/>
    <cellStyle name="_MNT_VSE WFP_100726_VSA Roll-Up (LW)_By Region" xfId="0"/>
    <cellStyle name="_MNT_VSE WFP_100726_VSA Roll-Up (LW)_CORP SG&amp;A" xfId="0"/>
    <cellStyle name="_MNT_VSE WFP_100726_VSA Roll-Up (LW)_LCD" xfId="0"/>
    <cellStyle name="_MNT_VSE WFP_100726_VSA Roll-Up (LW)_PJ" xfId="0"/>
    <cellStyle name="_MNT_VSE WFP_100827-1" xfId="0"/>
    <cellStyle name="_MNT_VSE WFP_100827-1 2" xfId="0"/>
    <cellStyle name="_MNT_VSE WFP_100827-1 3" xfId="0"/>
    <cellStyle name="_MNT_VSE WFP_100827-1 4" xfId="0"/>
    <cellStyle name="_MNT_VSE WFP_100827-1_By Region" xfId="0"/>
    <cellStyle name="_MNT_VSE WFP_100827-1_CORP SG&amp;A" xfId="0"/>
    <cellStyle name="_MNT_VSE WFP_100827-1_Digitizer" xfId="0"/>
    <cellStyle name="_MNT_VSE WFP_100827-1_GPS OTHER" xfId="0"/>
    <cellStyle name="_MNT_VSE WFP_100827-1_GPS OTHER 2" xfId="0"/>
    <cellStyle name="_MNT_VSE WFP_100827-1_GPS OTHER 3" xfId="0"/>
    <cellStyle name="_MNT_VSE WFP_100827-1_GPS OTHER 4" xfId="0"/>
    <cellStyle name="_MNT_VSE WFP_100827-1_GPS OTHER 4 2" xfId="0"/>
    <cellStyle name="_MNT_VSE WFP_100827-1_GPS OTHER_By Region" xfId="0"/>
    <cellStyle name="_MNT_VSE WFP_100827-1_GPS OTHER_CORP SG&amp;A" xfId="0"/>
    <cellStyle name="_MNT_VSE WFP_100827-1_GPS OTHER_LCD" xfId="0"/>
    <cellStyle name="_MNT_VSE WFP_100827-1_GPS OTHER_PJ" xfId="0"/>
    <cellStyle name="_MNT_VSE WFP_100827-1_LCD" xfId="0"/>
    <cellStyle name="_MNT_VSE WFP_100827-1_LCD 2" xfId="0"/>
    <cellStyle name="_MNT_VSE WFP_100827-1_LCD 3" xfId="0"/>
    <cellStyle name="_MNT_VSE WFP_100827-1_LCD 4" xfId="0"/>
    <cellStyle name="_MNT_VSE WFP_100827-1_LCD_By Region" xfId="0"/>
    <cellStyle name="_MNT_VSE WFP_100827-1_LCD_CORP SG&amp;A" xfId="0"/>
    <cellStyle name="_MNT_VSE WFP_100827-1_LCD_LCD" xfId="0"/>
    <cellStyle name="_MNT_VSE WFP_100827-1_LCD_PJ" xfId="0"/>
    <cellStyle name="_MNT_VSE WFP_100827-1_PC Products" xfId="0"/>
    <cellStyle name="_MNT_VSE WFP_100827-1_PC Products 2" xfId="0"/>
    <cellStyle name="_MNT_VSE WFP_100827-1_PC Products 3" xfId="0"/>
    <cellStyle name="_MNT_VSE WFP_100827-1_PC Products 4" xfId="0"/>
    <cellStyle name="_MNT_VSE WFP_100827-1_PC Products 4 2" xfId="0"/>
    <cellStyle name="_MNT_VSE WFP_100827-1_PC Products_By Region" xfId="0"/>
    <cellStyle name="_MNT_VSE WFP_100827-1_PC Products_CORP SG&amp;A" xfId="0"/>
    <cellStyle name="_MNT_VSE WFP_100827-1_PC Products_LCD" xfId="0"/>
    <cellStyle name="_MNT_VSE WFP_100827-1_PC Products_PJ" xfId="0"/>
    <cellStyle name="_MNT_VSE WFP_100827-1_VSA 111014" xfId="0"/>
    <cellStyle name="_MNT_VSE WFP_100827-1_VSA 111014 2" xfId="0"/>
    <cellStyle name="_MNT_VSE WFP_100827-1_VSA 111014 3" xfId="0"/>
    <cellStyle name="_MNT_VSE WFP_100827-1_VSA 111014 4" xfId="0"/>
    <cellStyle name="_MNT_VSE WFP_100827-1_VSA 111014 4 2" xfId="0"/>
    <cellStyle name="_MNT_VSE WFP_100827-1_VSA 111014_By Region" xfId="0"/>
    <cellStyle name="_MNT_VSE WFP_100827-1_VSA 111014_CORP SG&amp;A" xfId="0"/>
    <cellStyle name="_MNT_VSE WFP_100827-1_VSA 111014_LCD" xfId="0"/>
    <cellStyle name="_MNT_VSE WFP_100827-1_VSA 111014_PJ" xfId="0"/>
    <cellStyle name="_MNT_VSE WFP_100827-1_VSA Roll-Up (LW)" xfId="0"/>
    <cellStyle name="_MNT_VSE WFP_100827-1_VSA Roll-Up (LW) 2" xfId="0"/>
    <cellStyle name="_MNT_VSE WFP_100827-1_VSA Roll-Up (LW) 3" xfId="0"/>
    <cellStyle name="_MNT_VSE WFP_100827-1_VSA Roll-Up (LW) 4" xfId="0"/>
    <cellStyle name="_MNT_VSE WFP_100827-1_VSA Roll-Up (LW) 4 2" xfId="0"/>
    <cellStyle name="_MNT_VSE WFP_100827-1_VSA Roll-Up (LW)_By Region" xfId="0"/>
    <cellStyle name="_MNT_VSE WFP_100827-1_VSA Roll-Up (LW)_CORP SG&amp;A" xfId="0"/>
    <cellStyle name="_MNT_VSE WFP_100827-1_VSA Roll-Up (LW)_LCD" xfId="0"/>
    <cellStyle name="_MNT_VSE WFP_100827-1_VSA Roll-Up (LW)_PJ" xfId="0"/>
    <cellStyle name="_MNT_VSE WFP_101001" xfId="0"/>
    <cellStyle name="_MNT_VSE WFP_101001 2" xfId="0"/>
    <cellStyle name="_MNT_VSE WFP_101001 3" xfId="0"/>
    <cellStyle name="_MNT_VSE WFP_101001 4" xfId="0"/>
    <cellStyle name="_MNT_VSE WFP_101001_By Region" xfId="0"/>
    <cellStyle name="_MNT_VSE WFP_101001_CORP SG&amp;A" xfId="0"/>
    <cellStyle name="_MNT_VSE WFP_101001_Digitizer" xfId="0"/>
    <cellStyle name="_MNT_VSE WFP_101001_GPS OTHER" xfId="0"/>
    <cellStyle name="_MNT_VSE WFP_101001_GPS OTHER 2" xfId="0"/>
    <cellStyle name="_MNT_VSE WFP_101001_GPS OTHER 3" xfId="0"/>
    <cellStyle name="_MNT_VSE WFP_101001_GPS OTHER 4" xfId="0"/>
    <cellStyle name="_MNT_VSE WFP_101001_GPS OTHER 4 2" xfId="0"/>
    <cellStyle name="_MNT_VSE WFP_101001_GPS OTHER_By Region" xfId="0"/>
    <cellStyle name="_MNT_VSE WFP_101001_GPS OTHER_CORP SG&amp;A" xfId="0"/>
    <cellStyle name="_MNT_VSE WFP_101001_GPS OTHER_LCD" xfId="0"/>
    <cellStyle name="_MNT_VSE WFP_101001_GPS OTHER_PJ" xfId="0"/>
    <cellStyle name="_MNT_VSE WFP_101001_LCD" xfId="0"/>
    <cellStyle name="_MNT_VSE WFP_101001_LCD 2" xfId="0"/>
    <cellStyle name="_MNT_VSE WFP_101001_LCD 3" xfId="0"/>
    <cellStyle name="_MNT_VSE WFP_101001_LCD 4" xfId="0"/>
    <cellStyle name="_MNT_VSE WFP_101001_LCD_By Region" xfId="0"/>
    <cellStyle name="_MNT_VSE WFP_101001_LCD_CORP SG&amp;A" xfId="0"/>
    <cellStyle name="_MNT_VSE WFP_101001_LCD_LCD" xfId="0"/>
    <cellStyle name="_MNT_VSE WFP_101001_LCD_PJ" xfId="0"/>
    <cellStyle name="_MNT_VSE WFP_101001_PC Products" xfId="0"/>
    <cellStyle name="_MNT_VSE WFP_101001_PC Products 2" xfId="0"/>
    <cellStyle name="_MNT_VSE WFP_101001_PC Products 3" xfId="0"/>
    <cellStyle name="_MNT_VSE WFP_101001_PC Products 4" xfId="0"/>
    <cellStyle name="_MNT_VSE WFP_101001_PC Products 4 2" xfId="0"/>
    <cellStyle name="_MNT_VSE WFP_101001_PC Products_By Region" xfId="0"/>
    <cellStyle name="_MNT_VSE WFP_101001_PC Products_CORP SG&amp;A" xfId="0"/>
    <cellStyle name="_MNT_VSE WFP_101001_PC Products_LCD" xfId="0"/>
    <cellStyle name="_MNT_VSE WFP_101001_PC Products_PJ" xfId="0"/>
    <cellStyle name="_MNT_VSE WFP_101001_VSA 111014" xfId="0"/>
    <cellStyle name="_MNT_VSE WFP_101001_VSA 111014 2" xfId="0"/>
    <cellStyle name="_MNT_VSE WFP_101001_VSA 111014 3" xfId="0"/>
    <cellStyle name="_MNT_VSE WFP_101001_VSA 111014 4" xfId="0"/>
    <cellStyle name="_MNT_VSE WFP_101001_VSA 111014 4 2" xfId="0"/>
    <cellStyle name="_MNT_VSE WFP_101001_VSA 111014_By Region" xfId="0"/>
    <cellStyle name="_MNT_VSE WFP_101001_VSA 111014_CORP SG&amp;A" xfId="0"/>
    <cellStyle name="_MNT_VSE WFP_101001_VSA 111014_LCD" xfId="0"/>
    <cellStyle name="_MNT_VSE WFP_101001_VSA 111014_PJ" xfId="0"/>
    <cellStyle name="_MNT_VSE WFP_101001_VSA Roll-Up (LW)" xfId="0"/>
    <cellStyle name="_MNT_VSE WFP_101001_VSA Roll-Up (LW) 2" xfId="0"/>
    <cellStyle name="_MNT_VSE WFP_101001_VSA Roll-Up (LW) 3" xfId="0"/>
    <cellStyle name="_MNT_VSE WFP_101001_VSA Roll-Up (LW) 4" xfId="0"/>
    <cellStyle name="_MNT_VSE WFP_101001_VSA Roll-Up (LW) 4 2" xfId="0"/>
    <cellStyle name="_MNT_VSE WFP_101001_VSA Roll-Up (LW)_By Region" xfId="0"/>
    <cellStyle name="_MNT_VSE WFP_101001_VSA Roll-Up (LW)_CORP SG&amp;A" xfId="0"/>
    <cellStyle name="_MNT_VSE WFP_101001_VSA Roll-Up (LW)_LCD" xfId="0"/>
    <cellStyle name="_MNT_VSE WFP_101001_VSA Roll-Up (LW)_PJ" xfId="0"/>
    <cellStyle name="_MNT_VSE WFP_101029-with more ViewPad 7" xfId="0"/>
    <cellStyle name="_MNT_VSE WFP_101029-with more ViewPad 7 2" xfId="0"/>
    <cellStyle name="_MNT_VSE WFP_101029-with more ViewPad 7 3" xfId="0"/>
    <cellStyle name="_MNT_VSE WFP_101029-with more ViewPad 7 4" xfId="0"/>
    <cellStyle name="_MNT_VSE WFP_101029-with more ViewPad 7_By Region" xfId="0"/>
    <cellStyle name="_MNT_VSE WFP_101029-with more ViewPad 7_CORP SG&amp;A" xfId="0"/>
    <cellStyle name="_MNT_VSE WFP_101029-with more ViewPad 7_Digitizer" xfId="0"/>
    <cellStyle name="_MNT_VSE WFP_101029-with more ViewPad 7_GPS OTHER" xfId="0"/>
    <cellStyle name="_MNT_VSE WFP_101029-with more ViewPad 7_GPS OTHER 2" xfId="0"/>
    <cellStyle name="_MNT_VSE WFP_101029-with more ViewPad 7_GPS OTHER 3" xfId="0"/>
    <cellStyle name="_MNT_VSE WFP_101029-with more ViewPad 7_GPS OTHER 4" xfId="0"/>
    <cellStyle name="_MNT_VSE WFP_101029-with more ViewPad 7_GPS OTHER 4 2" xfId="0"/>
    <cellStyle name="_MNT_VSE WFP_101029-with more ViewPad 7_GPS OTHER_By Region" xfId="0"/>
    <cellStyle name="_MNT_VSE WFP_101029-with more ViewPad 7_GPS OTHER_CORP SG&amp;A" xfId="0"/>
    <cellStyle name="_MNT_VSE WFP_101029-with more ViewPad 7_GPS OTHER_LCD" xfId="0"/>
    <cellStyle name="_MNT_VSE WFP_101029-with more ViewPad 7_GPS OTHER_PJ" xfId="0"/>
    <cellStyle name="_MNT_VSE WFP_101029-with more ViewPad 7_LCD" xfId="0"/>
    <cellStyle name="_MNT_VSE WFP_101029-with more ViewPad 7_LCD 2" xfId="0"/>
    <cellStyle name="_MNT_VSE WFP_101029-with more ViewPad 7_LCD 3" xfId="0"/>
    <cellStyle name="_MNT_VSE WFP_101029-with more ViewPad 7_LCD 4" xfId="0"/>
    <cellStyle name="_MNT_VSE WFP_101029-with more ViewPad 7_LCD_By Region" xfId="0"/>
    <cellStyle name="_MNT_VSE WFP_101029-with more ViewPad 7_LCD_CORP SG&amp;A" xfId="0"/>
    <cellStyle name="_MNT_VSE WFP_101029-with more ViewPad 7_LCD_LCD" xfId="0"/>
    <cellStyle name="_MNT_VSE WFP_101029-with more ViewPad 7_LCD_PJ" xfId="0"/>
    <cellStyle name="_MNT_VSE WFP_101029-with more ViewPad 7_PC Products" xfId="0"/>
    <cellStyle name="_MNT_VSE WFP_101029-with more ViewPad 7_PC Products 2" xfId="0"/>
    <cellStyle name="_MNT_VSE WFP_101029-with more ViewPad 7_PC Products 3" xfId="0"/>
    <cellStyle name="_MNT_VSE WFP_101029-with more ViewPad 7_PC Products 4" xfId="0"/>
    <cellStyle name="_MNT_VSE WFP_101029-with more ViewPad 7_PC Products 4 2" xfId="0"/>
    <cellStyle name="_MNT_VSE WFP_101029-with more ViewPad 7_PC Products_By Region" xfId="0"/>
    <cellStyle name="_MNT_VSE WFP_101029-with more ViewPad 7_PC Products_CORP SG&amp;A" xfId="0"/>
    <cellStyle name="_MNT_VSE WFP_101029-with more ViewPad 7_PC Products_LCD" xfId="0"/>
    <cellStyle name="_MNT_VSE WFP_101029-with more ViewPad 7_PC Products_PJ" xfId="0"/>
    <cellStyle name="_MNT_VSE WFP_101029-with more ViewPad 7_VSA 111014" xfId="0"/>
    <cellStyle name="_MNT_VSE WFP_101029-with more ViewPad 7_VSA 111014 2" xfId="0"/>
    <cellStyle name="_MNT_VSE WFP_101029-with more ViewPad 7_VSA 111014 3" xfId="0"/>
    <cellStyle name="_MNT_VSE WFP_101029-with more ViewPad 7_VSA 111014 4" xfId="0"/>
    <cellStyle name="_MNT_VSE WFP_101029-with more ViewPad 7_VSA 111014 4 2" xfId="0"/>
    <cellStyle name="_MNT_VSE WFP_101029-with more ViewPad 7_VSA 111014_By Region" xfId="0"/>
    <cellStyle name="_MNT_VSE WFP_101029-with more ViewPad 7_VSA 111014_CORP SG&amp;A" xfId="0"/>
    <cellStyle name="_MNT_VSE WFP_101029-with more ViewPad 7_VSA 111014_LCD" xfId="0"/>
    <cellStyle name="_MNT_VSE WFP_101029-with more ViewPad 7_VSA 111014_PJ" xfId="0"/>
    <cellStyle name="_MNT_VSE WFP_101029-with more ViewPad 7_VSA Roll-Up (LW)" xfId="0"/>
    <cellStyle name="_MNT_VSE WFP_101029-with more ViewPad 7_VSA Roll-Up (LW) 2" xfId="0"/>
    <cellStyle name="_MNT_VSE WFP_101029-with more ViewPad 7_VSA Roll-Up (LW) 3" xfId="0"/>
    <cellStyle name="_MNT_VSE WFP_101029-with more ViewPad 7_VSA Roll-Up (LW) 4" xfId="0"/>
    <cellStyle name="_MNT_VSE WFP_101029-with more ViewPad 7_VSA Roll-Up (LW) 4 2" xfId="0"/>
    <cellStyle name="_MNT_VSE WFP_101029-with more ViewPad 7_VSA Roll-Up (LW)_By Region" xfId="0"/>
    <cellStyle name="_MNT_VSE WFP_101029-with more ViewPad 7_VSA Roll-Up (LW)_CORP SG&amp;A" xfId="0"/>
    <cellStyle name="_MNT_VSE WFP_101029-with more ViewPad 7_VSA Roll-Up (LW)_LCD" xfId="0"/>
    <cellStyle name="_MNT_VSE WFP_101029-with more ViewPad 7_VSA Roll-Up (LW)_PJ" xfId="0"/>
    <cellStyle name="_Model reference table" xfId="0"/>
    <cellStyle name="_Model reference table 2" xfId="0"/>
    <cellStyle name="_Month Pivot" xfId="0"/>
    <cellStyle name="_Month Pivot 2" xfId="0"/>
    <cellStyle name="_New DSO (Line 22)" xfId="0"/>
    <cellStyle name="_New DSO (Line 22) 2" xfId="0"/>
    <cellStyle name="_new WMR" xfId="0"/>
    <cellStyle name="_new WMR 2" xfId="0"/>
    <cellStyle name="_new WMR_080822 WMR-VSC" xfId="0"/>
    <cellStyle name="_new WMR_080822 WMR-VSC 2" xfId="0"/>
    <cellStyle name="_new WMR_080829 WMR" xfId="0"/>
    <cellStyle name="_new WMR_080829 WMR 2" xfId="0"/>
    <cellStyle name="_new WMR_080905 WMR-VSC" xfId="0"/>
    <cellStyle name="_new WMR_080905 WMR-VSC 2" xfId="0"/>
    <cellStyle name="_new WMR_080912 WMR-VSC" xfId="0"/>
    <cellStyle name="_new WMR_080912 WMR-VSC 2" xfId="0"/>
    <cellStyle name="_new WMR_080919 WMR-VSC" xfId="0"/>
    <cellStyle name="_new WMR_080919 WMR-VSC 2" xfId="0"/>
    <cellStyle name="_new WMR_080926 WMR-VSC" xfId="0"/>
    <cellStyle name="_new WMR_080926 WMR-VSC 2" xfId="0"/>
    <cellStyle name="_new WMR_081003 WMR-VSC_1" xfId="0"/>
    <cellStyle name="_new WMR_081003 WMR-VSC_1 2" xfId="0"/>
    <cellStyle name="_new WMR_081010 WMR-VSC" xfId="0"/>
    <cellStyle name="_new WMR_081010 WMR-VSC 2" xfId="0"/>
    <cellStyle name="_new WMR_081017 WMR-VSC_1" xfId="0"/>
    <cellStyle name="_new WMR_081017 WMR-VSC_1 2" xfId="0"/>
    <cellStyle name="_new WMR_081024 WMR-VSC" xfId="0"/>
    <cellStyle name="_new WMR_081024 WMR-VSC 2" xfId="0"/>
    <cellStyle name="_new WMR_081031 WMR-VSC" xfId="0"/>
    <cellStyle name="_new WMR_081031 WMR-VSC 2" xfId="0"/>
    <cellStyle name="_new WMR_081107 WMR-VSC (2)" xfId="0"/>
    <cellStyle name="_new WMR_081107 WMR-VSC (2) 2" xfId="0"/>
    <cellStyle name="_new WMR_081107 WMR-VSC_1" xfId="0"/>
    <cellStyle name="_new WMR_081107 WMR-VSC_1 2" xfId="0"/>
    <cellStyle name="_new WMR_081114 WMR-VSC" xfId="0"/>
    <cellStyle name="_new WMR_081114 WMR-VSC 2" xfId="0"/>
    <cellStyle name="_new WMR_081121 WMR-VSC" xfId="0"/>
    <cellStyle name="_new WMR_081121 WMR-VSC 2" xfId="0"/>
    <cellStyle name="_new WMR_081128 WMR-VSC" xfId="0"/>
    <cellStyle name="_new WMR_081128 WMR-VSC 2" xfId="0"/>
    <cellStyle name="_new WMR_081128 WMR-VSC_1" xfId="0"/>
    <cellStyle name="_new WMR_081128 WMR-VSC_1 2" xfId="0"/>
    <cellStyle name="_new WMR_081205 WMR-VSC" xfId="0"/>
    <cellStyle name="_new WMR_081205 WMR-VSC 2" xfId="0"/>
    <cellStyle name="_new WMR_081212 WMR-VSC" xfId="0"/>
    <cellStyle name="_new WMR_081212 WMR-VSC 2" xfId="0"/>
    <cellStyle name="_new WMR_081219 WMR-VSC" xfId="0"/>
    <cellStyle name="_new WMR_081219 WMR-VSC 2" xfId="0"/>
    <cellStyle name="_new WMR_090102 WMR-VSC" xfId="0"/>
    <cellStyle name="_new WMR_090102 WMR-VSC 2" xfId="0"/>
    <cellStyle name="_new WMR_090424 WMR_VSE (2)" xfId="0"/>
    <cellStyle name="_new WMR_090424 WMR_VSE (2) 2" xfId="0"/>
    <cellStyle name="_new WMR_090703 WMR-VSC" xfId="0"/>
    <cellStyle name="_new WMR_090703 WMR-VSC 2" xfId="0"/>
    <cellStyle name="_new WMR_All Regions WMR Definitions - Updated 7-27-07" xfId="0"/>
    <cellStyle name="_new WMR_All Regions WMR Definitions - Updated 7-27-07 (3)" xfId="0"/>
    <cellStyle name="_new WMR_All Regions WMR Definitions - Updated 7-27-07 (3) 2" xfId="0"/>
    <cellStyle name="_new WMR_All Regions WMR Definitions - Updated 7-27-07 2" xfId="0"/>
    <cellStyle name="_new WMR_All Regions WMR Definitions - Updated 7-27-07 3" xfId="0"/>
    <cellStyle name="_new WMR_All Regions WMR Definitions - Updated 7-27-07 4" xfId="0"/>
    <cellStyle name="_new WMR_AP Turn Days old" xfId="0"/>
    <cellStyle name="_new WMR_AP Turn Days old 2" xfId="0"/>
    <cellStyle name="_new WMR_Cash" xfId="0"/>
    <cellStyle name="_new WMR_Cash 2" xfId="0"/>
    <cellStyle name="_new WMR_Charts" xfId="0"/>
    <cellStyle name="_new WMR_Charts 2" xfId="0"/>
    <cellStyle name="_new WMR_Inv Data" xfId="0"/>
    <cellStyle name="_new WMR_Inv Data 2" xfId="0"/>
    <cellStyle name="_new WMR_Inventory Pivot" xfId="0"/>
    <cellStyle name="_new WMR_Inventory Pivot 2" xfId="0"/>
    <cellStyle name="_new WMR_New Calculation of Inventory turn day" xfId="0"/>
    <cellStyle name="_new WMR_New Calculation of Inventory turn day 2" xfId="0"/>
    <cellStyle name="_new WMR_NEW WMR" xfId="0"/>
    <cellStyle name="_new WMR_NEW WMR 2" xfId="0"/>
    <cellStyle name="_new WMR_OpenOrder Data" xfId="0"/>
    <cellStyle name="_new WMR_OpenOrder Data 2" xfId="0"/>
    <cellStyle name="_new WMR_Turn Days" xfId="0"/>
    <cellStyle name="_new WMR_Turn Days 2" xfId="0"/>
    <cellStyle name="_new WMR_VDL" xfId="0"/>
    <cellStyle name="_new WMR_VDL 2" xfId="0"/>
    <cellStyle name="_new WMR_VSA" xfId="0"/>
    <cellStyle name="_new WMR_VSA 2" xfId="0"/>
    <cellStyle name="_new WMR_VSA Cash Flow Model (6-4-07)" xfId="0"/>
    <cellStyle name="_new WMR_VSA Cash Flow Model (6-4-07) 2" xfId="0"/>
    <cellStyle name="_new WMR_VSACE" xfId="0"/>
    <cellStyle name="_new WMR_VSACE 2" xfId="0"/>
    <cellStyle name="_new WMR_VSC" xfId="0"/>
    <cellStyle name="_new WMR_VSC 2" xfId="0"/>
    <cellStyle name="_new WMR_VSCN" xfId="0"/>
    <cellStyle name="_new WMR_VSCN 2" xfId="0"/>
    <cellStyle name="_new WMR_VSE" xfId="0"/>
    <cellStyle name="_new WMR_VSE 2" xfId="0"/>
    <cellStyle name="_new WMR_VSE WMR Workbook 08-07-09" xfId="0"/>
    <cellStyle name="_new WMR_VSE WMR Workbook 08-07-09 2" xfId="0"/>
    <cellStyle name="_new WMR_VSE WMR Workbook 11-19-10" xfId="0"/>
    <cellStyle name="_new WMR_VSE WMR Workbook 11-19-10 2" xfId="0"/>
    <cellStyle name="_new WMR_VSE WMR Workbook 12-31-10" xfId="0"/>
    <cellStyle name="_new WMR_VSE WMR Workbook 12-31-10 2" xfId="0"/>
    <cellStyle name="_new WMR_VSI" xfId="0"/>
    <cellStyle name="_new WMR_VSI 2" xfId="0"/>
    <cellStyle name="_new WMR_VSI-WMR" xfId="0"/>
    <cellStyle name="_new WMR_VSI-WMR (5)" xfId="0"/>
    <cellStyle name="_new WMR_VSI-WMR (5) 2" xfId="0"/>
    <cellStyle name="_new WMR_VSI-WMR (6)" xfId="0"/>
    <cellStyle name="_new WMR_VSI-WMR (6) 2" xfId="0"/>
    <cellStyle name="_new WMR_VSI-WMR 10" xfId="0"/>
    <cellStyle name="_new WMR_VSI-WMR 2" xfId="0"/>
    <cellStyle name="_new WMR_VSI-WMR 2007-07-06" xfId="0"/>
    <cellStyle name="_new WMR_VSI-WMR 2007-07-06 2" xfId="0"/>
    <cellStyle name="_new WMR_VSI-WMR 3" xfId="0"/>
    <cellStyle name="_new WMR_VSI-WMR 4" xfId="0"/>
    <cellStyle name="_new WMR_VSI-WMR 5" xfId="0"/>
    <cellStyle name="_new WMR_VSI-WMR 6" xfId="0"/>
    <cellStyle name="_new WMR_VSI-WMR 7" xfId="0"/>
    <cellStyle name="_new WMR_VSI-WMR 8" xfId="0"/>
    <cellStyle name="_new WMR_VSI-WMR 9" xfId="0"/>
    <cellStyle name="_new WMR_VSI-WMR_080822 WMR-VSC" xfId="0"/>
    <cellStyle name="_new WMR_VSI-WMR_080822 WMR-VSC 2" xfId="0"/>
    <cellStyle name="_new WMR_VSI-WMR_080829 WMR" xfId="0"/>
    <cellStyle name="_new WMR_VSI-WMR_080829 WMR 2" xfId="0"/>
    <cellStyle name="_new WMR_VSI-WMR_080905 WMR-VSC" xfId="0"/>
    <cellStyle name="_new WMR_VSI-WMR_080905 WMR-VSC 2" xfId="0"/>
    <cellStyle name="_new WMR_VSI-WMR_080912 WMR-VSC" xfId="0"/>
    <cellStyle name="_new WMR_VSI-WMR_080912 WMR-VSC 2" xfId="0"/>
    <cellStyle name="_new WMR_VSI-WMR_080919 WMR-VSC" xfId="0"/>
    <cellStyle name="_new WMR_VSI-WMR_080919 WMR-VSC 2" xfId="0"/>
    <cellStyle name="_new WMR_VSI-WMR_080926 WMR-VSC" xfId="0"/>
    <cellStyle name="_new WMR_VSI-WMR_080926 WMR-VSC 2" xfId="0"/>
    <cellStyle name="_new WMR_VSI-WMR_081003 WMR-VSC_1" xfId="0"/>
    <cellStyle name="_new WMR_VSI-WMR_081003 WMR-VSC_1 2" xfId="0"/>
    <cellStyle name="_new WMR_VSI-WMR_081010 WMR-VSC" xfId="0"/>
    <cellStyle name="_new WMR_VSI-WMR_081010 WMR-VSC 2" xfId="0"/>
    <cellStyle name="_new WMR_VSI-WMR_081017 WMR-VSC_1" xfId="0"/>
    <cellStyle name="_new WMR_VSI-WMR_081017 WMR-VSC_1 2" xfId="0"/>
    <cellStyle name="_new WMR_VSI-WMR_081024 WMR-VSC" xfId="0"/>
    <cellStyle name="_new WMR_VSI-WMR_081024 WMR-VSC 2" xfId="0"/>
    <cellStyle name="_new WMR_VSI-WMR_081031 WMR-VSC" xfId="0"/>
    <cellStyle name="_new WMR_VSI-WMR_081031 WMR-VSC 2" xfId="0"/>
    <cellStyle name="_new WMR_VSI-WMR_081107 WMR-VSC (2)" xfId="0"/>
    <cellStyle name="_new WMR_VSI-WMR_081107 WMR-VSC (2) 2" xfId="0"/>
    <cellStyle name="_new WMR_VSI-WMR_081107 WMR-VSC_1" xfId="0"/>
    <cellStyle name="_new WMR_VSI-WMR_081107 WMR-VSC_1 2" xfId="0"/>
    <cellStyle name="_new WMR_VSI-WMR_081114 WMR-VSC" xfId="0"/>
    <cellStyle name="_new WMR_VSI-WMR_081114 WMR-VSC 2" xfId="0"/>
    <cellStyle name="_new WMR_VSI-WMR_081121 WMR-VSC" xfId="0"/>
    <cellStyle name="_new WMR_VSI-WMR_081121 WMR-VSC 2" xfId="0"/>
    <cellStyle name="_new WMR_VSI-WMR_081128 WMR-VSC" xfId="0"/>
    <cellStyle name="_new WMR_VSI-WMR_081128 WMR-VSC 2" xfId="0"/>
    <cellStyle name="_new WMR_VSI-WMR_081128 WMR-VSC_1" xfId="0"/>
    <cellStyle name="_new WMR_VSI-WMR_081128 WMR-VSC_1 2" xfId="0"/>
    <cellStyle name="_new WMR_VSI-WMR_081205 WMR-VSC" xfId="0"/>
    <cellStyle name="_new WMR_VSI-WMR_081205 WMR-VSC 2" xfId="0"/>
    <cellStyle name="_new WMR_VSI-WMR_081212 WMR-VSC" xfId="0"/>
    <cellStyle name="_new WMR_VSI-WMR_081212 WMR-VSC 2" xfId="0"/>
    <cellStyle name="_new WMR_VSI-WMR_081219 WMR-VSC" xfId="0"/>
    <cellStyle name="_new WMR_VSI-WMR_081219 WMR-VSC 2" xfId="0"/>
    <cellStyle name="_new WMR_VSI-WMR_090102 WMR-VSC" xfId="0"/>
    <cellStyle name="_new WMR_VSI-WMR_090102 WMR-VSC 2" xfId="0"/>
    <cellStyle name="_new WMR_VSI-WMR_090424 WMR_VSE (2)" xfId="0"/>
    <cellStyle name="_new WMR_VSI-WMR_090424 WMR_VSE (2) 2" xfId="0"/>
    <cellStyle name="_new WMR_VSI-WMR_090703 WMR-VSC" xfId="0"/>
    <cellStyle name="_new WMR_VSI-WMR_090703 WMR-VSC 2" xfId="0"/>
    <cellStyle name="_new WMR_VSI-WMR_AP Turn Days old" xfId="0"/>
    <cellStyle name="_new WMR_VSI-WMR_AP Turn Days old 2" xfId="0"/>
    <cellStyle name="_new WMR_VSI-WMR_Cash" xfId="0"/>
    <cellStyle name="_new WMR_VSI-WMR_Cash 2" xfId="0"/>
    <cellStyle name="_new WMR_VSI-WMR_Charts" xfId="0"/>
    <cellStyle name="_new WMR_VSI-WMR_Charts 2" xfId="0"/>
    <cellStyle name="_new WMR_VSI-WMR_Inv Data" xfId="0"/>
    <cellStyle name="_new WMR_VSI-WMR_Inv Data 2" xfId="0"/>
    <cellStyle name="_new WMR_VSI-WMR_Inventory Pivot" xfId="0"/>
    <cellStyle name="_new WMR_VSI-WMR_Inventory Pivot 2" xfId="0"/>
    <cellStyle name="_new WMR_VSI-WMR_NEW WMR" xfId="0"/>
    <cellStyle name="_new WMR_VSI-WMR_NEW WMR 2" xfId="0"/>
    <cellStyle name="_new WMR_VSI-WMR_OpenOrder Data" xfId="0"/>
    <cellStyle name="_new WMR_VSI-WMR_OpenOrder Data 2" xfId="0"/>
    <cellStyle name="_new WMR_VSI-WMR_Turn Days" xfId="0"/>
    <cellStyle name="_new WMR_VSI-WMR_Turn Days 2" xfId="0"/>
    <cellStyle name="_new WMR_VSI-WMR_VDL" xfId="0"/>
    <cellStyle name="_new WMR_VSI-WMR_VDL 2" xfId="0"/>
    <cellStyle name="_new WMR_VSI-WMR_VSA" xfId="0"/>
    <cellStyle name="_new WMR_VSI-WMR_VSA 2" xfId="0"/>
    <cellStyle name="_new WMR_VSI-WMR_VSA Cash Flow Model (6-4-07)" xfId="0"/>
    <cellStyle name="_new WMR_VSI-WMR_VSA Cash Flow Model (6-4-07) 2" xfId="0"/>
    <cellStyle name="_new WMR_VSI-WMR_VSACE" xfId="0"/>
    <cellStyle name="_new WMR_VSI-WMR_VSACE 2" xfId="0"/>
    <cellStyle name="_new WMR_VSI-WMR_VSC" xfId="0"/>
    <cellStyle name="_new WMR_VSI-WMR_VSC 2" xfId="0"/>
    <cellStyle name="_new WMR_VSI-WMR_VSCN" xfId="0"/>
    <cellStyle name="_new WMR_VSI-WMR_VSCN 2" xfId="0"/>
    <cellStyle name="_new WMR_VSI-WMR_VSE" xfId="0"/>
    <cellStyle name="_new WMR_VSI-WMR_VSE 2" xfId="0"/>
    <cellStyle name="_new WMR_VSI-WMR_VSE WMR Workbook 08-07-09" xfId="0"/>
    <cellStyle name="_new WMR_VSI-WMR_VSE WMR Workbook 08-07-09 2" xfId="0"/>
    <cellStyle name="_new WMR_VSI-WMR_VSE WMR Workbook 11-19-10" xfId="0"/>
    <cellStyle name="_new WMR_VSI-WMR_VSE WMR Workbook 11-19-10 2" xfId="0"/>
    <cellStyle name="_new WMR_VSI-WMR_VSE WMR Workbook 12-31-10" xfId="0"/>
    <cellStyle name="_new WMR_VSI-WMR_VSE WMR Workbook 12-31-10 2" xfId="0"/>
    <cellStyle name="_new WMR_VSI-WMR_VSI" xfId="0"/>
    <cellStyle name="_new WMR_VSI-WMR_VSI 2" xfId="0"/>
    <cellStyle name="_new WMR_VSI-WMR_WMR" xfId="0"/>
    <cellStyle name="_new WMR_VSI-WMR_WMR (by QTY)" xfId="0"/>
    <cellStyle name="_new WMR_VSI-WMR_WMR (by QTY) 2" xfId="0"/>
    <cellStyle name="_new WMR_VSI-WMR_WMR 2" xfId="0"/>
    <cellStyle name="_new WMR_VSI-WMR_WMR 3" xfId="0"/>
    <cellStyle name="_new WMR_VSI-WMR_WMR 4" xfId="0"/>
    <cellStyle name="_new WMR_WMR" xfId="0"/>
    <cellStyle name="_new WMR_WMR (by QTY)" xfId="0"/>
    <cellStyle name="_new WMR_WMR (by QTY) 2" xfId="0"/>
    <cellStyle name="_new WMR_WMR 2" xfId="0"/>
    <cellStyle name="_new WMR_WMR 3" xfId="0"/>
    <cellStyle name="_new WMR_WMR 4" xfId="0"/>
    <cellStyle name="_new WMR_WMR Definitions" xfId="0"/>
    <cellStyle name="_new WMR_WMR Definitions 2" xfId="0"/>
    <cellStyle name="_No1-RD" xfId="0"/>
    <cellStyle name="_No1-RD 2" xfId="0"/>
    <cellStyle name="_NOK" xfId="0"/>
    <cellStyle name="_NOK 2" xfId="0"/>
    <cellStyle name="_Nordic" xfId="0"/>
    <cellStyle name="_Nordic 2" xfId="0"/>
    <cellStyle name="_Nov End" xfId="0"/>
    <cellStyle name="_Nov End 2" xfId="0"/>
    <cellStyle name="_Nov End_CORP SG&amp;A" xfId="0"/>
    <cellStyle name="_NOV-10 VSI Consolidated BS" xfId="0"/>
    <cellStyle name="_NOV-10 VSI Consolidated BS 2" xfId="0"/>
    <cellStyle name="_NOV-10 VSI Consolidated P&amp;L" xfId="0"/>
    <cellStyle name="_NOV-10 VSI Consolidated P&amp;L 2" xfId="0"/>
    <cellStyle name="_NOV-10 VSI Consolidated SG&amp;A" xfId="0"/>
    <cellStyle name="_NOV-10 VSI Consolidated SG&amp;A 2" xfId="0"/>
    <cellStyle name="_OCT-10 VSI Consolidated BS" xfId="0"/>
    <cellStyle name="_OCT-10 VSI Consolidated BS 2" xfId="0"/>
    <cellStyle name="_OCT-10 VSI Consolidated P&amp;L" xfId="0"/>
    <cellStyle name="_OCT-10 VSI Consolidated P&amp;L 2" xfId="0"/>
    <cellStyle name="_OCT-10 VSI Consolidated SG&amp;A" xfId="0"/>
    <cellStyle name="_OCT-10 VSI Consolidated SG&amp;A 2" xfId="0"/>
    <cellStyle name="_on water chart &amp; AP" xfId="0"/>
    <cellStyle name="_on water chart &amp; AP 2" xfId="0"/>
    <cellStyle name="_Other" xfId="0"/>
    <cellStyle name="_Other 2" xfId="0"/>
    <cellStyle name="_Other 3" xfId="0"/>
    <cellStyle name="_Other 4" xfId="0"/>
    <cellStyle name="_Other 5" xfId="0"/>
    <cellStyle name="_Other_By Region" xfId="0"/>
    <cellStyle name="_Other_CIS" xfId="0"/>
    <cellStyle name="_Other_CIS 2" xfId="0"/>
    <cellStyle name="_Other_CIS 3" xfId="0"/>
    <cellStyle name="_Other_CIS 4" xfId="0"/>
    <cellStyle name="_Other_CIS_By Region" xfId="0"/>
    <cellStyle name="_Other_CIS_CORP SG&amp;A" xfId="0"/>
    <cellStyle name="_Other_CIS_Digitizer" xfId="0"/>
    <cellStyle name="_Other_CIS_GPS OTHER" xfId="0"/>
    <cellStyle name="_Other_CIS_GPS OTHER 2" xfId="0"/>
    <cellStyle name="_Other_CIS_GPS OTHER 3" xfId="0"/>
    <cellStyle name="_Other_CIS_GPS OTHER 4" xfId="0"/>
    <cellStyle name="_Other_CIS_GPS OTHER 4 2" xfId="0"/>
    <cellStyle name="_Other_CIS_GPS OTHER_By Region" xfId="0"/>
    <cellStyle name="_Other_CIS_GPS OTHER_CORP SG&amp;A" xfId="0"/>
    <cellStyle name="_Other_CIS_GPS OTHER_LCD" xfId="0"/>
    <cellStyle name="_Other_CIS_GPS OTHER_PJ" xfId="0"/>
    <cellStyle name="_Other_CIS_LCD" xfId="0"/>
    <cellStyle name="_Other_CIS_LCD 2" xfId="0"/>
    <cellStyle name="_Other_CIS_LCD 3" xfId="0"/>
    <cellStyle name="_Other_CIS_LCD 4" xfId="0"/>
    <cellStyle name="_Other_CIS_LCD_By Region" xfId="0"/>
    <cellStyle name="_Other_CIS_LCD_CORP SG&amp;A" xfId="0"/>
    <cellStyle name="_Other_CIS_LCD_LCD" xfId="0"/>
    <cellStyle name="_Other_CIS_LCD_PJ" xfId="0"/>
    <cellStyle name="_Other_CIS_PC Products" xfId="0"/>
    <cellStyle name="_Other_CIS_PC Products 2" xfId="0"/>
    <cellStyle name="_Other_CIS_PC Products 3" xfId="0"/>
    <cellStyle name="_Other_CIS_PC Products 4" xfId="0"/>
    <cellStyle name="_Other_CIS_PC Products 4 2" xfId="0"/>
    <cellStyle name="_Other_CIS_PC Products_By Region" xfId="0"/>
    <cellStyle name="_Other_CIS_PC Products_CORP SG&amp;A" xfId="0"/>
    <cellStyle name="_Other_CIS_PC Products_LCD" xfId="0"/>
    <cellStyle name="_Other_CIS_PC Products_PJ" xfId="0"/>
    <cellStyle name="_Other_CIS_VSA 111014" xfId="0"/>
    <cellStyle name="_Other_CIS_VSA 111014 2" xfId="0"/>
    <cellStyle name="_Other_CIS_VSA 111014 3" xfId="0"/>
    <cellStyle name="_Other_CIS_VSA 111014 4" xfId="0"/>
    <cellStyle name="_Other_CIS_VSA 111014 4 2" xfId="0"/>
    <cellStyle name="_Other_CIS_VSA 111014_By Region" xfId="0"/>
    <cellStyle name="_Other_CIS_VSA 111014_CORP SG&amp;A" xfId="0"/>
    <cellStyle name="_Other_CIS_VSA 111014_LCD" xfId="0"/>
    <cellStyle name="_Other_CIS_VSA 111014_PJ" xfId="0"/>
    <cellStyle name="_Other_CIS_VSA Roll-Up (LW)" xfId="0"/>
    <cellStyle name="_Other_CIS_VSA Roll-Up (LW) 2" xfId="0"/>
    <cellStyle name="_Other_CIS_VSA Roll-Up (LW) 3" xfId="0"/>
    <cellStyle name="_Other_CIS_VSA Roll-Up (LW) 4" xfId="0"/>
    <cellStyle name="_Other_CIS_VSA Roll-Up (LW) 4 2" xfId="0"/>
    <cellStyle name="_Other_CIS_VSA Roll-Up (LW)_By Region" xfId="0"/>
    <cellStyle name="_Other_CIS_VSA Roll-Up (LW)_CORP SG&amp;A" xfId="0"/>
    <cellStyle name="_Other_CIS_VSA Roll-Up (LW)_LCD" xfId="0"/>
    <cellStyle name="_Other_CIS_VSA Roll-Up (LW)_PJ" xfId="0"/>
    <cellStyle name="_Other_CORP SG&amp;A" xfId="0"/>
    <cellStyle name="_Other_CRT" xfId="0"/>
    <cellStyle name="_Other_CRT 2" xfId="0"/>
    <cellStyle name="_Other_CRT 3" xfId="0"/>
    <cellStyle name="_Other_CRT 4" xfId="0"/>
    <cellStyle name="_Other_CRT_By Region" xfId="0"/>
    <cellStyle name="_Other_CRT_CORP SG&amp;A" xfId="0"/>
    <cellStyle name="_Other_CRT_Digitizer" xfId="0"/>
    <cellStyle name="_Other_CRT_GPS OTHER" xfId="0"/>
    <cellStyle name="_Other_CRT_GPS OTHER 2" xfId="0"/>
    <cellStyle name="_Other_CRT_GPS OTHER 3" xfId="0"/>
    <cellStyle name="_Other_CRT_GPS OTHER 4" xfId="0"/>
    <cellStyle name="_Other_CRT_GPS OTHER 4 2" xfId="0"/>
    <cellStyle name="_Other_CRT_GPS OTHER_By Region" xfId="0"/>
    <cellStyle name="_Other_CRT_GPS OTHER_CORP SG&amp;A" xfId="0"/>
    <cellStyle name="_Other_CRT_GPS OTHER_LCD" xfId="0"/>
    <cellStyle name="_Other_CRT_GPS OTHER_PJ" xfId="0"/>
    <cellStyle name="_Other_CRT_LCD" xfId="0"/>
    <cellStyle name="_Other_CRT_LCD 2" xfId="0"/>
    <cellStyle name="_Other_CRT_LCD 3" xfId="0"/>
    <cellStyle name="_Other_CRT_LCD 4" xfId="0"/>
    <cellStyle name="_Other_CRT_LCD_By Region" xfId="0"/>
    <cellStyle name="_Other_CRT_LCD_CORP SG&amp;A" xfId="0"/>
    <cellStyle name="_Other_CRT_LCD_LCD" xfId="0"/>
    <cellStyle name="_Other_CRT_LCD_PJ" xfId="0"/>
    <cellStyle name="_Other_CRT_PC Products" xfId="0"/>
    <cellStyle name="_Other_CRT_PC Products 2" xfId="0"/>
    <cellStyle name="_Other_CRT_PC Products 3" xfId="0"/>
    <cellStyle name="_Other_CRT_PC Products 4" xfId="0"/>
    <cellStyle name="_Other_CRT_PC Products 4 2" xfId="0"/>
    <cellStyle name="_Other_CRT_PC Products_By Region" xfId="0"/>
    <cellStyle name="_Other_CRT_PC Products_CORP SG&amp;A" xfId="0"/>
    <cellStyle name="_Other_CRT_PC Products_LCD" xfId="0"/>
    <cellStyle name="_Other_CRT_PC Products_PJ" xfId="0"/>
    <cellStyle name="_Other_CRT_VSA 111014" xfId="0"/>
    <cellStyle name="_Other_CRT_VSA 111014 2" xfId="0"/>
    <cellStyle name="_Other_CRT_VSA 111014 3" xfId="0"/>
    <cellStyle name="_Other_CRT_VSA 111014 4" xfId="0"/>
    <cellStyle name="_Other_CRT_VSA 111014 4 2" xfId="0"/>
    <cellStyle name="_Other_CRT_VSA 111014_By Region" xfId="0"/>
    <cellStyle name="_Other_CRT_VSA 111014_CORP SG&amp;A" xfId="0"/>
    <cellStyle name="_Other_CRT_VSA 111014_LCD" xfId="0"/>
    <cellStyle name="_Other_CRT_VSA 111014_PJ" xfId="0"/>
    <cellStyle name="_Other_CRT_VSA Roll-Up (LW)" xfId="0"/>
    <cellStyle name="_Other_CRT_VSA Roll-Up (LW) 2" xfId="0"/>
    <cellStyle name="_Other_CRT_VSA Roll-Up (LW) 3" xfId="0"/>
    <cellStyle name="_Other_CRT_VSA Roll-Up (LW) 4" xfId="0"/>
    <cellStyle name="_Other_CRT_VSA Roll-Up (LW) 4 2" xfId="0"/>
    <cellStyle name="_Other_CRT_VSA Roll-Up (LW)_By Region" xfId="0"/>
    <cellStyle name="_Other_CRT_VSA Roll-Up (LW)_CORP SG&amp;A" xfId="0"/>
    <cellStyle name="_Other_CRT_VSA Roll-Up (LW)_LCD" xfId="0"/>
    <cellStyle name="_Other_CRT_VSA Roll-Up (LW)_PJ" xfId="0"/>
    <cellStyle name="_Other_Diff" xfId="0"/>
    <cellStyle name="_Other_Diff 2" xfId="0"/>
    <cellStyle name="_Other_Diff 3" xfId="0"/>
    <cellStyle name="_Other_Diff 4" xfId="0"/>
    <cellStyle name="_Other_Diff_By Region" xfId="0"/>
    <cellStyle name="_Other_Diff_CORP SG&amp;A" xfId="0"/>
    <cellStyle name="_Other_Diff_Digitizer" xfId="0"/>
    <cellStyle name="_Other_Diff_GPS OTHER" xfId="0"/>
    <cellStyle name="_Other_Diff_GPS OTHER 2" xfId="0"/>
    <cellStyle name="_Other_Diff_GPS OTHER 3" xfId="0"/>
    <cellStyle name="_Other_Diff_GPS OTHER 4" xfId="0"/>
    <cellStyle name="_Other_Diff_GPS OTHER 4 2" xfId="0"/>
    <cellStyle name="_Other_Diff_GPS OTHER_By Region" xfId="0"/>
    <cellStyle name="_Other_Diff_GPS OTHER_CORP SG&amp;A" xfId="0"/>
    <cellStyle name="_Other_Diff_GPS OTHER_LCD" xfId="0"/>
    <cellStyle name="_Other_Diff_GPS OTHER_PJ" xfId="0"/>
    <cellStyle name="_Other_Diff_LCD" xfId="0"/>
    <cellStyle name="_Other_Diff_LCD 2" xfId="0"/>
    <cellStyle name="_Other_Diff_LCD 3" xfId="0"/>
    <cellStyle name="_Other_Diff_LCD 4" xfId="0"/>
    <cellStyle name="_Other_Diff_LCD_By Region" xfId="0"/>
    <cellStyle name="_Other_Diff_LCD_CORP SG&amp;A" xfId="0"/>
    <cellStyle name="_Other_Diff_LCD_LCD" xfId="0"/>
    <cellStyle name="_Other_Diff_LCD_PJ" xfId="0"/>
    <cellStyle name="_Other_Diff_PC Products" xfId="0"/>
    <cellStyle name="_Other_Diff_PC Products 2" xfId="0"/>
    <cellStyle name="_Other_Diff_PC Products 3" xfId="0"/>
    <cellStyle name="_Other_Diff_PC Products 4" xfId="0"/>
    <cellStyle name="_Other_Diff_PC Products 4 2" xfId="0"/>
    <cellStyle name="_Other_Diff_PC Products_By Region" xfId="0"/>
    <cellStyle name="_Other_Diff_PC Products_CORP SG&amp;A" xfId="0"/>
    <cellStyle name="_Other_Diff_PC Products_LCD" xfId="0"/>
    <cellStyle name="_Other_Diff_PC Products_PJ" xfId="0"/>
    <cellStyle name="_Other_Diff_VSA 111014" xfId="0"/>
    <cellStyle name="_Other_Diff_VSA 111014 2" xfId="0"/>
    <cellStyle name="_Other_Diff_VSA 111014 3" xfId="0"/>
    <cellStyle name="_Other_Diff_VSA 111014 4" xfId="0"/>
    <cellStyle name="_Other_Diff_VSA 111014 4 2" xfId="0"/>
    <cellStyle name="_Other_Diff_VSA 111014_By Region" xfId="0"/>
    <cellStyle name="_Other_Diff_VSA 111014_CORP SG&amp;A" xfId="0"/>
    <cellStyle name="_Other_Diff_VSA 111014_LCD" xfId="0"/>
    <cellStyle name="_Other_Diff_VSA 111014_PJ" xfId="0"/>
    <cellStyle name="_Other_Diff_VSA Roll-Up (LW)" xfId="0"/>
    <cellStyle name="_Other_Diff_VSA Roll-Up (LW) 2" xfId="0"/>
    <cellStyle name="_Other_Diff_VSA Roll-Up (LW) 3" xfId="0"/>
    <cellStyle name="_Other_Diff_VSA Roll-Up (LW) 4" xfId="0"/>
    <cellStyle name="_Other_Diff_VSA Roll-Up (LW) 4 2" xfId="0"/>
    <cellStyle name="_Other_Diff_VSA Roll-Up (LW)_By Region" xfId="0"/>
    <cellStyle name="_Other_Diff_VSA Roll-Up (LW)_CORP SG&amp;A" xfId="0"/>
    <cellStyle name="_Other_Diff_VSA Roll-Up (LW)_LCD" xfId="0"/>
    <cellStyle name="_Other_Diff_VSA Roll-Up (LW)_PJ" xfId="0"/>
    <cellStyle name="_Other_Digital Product" xfId="0"/>
    <cellStyle name="_Other_Digital Product 2" xfId="0"/>
    <cellStyle name="_Other_Digital Product 3" xfId="0"/>
    <cellStyle name="_Other_Digital Product 4" xfId="0"/>
    <cellStyle name="_Other_Digital Product_By Region" xfId="0"/>
    <cellStyle name="_Other_Digital Product_CORP SG&amp;A" xfId="0"/>
    <cellStyle name="_Other_Digital Product_Digitizer" xfId="0"/>
    <cellStyle name="_Other_Digital Product_GPS OTHER" xfId="0"/>
    <cellStyle name="_Other_Digital Product_GPS OTHER 2" xfId="0"/>
    <cellStyle name="_Other_Digital Product_GPS OTHER 3" xfId="0"/>
    <cellStyle name="_Other_Digital Product_GPS OTHER 4" xfId="0"/>
    <cellStyle name="_Other_Digital Product_GPS OTHER 4 2" xfId="0"/>
    <cellStyle name="_Other_Digital Product_GPS OTHER_By Region" xfId="0"/>
    <cellStyle name="_Other_Digital Product_GPS OTHER_CORP SG&amp;A" xfId="0"/>
    <cellStyle name="_Other_Digital Product_GPS OTHER_LCD" xfId="0"/>
    <cellStyle name="_Other_Digital Product_GPS OTHER_PJ" xfId="0"/>
    <cellStyle name="_Other_Digital Product_LCD" xfId="0"/>
    <cellStyle name="_Other_Digital Product_LCD 2" xfId="0"/>
    <cellStyle name="_Other_Digital Product_LCD 3" xfId="0"/>
    <cellStyle name="_Other_Digital Product_LCD 4" xfId="0"/>
    <cellStyle name="_Other_Digital Product_LCD_By Region" xfId="0"/>
    <cellStyle name="_Other_Digital Product_LCD_CORP SG&amp;A" xfId="0"/>
    <cellStyle name="_Other_Digital Product_LCD_LCD" xfId="0"/>
    <cellStyle name="_Other_Digital Product_LCD_PJ" xfId="0"/>
    <cellStyle name="_Other_Digital Product_PC Products" xfId="0"/>
    <cellStyle name="_Other_Digital Product_PC Products 2" xfId="0"/>
    <cellStyle name="_Other_Digital Product_PC Products 3" xfId="0"/>
    <cellStyle name="_Other_Digital Product_PC Products 4" xfId="0"/>
    <cellStyle name="_Other_Digital Product_PC Products 4 2" xfId="0"/>
    <cellStyle name="_Other_Digital Product_PC Products_By Region" xfId="0"/>
    <cellStyle name="_Other_Digital Product_PC Products_CORP SG&amp;A" xfId="0"/>
    <cellStyle name="_Other_Digital Product_PC Products_LCD" xfId="0"/>
    <cellStyle name="_Other_Digital Product_PC Products_PJ" xfId="0"/>
    <cellStyle name="_Other_Digital Product_VSA 111014" xfId="0"/>
    <cellStyle name="_Other_Digital Product_VSA 111014 2" xfId="0"/>
    <cellStyle name="_Other_Digital Product_VSA 111014 3" xfId="0"/>
    <cellStyle name="_Other_Digital Product_VSA 111014 4" xfId="0"/>
    <cellStyle name="_Other_Digital Product_VSA 111014 4 2" xfId="0"/>
    <cellStyle name="_Other_Digital Product_VSA 111014_By Region" xfId="0"/>
    <cellStyle name="_Other_Digital Product_VSA 111014_CORP SG&amp;A" xfId="0"/>
    <cellStyle name="_Other_Digital Product_VSA 111014_LCD" xfId="0"/>
    <cellStyle name="_Other_Digital Product_VSA 111014_PJ" xfId="0"/>
    <cellStyle name="_Other_Digital Product_VSA Roll-Up (LW)" xfId="0"/>
    <cellStyle name="_Other_Digital Product_VSA Roll-Up (LW) 2" xfId="0"/>
    <cellStyle name="_Other_Digital Product_VSA Roll-Up (LW) 3" xfId="0"/>
    <cellStyle name="_Other_Digital Product_VSA Roll-Up (LW) 4" xfId="0"/>
    <cellStyle name="_Other_Digital Product_VSA Roll-Up (LW) 4 2" xfId="0"/>
    <cellStyle name="_Other_Digital Product_VSA Roll-Up (LW)_By Region" xfId="0"/>
    <cellStyle name="_Other_Digital Product_VSA Roll-Up (LW)_CORP SG&amp;A" xfId="0"/>
    <cellStyle name="_Other_Digital Product_VSA Roll-Up (LW)_LCD" xfId="0"/>
    <cellStyle name="_Other_Digital Product_VSA Roll-Up (LW)_PJ" xfId="0"/>
    <cellStyle name="_Other_Digital Signage" xfId="0"/>
    <cellStyle name="_Other_Digital Signage 2" xfId="0"/>
    <cellStyle name="_Other_Digital Signage 3" xfId="0"/>
    <cellStyle name="_Other_Digital Signage 4" xfId="0"/>
    <cellStyle name="_Other_Digital Signage_By Region" xfId="0"/>
    <cellStyle name="_Other_Digital Signage_CORP SG&amp;A" xfId="0"/>
    <cellStyle name="_Other_Digital Signage_Digitizer" xfId="0"/>
    <cellStyle name="_Other_Digital Signage_GPS OTHER" xfId="0"/>
    <cellStyle name="_Other_Digital Signage_GPS OTHER 2" xfId="0"/>
    <cellStyle name="_Other_Digital Signage_GPS OTHER 3" xfId="0"/>
    <cellStyle name="_Other_Digital Signage_GPS OTHER 4" xfId="0"/>
    <cellStyle name="_Other_Digital Signage_GPS OTHER 4 2" xfId="0"/>
    <cellStyle name="_Other_Digital Signage_GPS OTHER_By Region" xfId="0"/>
    <cellStyle name="_Other_Digital Signage_GPS OTHER_CORP SG&amp;A" xfId="0"/>
    <cellStyle name="_Other_Digital Signage_GPS OTHER_LCD" xfId="0"/>
    <cellStyle name="_Other_Digital Signage_GPS OTHER_PJ" xfId="0"/>
    <cellStyle name="_Other_Digital Signage_LCD" xfId="0"/>
    <cellStyle name="_Other_Digital Signage_LCD 2" xfId="0"/>
    <cellStyle name="_Other_Digital Signage_LCD 3" xfId="0"/>
    <cellStyle name="_Other_Digital Signage_LCD 4" xfId="0"/>
    <cellStyle name="_Other_Digital Signage_LCD_By Region" xfId="0"/>
    <cellStyle name="_Other_Digital Signage_LCD_CORP SG&amp;A" xfId="0"/>
    <cellStyle name="_Other_Digital Signage_LCD_LCD" xfId="0"/>
    <cellStyle name="_Other_Digital Signage_LCD_PJ" xfId="0"/>
    <cellStyle name="_Other_Digital Signage_PC Products" xfId="0"/>
    <cellStyle name="_Other_Digital Signage_PC Products 2" xfId="0"/>
    <cellStyle name="_Other_Digital Signage_PC Products 3" xfId="0"/>
    <cellStyle name="_Other_Digital Signage_PC Products 4" xfId="0"/>
    <cellStyle name="_Other_Digital Signage_PC Products 4 2" xfId="0"/>
    <cellStyle name="_Other_Digital Signage_PC Products_By Region" xfId="0"/>
    <cellStyle name="_Other_Digital Signage_PC Products_CORP SG&amp;A" xfId="0"/>
    <cellStyle name="_Other_Digital Signage_PC Products_LCD" xfId="0"/>
    <cellStyle name="_Other_Digital Signage_PC Products_PJ" xfId="0"/>
    <cellStyle name="_Other_Digital Signage_VSA 111014" xfId="0"/>
    <cellStyle name="_Other_Digital Signage_VSA 111014 2" xfId="0"/>
    <cellStyle name="_Other_Digital Signage_VSA 111014 3" xfId="0"/>
    <cellStyle name="_Other_Digital Signage_VSA 111014 4" xfId="0"/>
    <cellStyle name="_Other_Digital Signage_VSA 111014 4 2" xfId="0"/>
    <cellStyle name="_Other_Digital Signage_VSA 111014_By Region" xfId="0"/>
    <cellStyle name="_Other_Digital Signage_VSA 111014_CORP SG&amp;A" xfId="0"/>
    <cellStyle name="_Other_Digital Signage_VSA 111014_LCD" xfId="0"/>
    <cellStyle name="_Other_Digital Signage_VSA 111014_PJ" xfId="0"/>
    <cellStyle name="_Other_Digital Signage_VSA Roll-Up (LW)" xfId="0"/>
    <cellStyle name="_Other_Digital Signage_VSA Roll-Up (LW) 2" xfId="0"/>
    <cellStyle name="_Other_Digital Signage_VSA Roll-Up (LW) 3" xfId="0"/>
    <cellStyle name="_Other_Digital Signage_VSA Roll-Up (LW) 4" xfId="0"/>
    <cellStyle name="_Other_Digital Signage_VSA Roll-Up (LW) 4 2" xfId="0"/>
    <cellStyle name="_Other_Digital Signage_VSA Roll-Up (LW)_By Region" xfId="0"/>
    <cellStyle name="_Other_Digital Signage_VSA Roll-Up (LW)_CORP SG&amp;A" xfId="0"/>
    <cellStyle name="_Other_Digital Signage_VSA Roll-Up (LW)_LCD" xfId="0"/>
    <cellStyle name="_Other_Digital Signage_VSA Roll-Up (LW)_PJ" xfId="0"/>
    <cellStyle name="_Other_Digitizer" xfId="0"/>
    <cellStyle name="_Other_DMA(VMP)" xfId="0"/>
    <cellStyle name="_Other_DMA(VMP) 2" xfId="0"/>
    <cellStyle name="_Other_DMA(VMP) 3" xfId="0"/>
    <cellStyle name="_Other_DMA(VMP) 4" xfId="0"/>
    <cellStyle name="_Other_DMA(VMP)_By Region" xfId="0"/>
    <cellStyle name="_Other_DMA(VMP)_CORP SG&amp;A" xfId="0"/>
    <cellStyle name="_Other_DMA(VMP)_Digitizer" xfId="0"/>
    <cellStyle name="_Other_DMA(VMP)_GPS OTHER" xfId="0"/>
    <cellStyle name="_Other_DMA(VMP)_GPS OTHER 2" xfId="0"/>
    <cellStyle name="_Other_DMA(VMP)_GPS OTHER 3" xfId="0"/>
    <cellStyle name="_Other_DMA(VMP)_GPS OTHER 4" xfId="0"/>
    <cellStyle name="_Other_DMA(VMP)_GPS OTHER 4 2" xfId="0"/>
    <cellStyle name="_Other_DMA(VMP)_GPS OTHER_By Region" xfId="0"/>
    <cellStyle name="_Other_DMA(VMP)_GPS OTHER_CORP SG&amp;A" xfId="0"/>
    <cellStyle name="_Other_DMA(VMP)_GPS OTHER_LCD" xfId="0"/>
    <cellStyle name="_Other_DMA(VMP)_GPS OTHER_PJ" xfId="0"/>
    <cellStyle name="_Other_DMA(VMP)_LCD" xfId="0"/>
    <cellStyle name="_Other_DMA(VMP)_LCD 2" xfId="0"/>
    <cellStyle name="_Other_DMA(VMP)_LCD 3" xfId="0"/>
    <cellStyle name="_Other_DMA(VMP)_LCD 4" xfId="0"/>
    <cellStyle name="_Other_DMA(VMP)_LCD_By Region" xfId="0"/>
    <cellStyle name="_Other_DMA(VMP)_LCD_CORP SG&amp;A" xfId="0"/>
    <cellStyle name="_Other_DMA(VMP)_LCD_LCD" xfId="0"/>
    <cellStyle name="_Other_DMA(VMP)_LCD_PJ" xfId="0"/>
    <cellStyle name="_Other_DMA(VMP)_PC Products" xfId="0"/>
    <cellStyle name="_Other_DMA(VMP)_PC Products 2" xfId="0"/>
    <cellStyle name="_Other_DMA(VMP)_PC Products 3" xfId="0"/>
    <cellStyle name="_Other_DMA(VMP)_PC Products 4" xfId="0"/>
    <cellStyle name="_Other_DMA(VMP)_PC Products 4 2" xfId="0"/>
    <cellStyle name="_Other_DMA(VMP)_PC Products_By Region" xfId="0"/>
    <cellStyle name="_Other_DMA(VMP)_PC Products_CORP SG&amp;A" xfId="0"/>
    <cellStyle name="_Other_DMA(VMP)_PC Products_LCD" xfId="0"/>
    <cellStyle name="_Other_DMA(VMP)_PC Products_PJ" xfId="0"/>
    <cellStyle name="_Other_DMA(VMP)_VSA 111014" xfId="0"/>
    <cellStyle name="_Other_DMA(VMP)_VSA 111014 2" xfId="0"/>
    <cellStyle name="_Other_DMA(VMP)_VSA 111014 3" xfId="0"/>
    <cellStyle name="_Other_DMA(VMP)_VSA 111014 4" xfId="0"/>
    <cellStyle name="_Other_DMA(VMP)_VSA 111014 4 2" xfId="0"/>
    <cellStyle name="_Other_DMA(VMP)_VSA 111014_By Region" xfId="0"/>
    <cellStyle name="_Other_DMA(VMP)_VSA 111014_CORP SG&amp;A" xfId="0"/>
    <cellStyle name="_Other_DMA(VMP)_VSA 111014_LCD" xfId="0"/>
    <cellStyle name="_Other_DMA(VMP)_VSA 111014_PJ" xfId="0"/>
    <cellStyle name="_Other_DMA(VMP)_VSA Roll-Up (LW)" xfId="0"/>
    <cellStyle name="_Other_DMA(VMP)_VSA Roll-Up (LW) 2" xfId="0"/>
    <cellStyle name="_Other_DMA(VMP)_VSA Roll-Up (LW) 3" xfId="0"/>
    <cellStyle name="_Other_DMA(VMP)_VSA Roll-Up (LW) 4" xfId="0"/>
    <cellStyle name="_Other_DMA(VMP)_VSA Roll-Up (LW) 4 2" xfId="0"/>
    <cellStyle name="_Other_DMA(VMP)_VSA Roll-Up (LW)_By Region" xfId="0"/>
    <cellStyle name="_Other_DMA(VMP)_VSA Roll-Up (LW)_CORP SG&amp;A" xfId="0"/>
    <cellStyle name="_Other_DMA(VMP)_VSA Roll-Up (LW)_LCD" xfId="0"/>
    <cellStyle name="_Other_DMA(VMP)_VSA Roll-Up (LW)_PJ" xfId="0"/>
    <cellStyle name="_Other_DPF" xfId="0"/>
    <cellStyle name="_Other_DPF 2" xfId="0"/>
    <cellStyle name="_Other_DPF 3" xfId="0"/>
    <cellStyle name="_Other_DPF 4" xfId="0"/>
    <cellStyle name="_Other_DPF_By Region" xfId="0"/>
    <cellStyle name="_Other_DPF_CORP SG&amp;A" xfId="0"/>
    <cellStyle name="_Other_DPF_Digitizer" xfId="0"/>
    <cellStyle name="_Other_DPF_GPS OTHER" xfId="0"/>
    <cellStyle name="_Other_DPF_GPS OTHER 2" xfId="0"/>
    <cellStyle name="_Other_DPF_GPS OTHER 3" xfId="0"/>
    <cellStyle name="_Other_DPF_GPS OTHER 4" xfId="0"/>
    <cellStyle name="_Other_DPF_GPS OTHER 4 2" xfId="0"/>
    <cellStyle name="_Other_DPF_GPS OTHER_By Region" xfId="0"/>
    <cellStyle name="_Other_DPF_GPS OTHER_CORP SG&amp;A" xfId="0"/>
    <cellStyle name="_Other_DPF_GPS OTHER_LCD" xfId="0"/>
    <cellStyle name="_Other_DPF_GPS OTHER_PJ" xfId="0"/>
    <cellStyle name="_Other_DPF_LCD" xfId="0"/>
    <cellStyle name="_Other_DPF_LCD 2" xfId="0"/>
    <cellStyle name="_Other_DPF_LCD 3" xfId="0"/>
    <cellStyle name="_Other_DPF_LCD 4" xfId="0"/>
    <cellStyle name="_Other_DPF_LCD_By Region" xfId="0"/>
    <cellStyle name="_Other_DPF_LCD_CORP SG&amp;A" xfId="0"/>
    <cellStyle name="_Other_DPF_LCD_LCD" xfId="0"/>
    <cellStyle name="_Other_DPF_LCD_PJ" xfId="0"/>
    <cellStyle name="_Other_DPF_PC Products" xfId="0"/>
    <cellStyle name="_Other_DPF_PC Products 2" xfId="0"/>
    <cellStyle name="_Other_DPF_PC Products 3" xfId="0"/>
    <cellStyle name="_Other_DPF_PC Products 4" xfId="0"/>
    <cellStyle name="_Other_DPF_PC Products 4 2" xfId="0"/>
    <cellStyle name="_Other_DPF_PC Products_By Region" xfId="0"/>
    <cellStyle name="_Other_DPF_PC Products_CORP SG&amp;A" xfId="0"/>
    <cellStyle name="_Other_DPF_PC Products_LCD" xfId="0"/>
    <cellStyle name="_Other_DPF_PC Products_PJ" xfId="0"/>
    <cellStyle name="_Other_DPF_VSA 111014" xfId="0"/>
    <cellStyle name="_Other_DPF_VSA 111014 2" xfId="0"/>
    <cellStyle name="_Other_DPF_VSA 111014 3" xfId="0"/>
    <cellStyle name="_Other_DPF_VSA 111014 4" xfId="0"/>
    <cellStyle name="_Other_DPF_VSA 111014 4 2" xfId="0"/>
    <cellStyle name="_Other_DPF_VSA 111014_By Region" xfId="0"/>
    <cellStyle name="_Other_DPF_VSA 111014_CORP SG&amp;A" xfId="0"/>
    <cellStyle name="_Other_DPF_VSA 111014_LCD" xfId="0"/>
    <cellStyle name="_Other_DPF_VSA 111014_PJ" xfId="0"/>
    <cellStyle name="_Other_DPF_VSA Roll-Up (LW)" xfId="0"/>
    <cellStyle name="_Other_DPF_VSA Roll-Up (LW) 2" xfId="0"/>
    <cellStyle name="_Other_DPF_VSA Roll-Up (LW) 3" xfId="0"/>
    <cellStyle name="_Other_DPF_VSA Roll-Up (LW) 4" xfId="0"/>
    <cellStyle name="_Other_DPF_VSA Roll-Up (LW) 4 2" xfId="0"/>
    <cellStyle name="_Other_DPF_VSA Roll-Up (LW)_By Region" xfId="0"/>
    <cellStyle name="_Other_DPF_VSA Roll-Up (LW)_CORP SG&amp;A" xfId="0"/>
    <cellStyle name="_Other_DPF_VSA Roll-Up (LW)_LCD" xfId="0"/>
    <cellStyle name="_Other_DPF_VSA Roll-Up (LW)_PJ" xfId="0"/>
    <cellStyle name="_Other_DS" xfId="0"/>
    <cellStyle name="_Other_DS 2" xfId="0"/>
    <cellStyle name="_Other_DS 3" xfId="0"/>
    <cellStyle name="_Other_DS 4" xfId="0"/>
    <cellStyle name="_Other_DS_By Region" xfId="0"/>
    <cellStyle name="_Other_DS_CORP SG&amp;A" xfId="0"/>
    <cellStyle name="_Other_DS_Digitizer" xfId="0"/>
    <cellStyle name="_Other_DS_GPS OTHER" xfId="0"/>
    <cellStyle name="_Other_DS_GPS OTHER 2" xfId="0"/>
    <cellStyle name="_Other_DS_GPS OTHER 3" xfId="0"/>
    <cellStyle name="_Other_DS_GPS OTHER 4" xfId="0"/>
    <cellStyle name="_Other_DS_GPS OTHER 4 2" xfId="0"/>
    <cellStyle name="_Other_DS_GPS OTHER_By Region" xfId="0"/>
    <cellStyle name="_Other_DS_GPS OTHER_CORP SG&amp;A" xfId="0"/>
    <cellStyle name="_Other_DS_GPS OTHER_LCD" xfId="0"/>
    <cellStyle name="_Other_DS_GPS OTHER_PJ" xfId="0"/>
    <cellStyle name="_Other_DS_LCD" xfId="0"/>
    <cellStyle name="_Other_DS_LCD 2" xfId="0"/>
    <cellStyle name="_Other_DS_LCD 3" xfId="0"/>
    <cellStyle name="_Other_DS_LCD 4" xfId="0"/>
    <cellStyle name="_Other_DS_LCD_By Region" xfId="0"/>
    <cellStyle name="_Other_DS_LCD_CORP SG&amp;A" xfId="0"/>
    <cellStyle name="_Other_DS_LCD_LCD" xfId="0"/>
    <cellStyle name="_Other_DS_LCD_PJ" xfId="0"/>
    <cellStyle name="_Other_DS_PC Products" xfId="0"/>
    <cellStyle name="_Other_DS_PC Products 2" xfId="0"/>
    <cellStyle name="_Other_DS_PC Products 3" xfId="0"/>
    <cellStyle name="_Other_DS_PC Products 4" xfId="0"/>
    <cellStyle name="_Other_DS_PC Products 4 2" xfId="0"/>
    <cellStyle name="_Other_DS_PC Products_By Region" xfId="0"/>
    <cellStyle name="_Other_DS_PC Products_CORP SG&amp;A" xfId="0"/>
    <cellStyle name="_Other_DS_PC Products_LCD" xfId="0"/>
    <cellStyle name="_Other_DS_PC Products_PJ" xfId="0"/>
    <cellStyle name="_Other_DS_VSA 111014" xfId="0"/>
    <cellStyle name="_Other_DS_VSA 111014 2" xfId="0"/>
    <cellStyle name="_Other_DS_VSA 111014 3" xfId="0"/>
    <cellStyle name="_Other_DS_VSA 111014 4" xfId="0"/>
    <cellStyle name="_Other_DS_VSA 111014 4 2" xfId="0"/>
    <cellStyle name="_Other_DS_VSA 111014_By Region" xfId="0"/>
    <cellStyle name="_Other_DS_VSA 111014_CORP SG&amp;A" xfId="0"/>
    <cellStyle name="_Other_DS_VSA 111014_LCD" xfId="0"/>
    <cellStyle name="_Other_DS_VSA 111014_PJ" xfId="0"/>
    <cellStyle name="_Other_DS_VSA Roll-Up (LW)" xfId="0"/>
    <cellStyle name="_Other_DS_VSA Roll-Up (LW) 2" xfId="0"/>
    <cellStyle name="_Other_DS_VSA Roll-Up (LW) 3" xfId="0"/>
    <cellStyle name="_Other_DS_VSA Roll-Up (LW) 4" xfId="0"/>
    <cellStyle name="_Other_DS_VSA Roll-Up (LW) 4 2" xfId="0"/>
    <cellStyle name="_Other_DS_VSA Roll-Up (LW)_By Region" xfId="0"/>
    <cellStyle name="_Other_DS_VSA Roll-Up (LW)_CORP SG&amp;A" xfId="0"/>
    <cellStyle name="_Other_DS_VSA Roll-Up (LW)_LCD" xfId="0"/>
    <cellStyle name="_Other_DS_VSA Roll-Up (LW)_PJ" xfId="0"/>
    <cellStyle name="_Other_DVD_TV" xfId="0"/>
    <cellStyle name="_Other_DVD_TV 2" xfId="0"/>
    <cellStyle name="_Other_DVD_TV 3" xfId="0"/>
    <cellStyle name="_Other_DVD_TV 4" xfId="0"/>
    <cellStyle name="_Other_DVD_TV_By Region" xfId="0"/>
    <cellStyle name="_Other_DVD_TV_CORP SG&amp;A" xfId="0"/>
    <cellStyle name="_Other_DVD_TV_Digitizer" xfId="0"/>
    <cellStyle name="_Other_DVD_TV_GPS OTHER" xfId="0"/>
    <cellStyle name="_Other_DVD_TV_GPS OTHER 2" xfId="0"/>
    <cellStyle name="_Other_DVD_TV_GPS OTHER 3" xfId="0"/>
    <cellStyle name="_Other_DVD_TV_GPS OTHER 4" xfId="0"/>
    <cellStyle name="_Other_DVD_TV_GPS OTHER 4 2" xfId="0"/>
    <cellStyle name="_Other_DVD_TV_GPS OTHER_By Region" xfId="0"/>
    <cellStyle name="_Other_DVD_TV_GPS OTHER_CORP SG&amp;A" xfId="0"/>
    <cellStyle name="_Other_DVD_TV_GPS OTHER_LCD" xfId="0"/>
    <cellStyle name="_Other_DVD_TV_GPS OTHER_PJ" xfId="0"/>
    <cellStyle name="_Other_DVD_TV_LCD" xfId="0"/>
    <cellStyle name="_Other_DVD_TV_LCD 2" xfId="0"/>
    <cellStyle name="_Other_DVD_TV_LCD 3" xfId="0"/>
    <cellStyle name="_Other_DVD_TV_LCD 4" xfId="0"/>
    <cellStyle name="_Other_DVD_TV_LCD_By Region" xfId="0"/>
    <cellStyle name="_Other_DVD_TV_LCD_CORP SG&amp;A" xfId="0"/>
    <cellStyle name="_Other_DVD_TV_LCD_LCD" xfId="0"/>
    <cellStyle name="_Other_DVD_TV_LCD_PJ" xfId="0"/>
    <cellStyle name="_Other_DVD_TV_PC Products" xfId="0"/>
    <cellStyle name="_Other_DVD_TV_PC Products 2" xfId="0"/>
    <cellStyle name="_Other_DVD_TV_PC Products 3" xfId="0"/>
    <cellStyle name="_Other_DVD_TV_PC Products 4" xfId="0"/>
    <cellStyle name="_Other_DVD_TV_PC Products 4 2" xfId="0"/>
    <cellStyle name="_Other_DVD_TV_PC Products_By Region" xfId="0"/>
    <cellStyle name="_Other_DVD_TV_PC Products_CORP SG&amp;A" xfId="0"/>
    <cellStyle name="_Other_DVD_TV_PC Products_LCD" xfId="0"/>
    <cellStyle name="_Other_DVD_TV_PC Products_PJ" xfId="0"/>
    <cellStyle name="_Other_DVD_TV_VSA 111014" xfId="0"/>
    <cellStyle name="_Other_DVD_TV_VSA 111014 2" xfId="0"/>
    <cellStyle name="_Other_DVD_TV_VSA 111014 3" xfId="0"/>
    <cellStyle name="_Other_DVD_TV_VSA 111014 4" xfId="0"/>
    <cellStyle name="_Other_DVD_TV_VSA 111014 4 2" xfId="0"/>
    <cellStyle name="_Other_DVD_TV_VSA 111014_By Region" xfId="0"/>
    <cellStyle name="_Other_DVD_TV_VSA 111014_CORP SG&amp;A" xfId="0"/>
    <cellStyle name="_Other_DVD_TV_VSA 111014_LCD" xfId="0"/>
    <cellStyle name="_Other_DVD_TV_VSA 111014_PJ" xfId="0"/>
    <cellStyle name="_Other_DVD_TV_VSA Roll-Up (LW)" xfId="0"/>
    <cellStyle name="_Other_DVD_TV_VSA Roll-Up (LW) 2" xfId="0"/>
    <cellStyle name="_Other_DVD_TV_VSA Roll-Up (LW) 3" xfId="0"/>
    <cellStyle name="_Other_DVD_TV_VSA Roll-Up (LW) 4" xfId="0"/>
    <cellStyle name="_Other_DVD_TV_VSA Roll-Up (LW) 4 2" xfId="0"/>
    <cellStyle name="_Other_DVD_TV_VSA Roll-Up (LW)_By Region" xfId="0"/>
    <cellStyle name="_Other_DVD_TV_VSA Roll-Up (LW)_CORP SG&amp;A" xfId="0"/>
    <cellStyle name="_Other_DVD_TV_VSA Roll-Up (LW)_LCD" xfId="0"/>
    <cellStyle name="_Other_DVD_TV_VSA Roll-Up (LW)_PJ" xfId="0"/>
    <cellStyle name="_Other_GPS OTHER" xfId="0"/>
    <cellStyle name="_Other_GPS OTHER 2" xfId="0"/>
    <cellStyle name="_Other_GPS OTHER 3" xfId="0"/>
    <cellStyle name="_Other_GPS OTHER 4" xfId="0"/>
    <cellStyle name="_Other_GPS OTHER 4 2" xfId="0"/>
    <cellStyle name="_Other_GPS OTHER_By Region" xfId="0"/>
    <cellStyle name="_Other_GPS OTHER_CORP SG&amp;A" xfId="0"/>
    <cellStyle name="_Other_GPS OTHER_LCD" xfId="0"/>
    <cellStyle name="_Other_GPS OTHER_PJ" xfId="0"/>
    <cellStyle name="_Other_LCD" xfId="0"/>
    <cellStyle name="_Other_LCD 2" xfId="0"/>
    <cellStyle name="_Other_LCD 3" xfId="0"/>
    <cellStyle name="_Other_LCD 4" xfId="0"/>
    <cellStyle name="_Other_LCD_1" xfId="0"/>
    <cellStyle name="_Other_LCD_1 2" xfId="0"/>
    <cellStyle name="_Other_LCD_1 3" xfId="0"/>
    <cellStyle name="_Other_LCD_1 4" xfId="0"/>
    <cellStyle name="_Other_LCD_1_By Region" xfId="0"/>
    <cellStyle name="_Other_LCD_1_CORP SG&amp;A" xfId="0"/>
    <cellStyle name="_Other_LCD_1_LCD" xfId="0"/>
    <cellStyle name="_Other_LCD_1_PJ" xfId="0"/>
    <cellStyle name="_Other_LCD_By Region" xfId="0"/>
    <cellStyle name="_Other_LCD_CORP SG&amp;A" xfId="0"/>
    <cellStyle name="_Other_LCD_Digitizer" xfId="0"/>
    <cellStyle name="_Other_LCD_GPS OTHER" xfId="0"/>
    <cellStyle name="_Other_LCD_GPS OTHER 2" xfId="0"/>
    <cellStyle name="_Other_LCD_GPS OTHER 3" xfId="0"/>
    <cellStyle name="_Other_LCD_GPS OTHER 4" xfId="0"/>
    <cellStyle name="_Other_LCD_GPS OTHER 4 2" xfId="0"/>
    <cellStyle name="_Other_LCD_GPS OTHER_By Region" xfId="0"/>
    <cellStyle name="_Other_LCD_GPS OTHER_CORP SG&amp;A" xfId="0"/>
    <cellStyle name="_Other_LCD_GPS OTHER_LCD" xfId="0"/>
    <cellStyle name="_Other_LCD_GPS OTHER_PJ" xfId="0"/>
    <cellStyle name="_Other_LCD_LCD" xfId="0"/>
    <cellStyle name="_Other_LCD_LCD 2" xfId="0"/>
    <cellStyle name="_Other_LCD_LCD 3" xfId="0"/>
    <cellStyle name="_Other_LCD_LCD 4" xfId="0"/>
    <cellStyle name="_Other_LCD_LCD_By Region" xfId="0"/>
    <cellStyle name="_Other_LCD_LCD_CORP SG&amp;A" xfId="0"/>
    <cellStyle name="_Other_LCD_LCD_LCD" xfId="0"/>
    <cellStyle name="_Other_LCD_LCD_PJ" xfId="0"/>
    <cellStyle name="_Other_LCD_PC Products" xfId="0"/>
    <cellStyle name="_Other_LCD_PC Products 2" xfId="0"/>
    <cellStyle name="_Other_LCD_PC Products 3" xfId="0"/>
    <cellStyle name="_Other_LCD_PC Products 4" xfId="0"/>
    <cellStyle name="_Other_LCD_PC Products 4 2" xfId="0"/>
    <cellStyle name="_Other_LCD_PC Products_By Region" xfId="0"/>
    <cellStyle name="_Other_LCD_PC Products_CORP SG&amp;A" xfId="0"/>
    <cellStyle name="_Other_LCD_PC Products_LCD" xfId="0"/>
    <cellStyle name="_Other_LCD_PC Products_PJ" xfId="0"/>
    <cellStyle name="_Other_LCD_VSA 111014" xfId="0"/>
    <cellStyle name="_Other_LCD_VSA 111014 2" xfId="0"/>
    <cellStyle name="_Other_LCD_VSA 111014 3" xfId="0"/>
    <cellStyle name="_Other_LCD_VSA 111014 4" xfId="0"/>
    <cellStyle name="_Other_LCD_VSA 111014 4 2" xfId="0"/>
    <cellStyle name="_Other_LCD_VSA 111014_By Region" xfId="0"/>
    <cellStyle name="_Other_LCD_VSA 111014_CORP SG&amp;A" xfId="0"/>
    <cellStyle name="_Other_LCD_VSA 111014_LCD" xfId="0"/>
    <cellStyle name="_Other_LCD_VSA 111014_PJ" xfId="0"/>
    <cellStyle name="_Other_LCD_VSA Roll-Up (LW)" xfId="0"/>
    <cellStyle name="_Other_LCD_VSA Roll-Up (LW) 2" xfId="0"/>
    <cellStyle name="_Other_LCD_VSA Roll-Up (LW) 3" xfId="0"/>
    <cellStyle name="_Other_LCD_VSA Roll-Up (LW) 4" xfId="0"/>
    <cellStyle name="_Other_LCD_VSA Roll-Up (LW) 4 2" xfId="0"/>
    <cellStyle name="_Other_LCD_VSA Roll-Up (LW)_By Region" xfId="0"/>
    <cellStyle name="_Other_LCD_VSA Roll-Up (LW)_CORP SG&amp;A" xfId="0"/>
    <cellStyle name="_Other_LCD_VSA Roll-Up (LW)_LCD" xfId="0"/>
    <cellStyle name="_Other_LCD_VSA Roll-Up (LW)_PJ" xfId="0"/>
    <cellStyle name="_Other_LCDTV" xfId="0"/>
    <cellStyle name="_Other_LCDTV 2" xfId="0"/>
    <cellStyle name="_Other_LCDTV 3" xfId="0"/>
    <cellStyle name="_Other_LCDTV 4" xfId="0"/>
    <cellStyle name="_Other_LCDTV_By Region" xfId="0"/>
    <cellStyle name="_Other_LCDTV_CORP SG&amp;A" xfId="0"/>
    <cellStyle name="_Other_LCDTV_Digitizer" xfId="0"/>
    <cellStyle name="_Other_LCDTV_GPS OTHER" xfId="0"/>
    <cellStyle name="_Other_LCDTV_GPS OTHER 2" xfId="0"/>
    <cellStyle name="_Other_LCDTV_GPS OTHER 3" xfId="0"/>
    <cellStyle name="_Other_LCDTV_GPS OTHER 4" xfId="0"/>
    <cellStyle name="_Other_LCDTV_GPS OTHER 4 2" xfId="0"/>
    <cellStyle name="_Other_LCDTV_GPS OTHER_By Region" xfId="0"/>
    <cellStyle name="_Other_LCDTV_GPS OTHER_CORP SG&amp;A" xfId="0"/>
    <cellStyle name="_Other_LCDTV_GPS OTHER_LCD" xfId="0"/>
    <cellStyle name="_Other_LCDTV_GPS OTHER_PJ" xfId="0"/>
    <cellStyle name="_Other_LCDTV_LCD" xfId="0"/>
    <cellStyle name="_Other_LCDTV_LCD 2" xfId="0"/>
    <cellStyle name="_Other_LCDTV_LCD 3" xfId="0"/>
    <cellStyle name="_Other_LCDTV_LCD 4" xfId="0"/>
    <cellStyle name="_Other_LCDTV_LCD_By Region" xfId="0"/>
    <cellStyle name="_Other_LCDTV_LCD_CORP SG&amp;A" xfId="0"/>
    <cellStyle name="_Other_LCDTV_LCD_LCD" xfId="0"/>
    <cellStyle name="_Other_LCDTV_LCD_PJ" xfId="0"/>
    <cellStyle name="_Other_LCDTV_PC Products" xfId="0"/>
    <cellStyle name="_Other_LCDTV_PC Products 2" xfId="0"/>
    <cellStyle name="_Other_LCDTV_PC Products 3" xfId="0"/>
    <cellStyle name="_Other_LCDTV_PC Products 4" xfId="0"/>
    <cellStyle name="_Other_LCDTV_PC Products 4 2" xfId="0"/>
    <cellStyle name="_Other_LCDTV_PC Products_By Region" xfId="0"/>
    <cellStyle name="_Other_LCDTV_PC Products_CORP SG&amp;A" xfId="0"/>
    <cellStyle name="_Other_LCDTV_PC Products_LCD" xfId="0"/>
    <cellStyle name="_Other_LCDTV_PC Products_PJ" xfId="0"/>
    <cellStyle name="_Other_LCDTV_VSA 111014" xfId="0"/>
    <cellStyle name="_Other_LCDTV_VSA 111014 2" xfId="0"/>
    <cellStyle name="_Other_LCDTV_VSA 111014 3" xfId="0"/>
    <cellStyle name="_Other_LCDTV_VSA 111014 4" xfId="0"/>
    <cellStyle name="_Other_LCDTV_VSA 111014 4 2" xfId="0"/>
    <cellStyle name="_Other_LCDTV_VSA 111014_By Region" xfId="0"/>
    <cellStyle name="_Other_LCDTV_VSA 111014_CORP SG&amp;A" xfId="0"/>
    <cellStyle name="_Other_LCDTV_VSA 111014_LCD" xfId="0"/>
    <cellStyle name="_Other_LCDTV_VSA 111014_PJ" xfId="0"/>
    <cellStyle name="_Other_LCDTV_VSA Roll-Up (LW)" xfId="0"/>
    <cellStyle name="_Other_LCDTV_VSA Roll-Up (LW) 2" xfId="0"/>
    <cellStyle name="_Other_LCDTV_VSA Roll-Up (LW) 3" xfId="0"/>
    <cellStyle name="_Other_LCDTV_VSA Roll-Up (LW) 4" xfId="0"/>
    <cellStyle name="_Other_LCDTV_VSA Roll-Up (LW) 4 2" xfId="0"/>
    <cellStyle name="_Other_LCDTV_VSA Roll-Up (LW)_By Region" xfId="0"/>
    <cellStyle name="_Other_LCDTV_VSA Roll-Up (LW)_CORP SG&amp;A" xfId="0"/>
    <cellStyle name="_Other_LCDTV_VSA Roll-Up (LW)_LCD" xfId="0"/>
    <cellStyle name="_Other_LCDTV_VSA Roll-Up (LW)_PJ" xfId="0"/>
    <cellStyle name="_Other_MNT" xfId="0"/>
    <cellStyle name="_Other_MNT 2" xfId="0"/>
    <cellStyle name="_Other_MNT 3" xfId="0"/>
    <cellStyle name="_Other_MNT 4" xfId="0"/>
    <cellStyle name="_Other_MNT_By Region" xfId="0"/>
    <cellStyle name="_Other_MNT_CORP SG&amp;A" xfId="0"/>
    <cellStyle name="_Other_MNT_Digitizer" xfId="0"/>
    <cellStyle name="_Other_MNT_GPS OTHER" xfId="0"/>
    <cellStyle name="_Other_MNT_GPS OTHER 2" xfId="0"/>
    <cellStyle name="_Other_MNT_GPS OTHER 3" xfId="0"/>
    <cellStyle name="_Other_MNT_GPS OTHER 4" xfId="0"/>
    <cellStyle name="_Other_MNT_GPS OTHER 4 2" xfId="0"/>
    <cellStyle name="_Other_MNT_GPS OTHER_By Region" xfId="0"/>
    <cellStyle name="_Other_MNT_GPS OTHER_CORP SG&amp;A" xfId="0"/>
    <cellStyle name="_Other_MNT_GPS OTHER_LCD" xfId="0"/>
    <cellStyle name="_Other_MNT_GPS OTHER_PJ" xfId="0"/>
    <cellStyle name="_Other_MNT_LCD" xfId="0"/>
    <cellStyle name="_Other_MNT_LCD 2" xfId="0"/>
    <cellStyle name="_Other_MNT_LCD 3" xfId="0"/>
    <cellStyle name="_Other_MNT_LCD 4" xfId="0"/>
    <cellStyle name="_Other_MNT_LCD_By Region" xfId="0"/>
    <cellStyle name="_Other_MNT_LCD_CORP SG&amp;A" xfId="0"/>
    <cellStyle name="_Other_MNT_LCD_LCD" xfId="0"/>
    <cellStyle name="_Other_MNT_LCD_PJ" xfId="0"/>
    <cellStyle name="_Other_MNT_PC Products" xfId="0"/>
    <cellStyle name="_Other_MNT_PC Products 2" xfId="0"/>
    <cellStyle name="_Other_MNT_PC Products 3" xfId="0"/>
    <cellStyle name="_Other_MNT_PC Products 4" xfId="0"/>
    <cellStyle name="_Other_MNT_PC Products 4 2" xfId="0"/>
    <cellStyle name="_Other_MNT_PC Products_By Region" xfId="0"/>
    <cellStyle name="_Other_MNT_PC Products_CORP SG&amp;A" xfId="0"/>
    <cellStyle name="_Other_MNT_PC Products_LCD" xfId="0"/>
    <cellStyle name="_Other_MNT_PC Products_PJ" xfId="0"/>
    <cellStyle name="_Other_MNT_VSA 111014" xfId="0"/>
    <cellStyle name="_Other_MNT_VSA 111014 2" xfId="0"/>
    <cellStyle name="_Other_MNT_VSA 111014 3" xfId="0"/>
    <cellStyle name="_Other_MNT_VSA 111014 4" xfId="0"/>
    <cellStyle name="_Other_MNT_VSA 111014 4 2" xfId="0"/>
    <cellStyle name="_Other_MNT_VSA 111014_By Region" xfId="0"/>
    <cellStyle name="_Other_MNT_VSA 111014_CORP SG&amp;A" xfId="0"/>
    <cellStyle name="_Other_MNT_VSA 111014_LCD" xfId="0"/>
    <cellStyle name="_Other_MNT_VSA 111014_PJ" xfId="0"/>
    <cellStyle name="_Other_MNT_VSA Roll-Up (LW)" xfId="0"/>
    <cellStyle name="_Other_MNT_VSA Roll-Up (LW) 2" xfId="0"/>
    <cellStyle name="_Other_MNT_VSA Roll-Up (LW) 3" xfId="0"/>
    <cellStyle name="_Other_MNT_VSA Roll-Up (LW) 4" xfId="0"/>
    <cellStyle name="_Other_MNT_VSA Roll-Up (LW) 4 2" xfId="0"/>
    <cellStyle name="_Other_MNT_VSA Roll-Up (LW)_By Region" xfId="0"/>
    <cellStyle name="_Other_MNT_VSA Roll-Up (LW)_CORP SG&amp;A" xfId="0"/>
    <cellStyle name="_Other_MNT_VSA Roll-Up (LW)_LCD" xfId="0"/>
    <cellStyle name="_Other_MNT_VSA Roll-Up (LW)_PJ" xfId="0"/>
    <cellStyle name="_Other_Other" xfId="0"/>
    <cellStyle name="_Other_Other 2" xfId="0"/>
    <cellStyle name="_Other_Other 3" xfId="0"/>
    <cellStyle name="_Other_Other 4" xfId="0"/>
    <cellStyle name="_Other_Other_By Region" xfId="0"/>
    <cellStyle name="_Other_Other_CORP SG&amp;A" xfId="0"/>
    <cellStyle name="_Other_Other_Digitizer" xfId="0"/>
    <cellStyle name="_Other_Other_GPS OTHER" xfId="0"/>
    <cellStyle name="_Other_Other_GPS OTHER 2" xfId="0"/>
    <cellStyle name="_Other_Other_GPS OTHER 3" xfId="0"/>
    <cellStyle name="_Other_Other_GPS OTHER 4" xfId="0"/>
    <cellStyle name="_Other_Other_GPS OTHER 4 2" xfId="0"/>
    <cellStyle name="_Other_Other_GPS OTHER_By Region" xfId="0"/>
    <cellStyle name="_Other_Other_GPS OTHER_CORP SG&amp;A" xfId="0"/>
    <cellStyle name="_Other_Other_GPS OTHER_LCD" xfId="0"/>
    <cellStyle name="_Other_Other_GPS OTHER_PJ" xfId="0"/>
    <cellStyle name="_Other_Other_LCD" xfId="0"/>
    <cellStyle name="_Other_Other_LCD 2" xfId="0"/>
    <cellStyle name="_Other_Other_LCD 3" xfId="0"/>
    <cellStyle name="_Other_Other_LCD 4" xfId="0"/>
    <cellStyle name="_Other_Other_LCD_By Region" xfId="0"/>
    <cellStyle name="_Other_Other_LCD_CORP SG&amp;A" xfId="0"/>
    <cellStyle name="_Other_Other_LCD_LCD" xfId="0"/>
    <cellStyle name="_Other_Other_LCD_PJ" xfId="0"/>
    <cellStyle name="_Other_Other_PC Products" xfId="0"/>
    <cellStyle name="_Other_Other_PC Products 2" xfId="0"/>
    <cellStyle name="_Other_Other_PC Products 3" xfId="0"/>
    <cellStyle name="_Other_Other_PC Products 4" xfId="0"/>
    <cellStyle name="_Other_Other_PC Products 4 2" xfId="0"/>
    <cellStyle name="_Other_Other_PC Products_By Region" xfId="0"/>
    <cellStyle name="_Other_Other_PC Products_CORP SG&amp;A" xfId="0"/>
    <cellStyle name="_Other_Other_PC Products_LCD" xfId="0"/>
    <cellStyle name="_Other_Other_PC Products_PJ" xfId="0"/>
    <cellStyle name="_Other_Other_VSA 111014" xfId="0"/>
    <cellStyle name="_Other_Other_VSA 111014 2" xfId="0"/>
    <cellStyle name="_Other_Other_VSA 111014 3" xfId="0"/>
    <cellStyle name="_Other_Other_VSA 111014 4" xfId="0"/>
    <cellStyle name="_Other_Other_VSA 111014 4 2" xfId="0"/>
    <cellStyle name="_Other_Other_VSA 111014_By Region" xfId="0"/>
    <cellStyle name="_Other_Other_VSA 111014_CORP SG&amp;A" xfId="0"/>
    <cellStyle name="_Other_Other_VSA 111014_LCD" xfId="0"/>
    <cellStyle name="_Other_Other_VSA 111014_PJ" xfId="0"/>
    <cellStyle name="_Other_Other_VSA Roll-Up (LW)" xfId="0"/>
    <cellStyle name="_Other_Other_VSA Roll-Up (LW) 2" xfId="0"/>
    <cellStyle name="_Other_Other_VSA Roll-Up (LW) 3" xfId="0"/>
    <cellStyle name="_Other_Other_VSA Roll-Up (LW) 4" xfId="0"/>
    <cellStyle name="_Other_Other_VSA Roll-Up (LW) 4 2" xfId="0"/>
    <cellStyle name="_Other_Other_VSA Roll-Up (LW)_By Region" xfId="0"/>
    <cellStyle name="_Other_Other_VSA Roll-Up (LW)_CORP SG&amp;A" xfId="0"/>
    <cellStyle name="_Other_Other_VSA Roll-Up (LW)_LCD" xfId="0"/>
    <cellStyle name="_Other_Other_VSA Roll-Up (LW)_PJ" xfId="0"/>
    <cellStyle name="_Other_PC" xfId="0"/>
    <cellStyle name="_Other_PC 2" xfId="0"/>
    <cellStyle name="_Other_PC 3" xfId="0"/>
    <cellStyle name="_Other_PC 4" xfId="0"/>
    <cellStyle name="_Other_PC Products" xfId="0"/>
    <cellStyle name="_Other_PC Products 2" xfId="0"/>
    <cellStyle name="_Other_PC Products 3" xfId="0"/>
    <cellStyle name="_Other_PC Products 4" xfId="0"/>
    <cellStyle name="_Other_PC Products 4 2" xfId="0"/>
    <cellStyle name="_Other_PC Products_By Region" xfId="0"/>
    <cellStyle name="_Other_PC Products_CORP SG&amp;A" xfId="0"/>
    <cellStyle name="_Other_PC Products_LCD" xfId="0"/>
    <cellStyle name="_Other_PC Products_PJ" xfId="0"/>
    <cellStyle name="_Other_PC_By Region" xfId="0"/>
    <cellStyle name="_Other_PC_CORP SG&amp;A" xfId="0"/>
    <cellStyle name="_Other_PC_Digitizer" xfId="0"/>
    <cellStyle name="_Other_PC_DT" xfId="0"/>
    <cellStyle name="_Other_PC_DT 2" xfId="0"/>
    <cellStyle name="_Other_PC_DT 3" xfId="0"/>
    <cellStyle name="_Other_PC_DT_By Region" xfId="0"/>
    <cellStyle name="_Other_PC_GPS OTHER" xfId="0"/>
    <cellStyle name="_Other_PC_GPS OTHER 2" xfId="0"/>
    <cellStyle name="_Other_PC_GPS OTHER 3" xfId="0"/>
    <cellStyle name="_Other_PC_GPS OTHER 4" xfId="0"/>
    <cellStyle name="_Other_PC_GPS OTHER 4 2" xfId="0"/>
    <cellStyle name="_Other_PC_GPS OTHER_By Region" xfId="0"/>
    <cellStyle name="_Other_PC_GPS OTHER_CORP SG&amp;A" xfId="0"/>
    <cellStyle name="_Other_PC_GPS OTHER_LCD" xfId="0"/>
    <cellStyle name="_Other_PC_GPS OTHER_PJ" xfId="0"/>
    <cellStyle name="_Other_PC_LCD" xfId="0"/>
    <cellStyle name="_Other_PC_LCD 2" xfId="0"/>
    <cellStyle name="_Other_PC_LCD 3" xfId="0"/>
    <cellStyle name="_Other_PC_LCD 4" xfId="0"/>
    <cellStyle name="_Other_PC_LCD_By Region" xfId="0"/>
    <cellStyle name="_Other_PC_LCD_CORP SG&amp;A" xfId="0"/>
    <cellStyle name="_Other_PC_LCD_LCD" xfId="0"/>
    <cellStyle name="_Other_PC_LCD_PJ" xfId="0"/>
    <cellStyle name="_Other_PC_PC Products" xfId="0"/>
    <cellStyle name="_Other_PC_PC Products 2" xfId="0"/>
    <cellStyle name="_Other_PC_PC Products 3" xfId="0"/>
    <cellStyle name="_Other_PC_PC Products 4" xfId="0"/>
    <cellStyle name="_Other_PC_PC Products 4 2" xfId="0"/>
    <cellStyle name="_Other_PC_PC Products_By Region" xfId="0"/>
    <cellStyle name="_Other_PC_PC Products_CORP SG&amp;A" xfId="0"/>
    <cellStyle name="_Other_PC_PC Products_LCD" xfId="0"/>
    <cellStyle name="_Other_PC_PC Products_PJ" xfId="0"/>
    <cellStyle name="_Other_PC_TV" xfId="0"/>
    <cellStyle name="_Other_PC_TV 2" xfId="0"/>
    <cellStyle name="_Other_PC_TV 3" xfId="0"/>
    <cellStyle name="_Other_PC_TV 4" xfId="0"/>
    <cellStyle name="_Other_PC_TV_By Region" xfId="0"/>
    <cellStyle name="_Other_PC_TV_CORP SG&amp;A" xfId="0"/>
    <cellStyle name="_Other_PC_TV_Digitizer" xfId="0"/>
    <cellStyle name="_Other_PC_TV_GPS OTHER" xfId="0"/>
    <cellStyle name="_Other_PC_TV_GPS OTHER 2" xfId="0"/>
    <cellStyle name="_Other_PC_TV_GPS OTHER 3" xfId="0"/>
    <cellStyle name="_Other_PC_TV_GPS OTHER 4" xfId="0"/>
    <cellStyle name="_Other_PC_TV_GPS OTHER 4 2" xfId="0"/>
    <cellStyle name="_Other_PC_TV_GPS OTHER_By Region" xfId="0"/>
    <cellStyle name="_Other_PC_TV_GPS OTHER_CORP SG&amp;A" xfId="0"/>
    <cellStyle name="_Other_PC_TV_GPS OTHER_LCD" xfId="0"/>
    <cellStyle name="_Other_PC_TV_GPS OTHER_PJ" xfId="0"/>
    <cellStyle name="_Other_PC_TV_LCD" xfId="0"/>
    <cellStyle name="_Other_PC_TV_LCD 2" xfId="0"/>
    <cellStyle name="_Other_PC_TV_LCD 3" xfId="0"/>
    <cellStyle name="_Other_PC_TV_LCD 4" xfId="0"/>
    <cellStyle name="_Other_PC_TV_LCD_By Region" xfId="0"/>
    <cellStyle name="_Other_PC_TV_LCD_CORP SG&amp;A" xfId="0"/>
    <cellStyle name="_Other_PC_TV_LCD_LCD" xfId="0"/>
    <cellStyle name="_Other_PC_TV_LCD_PJ" xfId="0"/>
    <cellStyle name="_Other_PC_TV_PC Products" xfId="0"/>
    <cellStyle name="_Other_PC_TV_PC Products 2" xfId="0"/>
    <cellStyle name="_Other_PC_TV_PC Products 3" xfId="0"/>
    <cellStyle name="_Other_PC_TV_PC Products 4" xfId="0"/>
    <cellStyle name="_Other_PC_TV_PC Products 4 2" xfId="0"/>
    <cellStyle name="_Other_PC_TV_PC Products_By Region" xfId="0"/>
    <cellStyle name="_Other_PC_TV_PC Products_CORP SG&amp;A" xfId="0"/>
    <cellStyle name="_Other_PC_TV_PC Products_LCD" xfId="0"/>
    <cellStyle name="_Other_PC_TV_PC Products_PJ" xfId="0"/>
    <cellStyle name="_Other_PC_TV_VSA 111014" xfId="0"/>
    <cellStyle name="_Other_PC_TV_VSA 111014 2" xfId="0"/>
    <cellStyle name="_Other_PC_TV_VSA 111014 3" xfId="0"/>
    <cellStyle name="_Other_PC_TV_VSA 111014 4" xfId="0"/>
    <cellStyle name="_Other_PC_TV_VSA 111014 4 2" xfId="0"/>
    <cellStyle name="_Other_PC_TV_VSA 111014_By Region" xfId="0"/>
    <cellStyle name="_Other_PC_TV_VSA 111014_CORP SG&amp;A" xfId="0"/>
    <cellStyle name="_Other_PC_TV_VSA 111014_LCD" xfId="0"/>
    <cellStyle name="_Other_PC_TV_VSA 111014_PJ" xfId="0"/>
    <cellStyle name="_Other_PC_TV_VSA Roll-Up (LW)" xfId="0"/>
    <cellStyle name="_Other_PC_TV_VSA Roll-Up (LW) 2" xfId="0"/>
    <cellStyle name="_Other_PC_TV_VSA Roll-Up (LW) 3" xfId="0"/>
    <cellStyle name="_Other_PC_TV_VSA Roll-Up (LW) 4" xfId="0"/>
    <cellStyle name="_Other_PC_TV_VSA Roll-Up (LW) 4 2" xfId="0"/>
    <cellStyle name="_Other_PC_TV_VSA Roll-Up (LW)_By Region" xfId="0"/>
    <cellStyle name="_Other_PC_TV_VSA Roll-Up (LW)_CORP SG&amp;A" xfId="0"/>
    <cellStyle name="_Other_PC_TV_VSA Roll-Up (LW)_LCD" xfId="0"/>
    <cellStyle name="_Other_PC_TV_VSA Roll-Up (LW)_PJ" xfId="0"/>
    <cellStyle name="_Other_PC_VSA 111014" xfId="0"/>
    <cellStyle name="_Other_PC_VSA 111014 2" xfId="0"/>
    <cellStyle name="_Other_PC_VSA 111014 3" xfId="0"/>
    <cellStyle name="_Other_PC_VSA 111014 4" xfId="0"/>
    <cellStyle name="_Other_PC_VSA 111014 4 2" xfId="0"/>
    <cellStyle name="_Other_PC_VSA 111014_By Region" xfId="0"/>
    <cellStyle name="_Other_PC_VSA 111014_CORP SG&amp;A" xfId="0"/>
    <cellStyle name="_Other_PC_VSA 111014_LCD" xfId="0"/>
    <cellStyle name="_Other_PC_VSA 111014_PJ" xfId="0"/>
    <cellStyle name="_Other_PC_VSA Roll-Up (LW)" xfId="0"/>
    <cellStyle name="_Other_PC_VSA Roll-Up (LW) 2" xfId="0"/>
    <cellStyle name="_Other_PC_VSA Roll-Up (LW) 3" xfId="0"/>
    <cellStyle name="_Other_PC_VSA Roll-Up (LW) 4" xfId="0"/>
    <cellStyle name="_Other_PC_VSA Roll-Up (LW) 4 2" xfId="0"/>
    <cellStyle name="_Other_PC_VSA Roll-Up (LW)_By Region" xfId="0"/>
    <cellStyle name="_Other_PC_VSA Roll-Up (LW)_CORP SG&amp;A" xfId="0"/>
    <cellStyle name="_Other_PC_VSA Roll-Up (LW)_LCD" xfId="0"/>
    <cellStyle name="_Other_PC_VSA Roll-Up (LW)_PJ" xfId="0"/>
    <cellStyle name="_Other_PJ" xfId="0"/>
    <cellStyle name="_Other_PJ 2" xfId="0"/>
    <cellStyle name="_Other_PJ 3" xfId="0"/>
    <cellStyle name="_Other_PJ 4" xfId="0"/>
    <cellStyle name="_Other_PJ_By Region" xfId="0"/>
    <cellStyle name="_Other_PJ_CORP SG&amp;A" xfId="0"/>
    <cellStyle name="_Other_PJ_Digitizer" xfId="0"/>
    <cellStyle name="_Other_PJ_GPS OTHER" xfId="0"/>
    <cellStyle name="_Other_PJ_GPS OTHER 2" xfId="0"/>
    <cellStyle name="_Other_PJ_GPS OTHER 3" xfId="0"/>
    <cellStyle name="_Other_PJ_GPS OTHER 4" xfId="0"/>
    <cellStyle name="_Other_PJ_GPS OTHER 4 2" xfId="0"/>
    <cellStyle name="_Other_PJ_GPS OTHER_By Region" xfId="0"/>
    <cellStyle name="_Other_PJ_GPS OTHER_CORP SG&amp;A" xfId="0"/>
    <cellStyle name="_Other_PJ_GPS OTHER_LCD" xfId="0"/>
    <cellStyle name="_Other_PJ_GPS OTHER_PJ" xfId="0"/>
    <cellStyle name="_Other_PJ_LCD" xfId="0"/>
    <cellStyle name="_Other_PJ_LCD 2" xfId="0"/>
    <cellStyle name="_Other_PJ_LCD 3" xfId="0"/>
    <cellStyle name="_Other_PJ_LCD 4" xfId="0"/>
    <cellStyle name="_Other_PJ_LCD_By Region" xfId="0"/>
    <cellStyle name="_Other_PJ_LCD_CORP SG&amp;A" xfId="0"/>
    <cellStyle name="_Other_PJ_LCD_LCD" xfId="0"/>
    <cellStyle name="_Other_PJ_LCD_PJ" xfId="0"/>
    <cellStyle name="_Other_PJ_PC Products" xfId="0"/>
    <cellStyle name="_Other_PJ_PC Products 2" xfId="0"/>
    <cellStyle name="_Other_PJ_PC Products 3" xfId="0"/>
    <cellStyle name="_Other_PJ_PC Products 4" xfId="0"/>
    <cellStyle name="_Other_PJ_PC Products 4 2" xfId="0"/>
    <cellStyle name="_Other_PJ_PC Products_By Region" xfId="0"/>
    <cellStyle name="_Other_PJ_PC Products_CORP SG&amp;A" xfId="0"/>
    <cellStyle name="_Other_PJ_PC Products_LCD" xfId="0"/>
    <cellStyle name="_Other_PJ_PC Products_PJ" xfId="0"/>
    <cellStyle name="_Other_PJ_VSA 111014" xfId="0"/>
    <cellStyle name="_Other_PJ_VSA 111014 2" xfId="0"/>
    <cellStyle name="_Other_PJ_VSA 111014 3" xfId="0"/>
    <cellStyle name="_Other_PJ_VSA 111014 4" xfId="0"/>
    <cellStyle name="_Other_PJ_VSA 111014 4 2" xfId="0"/>
    <cellStyle name="_Other_PJ_VSA 111014_By Region" xfId="0"/>
    <cellStyle name="_Other_PJ_VSA 111014_CORP SG&amp;A" xfId="0"/>
    <cellStyle name="_Other_PJ_VSA 111014_LCD" xfId="0"/>
    <cellStyle name="_Other_PJ_VSA 111014_PJ" xfId="0"/>
    <cellStyle name="_Other_PJ_VSA Roll-Up (LW)" xfId="0"/>
    <cellStyle name="_Other_PJ_VSA Roll-Up (LW) 2" xfId="0"/>
    <cellStyle name="_Other_PJ_VSA Roll-Up (LW) 3" xfId="0"/>
    <cellStyle name="_Other_PJ_VSA Roll-Up (LW) 4" xfId="0"/>
    <cellStyle name="_Other_PJ_VSA Roll-Up (LW) 4 2" xfId="0"/>
    <cellStyle name="_Other_PJ_VSA Roll-Up (LW)_By Region" xfId="0"/>
    <cellStyle name="_Other_PJ_VSA Roll-Up (LW)_CORP SG&amp;A" xfId="0"/>
    <cellStyle name="_Other_PJ_VSA Roll-Up (LW)_LCD" xfId="0"/>
    <cellStyle name="_Other_PJ_VSA Roll-Up (LW)_PJ" xfId="0"/>
    <cellStyle name="_Other_PMP(VPD)" xfId="0"/>
    <cellStyle name="_Other_PMP(VPD) 2" xfId="0"/>
    <cellStyle name="_Other_PMP(VPD) 3" xfId="0"/>
    <cellStyle name="_Other_PMP(VPD) 4" xfId="0"/>
    <cellStyle name="_Other_PMP(VPD)_By Region" xfId="0"/>
    <cellStyle name="_Other_PMP(VPD)_CORP SG&amp;A" xfId="0"/>
    <cellStyle name="_Other_PMP(VPD)_Digitizer" xfId="0"/>
    <cellStyle name="_Other_PMP(VPD)_GPS OTHER" xfId="0"/>
    <cellStyle name="_Other_PMP(VPD)_GPS OTHER 2" xfId="0"/>
    <cellStyle name="_Other_PMP(VPD)_GPS OTHER 3" xfId="0"/>
    <cellStyle name="_Other_PMP(VPD)_GPS OTHER 4" xfId="0"/>
    <cellStyle name="_Other_PMP(VPD)_GPS OTHER 4 2" xfId="0"/>
    <cellStyle name="_Other_PMP(VPD)_GPS OTHER_By Region" xfId="0"/>
    <cellStyle name="_Other_PMP(VPD)_GPS OTHER_CORP SG&amp;A" xfId="0"/>
    <cellStyle name="_Other_PMP(VPD)_GPS OTHER_LCD" xfId="0"/>
    <cellStyle name="_Other_PMP(VPD)_GPS OTHER_PJ" xfId="0"/>
    <cellStyle name="_Other_PMP(VPD)_LCD" xfId="0"/>
    <cellStyle name="_Other_PMP(VPD)_LCD 2" xfId="0"/>
    <cellStyle name="_Other_PMP(VPD)_LCD 3" xfId="0"/>
    <cellStyle name="_Other_PMP(VPD)_LCD 4" xfId="0"/>
    <cellStyle name="_Other_PMP(VPD)_LCD_By Region" xfId="0"/>
    <cellStyle name="_Other_PMP(VPD)_LCD_CORP SG&amp;A" xfId="0"/>
    <cellStyle name="_Other_PMP(VPD)_LCD_LCD" xfId="0"/>
    <cellStyle name="_Other_PMP(VPD)_LCD_PJ" xfId="0"/>
    <cellStyle name="_Other_PMP(VPD)_PC Products" xfId="0"/>
    <cellStyle name="_Other_PMP(VPD)_PC Products 2" xfId="0"/>
    <cellStyle name="_Other_PMP(VPD)_PC Products 3" xfId="0"/>
    <cellStyle name="_Other_PMP(VPD)_PC Products 4" xfId="0"/>
    <cellStyle name="_Other_PMP(VPD)_PC Products 4 2" xfId="0"/>
    <cellStyle name="_Other_PMP(VPD)_PC Products_By Region" xfId="0"/>
    <cellStyle name="_Other_PMP(VPD)_PC Products_CORP SG&amp;A" xfId="0"/>
    <cellStyle name="_Other_PMP(VPD)_PC Products_LCD" xfId="0"/>
    <cellStyle name="_Other_PMP(VPD)_PC Products_PJ" xfId="0"/>
    <cellStyle name="_Other_PMP(VPD)_VSA 111014" xfId="0"/>
    <cellStyle name="_Other_PMP(VPD)_VSA 111014 2" xfId="0"/>
    <cellStyle name="_Other_PMP(VPD)_VSA 111014 3" xfId="0"/>
    <cellStyle name="_Other_PMP(VPD)_VSA 111014 4" xfId="0"/>
    <cellStyle name="_Other_PMP(VPD)_VSA 111014 4 2" xfId="0"/>
    <cellStyle name="_Other_PMP(VPD)_VSA 111014_By Region" xfId="0"/>
    <cellStyle name="_Other_PMP(VPD)_VSA 111014_CORP SG&amp;A" xfId="0"/>
    <cellStyle name="_Other_PMP(VPD)_VSA 111014_LCD" xfId="0"/>
    <cellStyle name="_Other_PMP(VPD)_VSA 111014_PJ" xfId="0"/>
    <cellStyle name="_Other_PMP(VPD)_VSA Roll-Up (LW)" xfId="0"/>
    <cellStyle name="_Other_PMP(VPD)_VSA Roll-Up (LW) 2" xfId="0"/>
    <cellStyle name="_Other_PMP(VPD)_VSA Roll-Up (LW) 3" xfId="0"/>
    <cellStyle name="_Other_PMP(VPD)_VSA Roll-Up (LW) 4" xfId="0"/>
    <cellStyle name="_Other_PMP(VPD)_VSA Roll-Up (LW) 4 2" xfId="0"/>
    <cellStyle name="_Other_PMP(VPD)_VSA Roll-Up (LW)_By Region" xfId="0"/>
    <cellStyle name="_Other_PMP(VPD)_VSA Roll-Up (LW)_CORP SG&amp;A" xfId="0"/>
    <cellStyle name="_Other_PMP(VPD)_VSA Roll-Up (LW)_LCD" xfId="0"/>
    <cellStyle name="_Other_PMP(VPD)_VSA Roll-Up (LW)_PJ" xfId="0"/>
    <cellStyle name="_Other_Pocket TV" xfId="0"/>
    <cellStyle name="_Other_Pocket TV 2" xfId="0"/>
    <cellStyle name="_Other_Pocket TV 3" xfId="0"/>
    <cellStyle name="_Other_Pocket TV 4" xfId="0"/>
    <cellStyle name="_Other_Pocket TV_By Region" xfId="0"/>
    <cellStyle name="_Other_Pocket TV_CORP SG&amp;A" xfId="0"/>
    <cellStyle name="_Other_Pocket TV_Digitizer" xfId="0"/>
    <cellStyle name="_Other_Pocket TV_GPS OTHER" xfId="0"/>
    <cellStyle name="_Other_Pocket TV_GPS OTHER 2" xfId="0"/>
    <cellStyle name="_Other_Pocket TV_GPS OTHER 3" xfId="0"/>
    <cellStyle name="_Other_Pocket TV_GPS OTHER 4" xfId="0"/>
    <cellStyle name="_Other_Pocket TV_GPS OTHER 4 2" xfId="0"/>
    <cellStyle name="_Other_Pocket TV_GPS OTHER_By Region" xfId="0"/>
    <cellStyle name="_Other_Pocket TV_GPS OTHER_CORP SG&amp;A" xfId="0"/>
    <cellStyle name="_Other_Pocket TV_GPS OTHER_LCD" xfId="0"/>
    <cellStyle name="_Other_Pocket TV_GPS OTHER_PJ" xfId="0"/>
    <cellStyle name="_Other_Pocket TV_LCD" xfId="0"/>
    <cellStyle name="_Other_Pocket TV_LCD 2" xfId="0"/>
    <cellStyle name="_Other_Pocket TV_LCD 3" xfId="0"/>
    <cellStyle name="_Other_Pocket TV_LCD 4" xfId="0"/>
    <cellStyle name="_Other_Pocket TV_LCD_By Region" xfId="0"/>
    <cellStyle name="_Other_Pocket TV_LCD_CORP SG&amp;A" xfId="0"/>
    <cellStyle name="_Other_Pocket TV_LCD_LCD" xfId="0"/>
    <cellStyle name="_Other_Pocket TV_LCD_PJ" xfId="0"/>
    <cellStyle name="_Other_Pocket TV_PC Products" xfId="0"/>
    <cellStyle name="_Other_Pocket TV_PC Products 2" xfId="0"/>
    <cellStyle name="_Other_Pocket TV_PC Products 3" xfId="0"/>
    <cellStyle name="_Other_Pocket TV_PC Products 4" xfId="0"/>
    <cellStyle name="_Other_Pocket TV_PC Products 4 2" xfId="0"/>
    <cellStyle name="_Other_Pocket TV_PC Products_By Region" xfId="0"/>
    <cellStyle name="_Other_Pocket TV_PC Products_CORP SG&amp;A" xfId="0"/>
    <cellStyle name="_Other_Pocket TV_PC Products_LCD" xfId="0"/>
    <cellStyle name="_Other_Pocket TV_PC Products_PJ" xfId="0"/>
    <cellStyle name="_Other_Pocket TV_VSA 111014" xfId="0"/>
    <cellStyle name="_Other_Pocket TV_VSA 111014 2" xfId="0"/>
    <cellStyle name="_Other_Pocket TV_VSA 111014 3" xfId="0"/>
    <cellStyle name="_Other_Pocket TV_VSA 111014 4" xfId="0"/>
    <cellStyle name="_Other_Pocket TV_VSA 111014 4 2" xfId="0"/>
    <cellStyle name="_Other_Pocket TV_VSA 111014_By Region" xfId="0"/>
    <cellStyle name="_Other_Pocket TV_VSA 111014_CORP SG&amp;A" xfId="0"/>
    <cellStyle name="_Other_Pocket TV_VSA 111014_LCD" xfId="0"/>
    <cellStyle name="_Other_Pocket TV_VSA 111014_PJ" xfId="0"/>
    <cellStyle name="_Other_Pocket TV_VSA Roll-Up (LW)" xfId="0"/>
    <cellStyle name="_Other_Pocket TV_VSA Roll-Up (LW) 2" xfId="0"/>
    <cellStyle name="_Other_Pocket TV_VSA Roll-Up (LW) 3" xfId="0"/>
    <cellStyle name="_Other_Pocket TV_VSA Roll-Up (LW) 4" xfId="0"/>
    <cellStyle name="_Other_Pocket TV_VSA Roll-Up (LW) 4 2" xfId="0"/>
    <cellStyle name="_Other_Pocket TV_VSA Roll-Up (LW)_By Region" xfId="0"/>
    <cellStyle name="_Other_Pocket TV_VSA Roll-Up (LW)_CORP SG&amp;A" xfId="0"/>
    <cellStyle name="_Other_Pocket TV_VSA Roll-Up (LW)_LCD" xfId="0"/>
    <cellStyle name="_Other_Pocket TV_VSA Roll-Up (LW)_PJ" xfId="0"/>
    <cellStyle name="_Other_Pocket_TV" xfId="0"/>
    <cellStyle name="_Other_Pocket_TV 2" xfId="0"/>
    <cellStyle name="_Other_Pocket_TV 3" xfId="0"/>
    <cellStyle name="_Other_Pocket_TV 4" xfId="0"/>
    <cellStyle name="_Other_Pocket_TV_By Region" xfId="0"/>
    <cellStyle name="_Other_Pocket_TV_CORP SG&amp;A" xfId="0"/>
    <cellStyle name="_Other_Pocket_TV_Digitizer" xfId="0"/>
    <cellStyle name="_Other_Pocket_TV_GPS OTHER" xfId="0"/>
    <cellStyle name="_Other_Pocket_TV_GPS OTHER 2" xfId="0"/>
    <cellStyle name="_Other_Pocket_TV_GPS OTHER 3" xfId="0"/>
    <cellStyle name="_Other_Pocket_TV_GPS OTHER 4" xfId="0"/>
    <cellStyle name="_Other_Pocket_TV_GPS OTHER 4 2" xfId="0"/>
    <cellStyle name="_Other_Pocket_TV_GPS OTHER_By Region" xfId="0"/>
    <cellStyle name="_Other_Pocket_TV_GPS OTHER_CORP SG&amp;A" xfId="0"/>
    <cellStyle name="_Other_Pocket_TV_GPS OTHER_LCD" xfId="0"/>
    <cellStyle name="_Other_Pocket_TV_GPS OTHER_PJ" xfId="0"/>
    <cellStyle name="_Other_Pocket_TV_LCD" xfId="0"/>
    <cellStyle name="_Other_Pocket_TV_LCD 2" xfId="0"/>
    <cellStyle name="_Other_Pocket_TV_LCD 3" xfId="0"/>
    <cellStyle name="_Other_Pocket_TV_LCD 4" xfId="0"/>
    <cellStyle name="_Other_Pocket_TV_LCD_By Region" xfId="0"/>
    <cellStyle name="_Other_Pocket_TV_LCD_CORP SG&amp;A" xfId="0"/>
    <cellStyle name="_Other_Pocket_TV_LCD_LCD" xfId="0"/>
    <cellStyle name="_Other_Pocket_TV_LCD_PJ" xfId="0"/>
    <cellStyle name="_Other_Pocket_TV_PC Products" xfId="0"/>
    <cellStyle name="_Other_Pocket_TV_PC Products 2" xfId="0"/>
    <cellStyle name="_Other_Pocket_TV_PC Products 3" xfId="0"/>
    <cellStyle name="_Other_Pocket_TV_PC Products 4" xfId="0"/>
    <cellStyle name="_Other_Pocket_TV_PC Products 4 2" xfId="0"/>
    <cellStyle name="_Other_Pocket_TV_PC Products_By Region" xfId="0"/>
    <cellStyle name="_Other_Pocket_TV_PC Products_CORP SG&amp;A" xfId="0"/>
    <cellStyle name="_Other_Pocket_TV_PC Products_LCD" xfId="0"/>
    <cellStyle name="_Other_Pocket_TV_PC Products_PJ" xfId="0"/>
    <cellStyle name="_Other_Pocket_TV_VSA 111014" xfId="0"/>
    <cellStyle name="_Other_Pocket_TV_VSA 111014 2" xfId="0"/>
    <cellStyle name="_Other_Pocket_TV_VSA 111014 3" xfId="0"/>
    <cellStyle name="_Other_Pocket_TV_VSA 111014 4" xfId="0"/>
    <cellStyle name="_Other_Pocket_TV_VSA 111014 4 2" xfId="0"/>
    <cellStyle name="_Other_Pocket_TV_VSA 111014_By Region" xfId="0"/>
    <cellStyle name="_Other_Pocket_TV_VSA 111014_CORP SG&amp;A" xfId="0"/>
    <cellStyle name="_Other_Pocket_TV_VSA 111014_LCD" xfId="0"/>
    <cellStyle name="_Other_Pocket_TV_VSA 111014_PJ" xfId="0"/>
    <cellStyle name="_Other_Pocket_TV_VSA Roll-Up (LW)" xfId="0"/>
    <cellStyle name="_Other_Pocket_TV_VSA Roll-Up (LW) 2" xfId="0"/>
    <cellStyle name="_Other_Pocket_TV_VSA Roll-Up (LW) 3" xfId="0"/>
    <cellStyle name="_Other_Pocket_TV_VSA Roll-Up (LW) 4" xfId="0"/>
    <cellStyle name="_Other_Pocket_TV_VSA Roll-Up (LW) 4 2" xfId="0"/>
    <cellStyle name="_Other_Pocket_TV_VSA Roll-Up (LW)_By Region" xfId="0"/>
    <cellStyle name="_Other_Pocket_TV_VSA Roll-Up (LW)_CORP SG&amp;A" xfId="0"/>
    <cellStyle name="_Other_Pocket_TV_VSA Roll-Up (LW)_LCD" xfId="0"/>
    <cellStyle name="_Other_Pocket_TV_VSA Roll-Up (LW)_PJ" xfId="0"/>
    <cellStyle name="_Other_TV" xfId="0"/>
    <cellStyle name="_Other_TV 2" xfId="0"/>
    <cellStyle name="_Other_TV 3" xfId="0"/>
    <cellStyle name="_Other_TV 4" xfId="0"/>
    <cellStyle name="_Other_TV_By Region" xfId="0"/>
    <cellStyle name="_Other_TV_CORP SG&amp;A" xfId="0"/>
    <cellStyle name="_Other_TV_Digitizer" xfId="0"/>
    <cellStyle name="_Other_TV_GPS OTHER" xfId="0"/>
    <cellStyle name="_Other_TV_GPS OTHER 2" xfId="0"/>
    <cellStyle name="_Other_TV_GPS OTHER 3" xfId="0"/>
    <cellStyle name="_Other_TV_GPS OTHER 4" xfId="0"/>
    <cellStyle name="_Other_TV_GPS OTHER 4 2" xfId="0"/>
    <cellStyle name="_Other_TV_GPS OTHER_By Region" xfId="0"/>
    <cellStyle name="_Other_TV_GPS OTHER_CORP SG&amp;A" xfId="0"/>
    <cellStyle name="_Other_TV_GPS OTHER_LCD" xfId="0"/>
    <cellStyle name="_Other_TV_GPS OTHER_PJ" xfId="0"/>
    <cellStyle name="_Other_TV_LCD" xfId="0"/>
    <cellStyle name="_Other_TV_LCD 2" xfId="0"/>
    <cellStyle name="_Other_TV_LCD 3" xfId="0"/>
    <cellStyle name="_Other_TV_LCD 4" xfId="0"/>
    <cellStyle name="_Other_TV_LCD_By Region" xfId="0"/>
    <cellStyle name="_Other_TV_LCD_CORP SG&amp;A" xfId="0"/>
    <cellStyle name="_Other_TV_LCD_LCD" xfId="0"/>
    <cellStyle name="_Other_TV_LCD_PJ" xfId="0"/>
    <cellStyle name="_Other_TV_PC Products" xfId="0"/>
    <cellStyle name="_Other_TV_PC Products 2" xfId="0"/>
    <cellStyle name="_Other_TV_PC Products 3" xfId="0"/>
    <cellStyle name="_Other_TV_PC Products 4" xfId="0"/>
    <cellStyle name="_Other_TV_PC Products 4 2" xfId="0"/>
    <cellStyle name="_Other_TV_PC Products_By Region" xfId="0"/>
    <cellStyle name="_Other_TV_PC Products_CORP SG&amp;A" xfId="0"/>
    <cellStyle name="_Other_TV_PC Products_LCD" xfId="0"/>
    <cellStyle name="_Other_TV_PC Products_PJ" xfId="0"/>
    <cellStyle name="_Other_TV_VSA 111014" xfId="0"/>
    <cellStyle name="_Other_TV_VSA 111014 2" xfId="0"/>
    <cellStyle name="_Other_TV_VSA 111014 3" xfId="0"/>
    <cellStyle name="_Other_TV_VSA 111014 4" xfId="0"/>
    <cellStyle name="_Other_TV_VSA 111014 4 2" xfId="0"/>
    <cellStyle name="_Other_TV_VSA 111014_By Region" xfId="0"/>
    <cellStyle name="_Other_TV_VSA 111014_CORP SG&amp;A" xfId="0"/>
    <cellStyle name="_Other_TV_VSA 111014_LCD" xfId="0"/>
    <cellStyle name="_Other_TV_VSA 111014_PJ" xfId="0"/>
    <cellStyle name="_Other_TV_VSA Roll-Up (LW)" xfId="0"/>
    <cellStyle name="_Other_TV_VSA Roll-Up (LW) 2" xfId="0"/>
    <cellStyle name="_Other_TV_VSA Roll-Up (LW) 3" xfId="0"/>
    <cellStyle name="_Other_TV_VSA Roll-Up (LW) 4" xfId="0"/>
    <cellStyle name="_Other_TV_VSA Roll-Up (LW) 4 2" xfId="0"/>
    <cellStyle name="_Other_TV_VSA Roll-Up (LW)_By Region" xfId="0"/>
    <cellStyle name="_Other_TV_VSA Roll-Up (LW)_CORP SG&amp;A" xfId="0"/>
    <cellStyle name="_Other_TV_VSA Roll-Up (LW)_LCD" xfId="0"/>
    <cellStyle name="_Other_TV_VSA Roll-Up (LW)_PJ" xfId="0"/>
    <cellStyle name="_Other_VD" xfId="0"/>
    <cellStyle name="_Other_VD 2" xfId="0"/>
    <cellStyle name="_Other_VD 3" xfId="0"/>
    <cellStyle name="_Other_VD 4" xfId="0"/>
    <cellStyle name="_Other_VD_By Region" xfId="0"/>
    <cellStyle name="_Other_VD_CORP SG&amp;A" xfId="0"/>
    <cellStyle name="_Other_VD_Digitizer" xfId="0"/>
    <cellStyle name="_Other_VD_GPS OTHER" xfId="0"/>
    <cellStyle name="_Other_VD_GPS OTHER 2" xfId="0"/>
    <cellStyle name="_Other_VD_GPS OTHER 3" xfId="0"/>
    <cellStyle name="_Other_VD_GPS OTHER 4" xfId="0"/>
    <cellStyle name="_Other_VD_GPS OTHER 4 2" xfId="0"/>
    <cellStyle name="_Other_VD_GPS OTHER_By Region" xfId="0"/>
    <cellStyle name="_Other_VD_GPS OTHER_CORP SG&amp;A" xfId="0"/>
    <cellStyle name="_Other_VD_GPS OTHER_LCD" xfId="0"/>
    <cellStyle name="_Other_VD_GPS OTHER_PJ" xfId="0"/>
    <cellStyle name="_Other_VD_LCD" xfId="0"/>
    <cellStyle name="_Other_VD_LCD 2" xfId="0"/>
    <cellStyle name="_Other_VD_LCD 3" xfId="0"/>
    <cellStyle name="_Other_VD_LCD 4" xfId="0"/>
    <cellStyle name="_Other_VD_LCD_By Region" xfId="0"/>
    <cellStyle name="_Other_VD_LCD_CORP SG&amp;A" xfId="0"/>
    <cellStyle name="_Other_VD_LCD_LCD" xfId="0"/>
    <cellStyle name="_Other_VD_LCD_PJ" xfId="0"/>
    <cellStyle name="_Other_VD_PC Products" xfId="0"/>
    <cellStyle name="_Other_VD_PC Products 2" xfId="0"/>
    <cellStyle name="_Other_VD_PC Products 3" xfId="0"/>
    <cellStyle name="_Other_VD_PC Products 4" xfId="0"/>
    <cellStyle name="_Other_VD_PC Products 4 2" xfId="0"/>
    <cellStyle name="_Other_VD_PC Products_By Region" xfId="0"/>
    <cellStyle name="_Other_VD_PC Products_CORP SG&amp;A" xfId="0"/>
    <cellStyle name="_Other_VD_PC Products_LCD" xfId="0"/>
    <cellStyle name="_Other_VD_PC Products_PJ" xfId="0"/>
    <cellStyle name="_Other_VD_VSA 111014" xfId="0"/>
    <cellStyle name="_Other_VD_VSA 111014 2" xfId="0"/>
    <cellStyle name="_Other_VD_VSA 111014 3" xfId="0"/>
    <cellStyle name="_Other_VD_VSA 111014 4" xfId="0"/>
    <cellStyle name="_Other_VD_VSA 111014 4 2" xfId="0"/>
    <cellStyle name="_Other_VD_VSA 111014_By Region" xfId="0"/>
    <cellStyle name="_Other_VD_VSA 111014_CORP SG&amp;A" xfId="0"/>
    <cellStyle name="_Other_VD_VSA 111014_LCD" xfId="0"/>
    <cellStyle name="_Other_VD_VSA 111014_PJ" xfId="0"/>
    <cellStyle name="_Other_VD_VSA Roll-Up (LW)" xfId="0"/>
    <cellStyle name="_Other_VD_VSA Roll-Up (LW) 2" xfId="0"/>
    <cellStyle name="_Other_VD_VSA Roll-Up (LW) 3" xfId="0"/>
    <cellStyle name="_Other_VD_VSA Roll-Up (LW) 4" xfId="0"/>
    <cellStyle name="_Other_VD_VSA Roll-Up (LW) 4 2" xfId="0"/>
    <cellStyle name="_Other_VD_VSA Roll-Up (LW)_By Region" xfId="0"/>
    <cellStyle name="_Other_VD_VSA Roll-Up (LW)_CORP SG&amp;A" xfId="0"/>
    <cellStyle name="_Other_VD_VSA Roll-Up (LW)_LCD" xfId="0"/>
    <cellStyle name="_Other_VD_VSA Roll-Up (LW)_PJ" xfId="0"/>
    <cellStyle name="_Other_VSA 111014" xfId="0"/>
    <cellStyle name="_Other_VSA 111014 2" xfId="0"/>
    <cellStyle name="_Other_VSA 111014 3" xfId="0"/>
    <cellStyle name="_Other_VSA 111014 4" xfId="0"/>
    <cellStyle name="_Other_VSA 111014 4 2" xfId="0"/>
    <cellStyle name="_Other_VSA 111014_By Region" xfId="0"/>
    <cellStyle name="_Other_VSA 111014_CORP SG&amp;A" xfId="0"/>
    <cellStyle name="_Other_VSA 111014_LCD" xfId="0"/>
    <cellStyle name="_Other_VSA 111014_PJ" xfId="0"/>
    <cellStyle name="_Other_VSA Roll-Up (LW)" xfId="0"/>
    <cellStyle name="_Other_VSA Roll-Up (LW) 2" xfId="0"/>
    <cellStyle name="_Other_VSA Roll-Up (LW) 3" xfId="0"/>
    <cellStyle name="_Other_VSA Roll-Up (LW) 4" xfId="0"/>
    <cellStyle name="_Other_VSA Roll-Up (LW) 4 2" xfId="0"/>
    <cellStyle name="_Other_VSA Roll-Up (LW)_By Region" xfId="0"/>
    <cellStyle name="_Other_VSA Roll-Up (LW)_CORP SG&amp;A" xfId="0"/>
    <cellStyle name="_Other_VSA Roll-Up (LW)_LCD" xfId="0"/>
    <cellStyle name="_Other_VSA Roll-Up (LW)_PJ" xfId="0"/>
    <cellStyle name="_Other_VSE 2011 Budget" xfId="0"/>
    <cellStyle name="_Other_VSE 2011 Budget 2" xfId="0"/>
    <cellStyle name="_Other_VSE 2011 Budget 3" xfId="0"/>
    <cellStyle name="_Other_VSE 2011 Budget 4" xfId="0"/>
    <cellStyle name="_Other_VSE 2011 Budget_By Region" xfId="0"/>
    <cellStyle name="_Other_VSE 2011 Budget_CORP SG&amp;A" xfId="0"/>
    <cellStyle name="_Other_VSE 2011 Budget_Digitizer" xfId="0"/>
    <cellStyle name="_Other_VSE 2011 Budget_GPS OTHER" xfId="0"/>
    <cellStyle name="_Other_VSE 2011 Budget_GPS OTHER 2" xfId="0"/>
    <cellStyle name="_Other_VSE 2011 Budget_GPS OTHER 3" xfId="0"/>
    <cellStyle name="_Other_VSE 2011 Budget_GPS OTHER 4" xfId="0"/>
    <cellStyle name="_Other_VSE 2011 Budget_GPS OTHER 4 2" xfId="0"/>
    <cellStyle name="_Other_VSE 2011 Budget_GPS OTHER_By Region" xfId="0"/>
    <cellStyle name="_Other_VSE 2011 Budget_GPS OTHER_CORP SG&amp;A" xfId="0"/>
    <cellStyle name="_Other_VSE 2011 Budget_GPS OTHER_LCD" xfId="0"/>
    <cellStyle name="_Other_VSE 2011 Budget_GPS OTHER_PJ" xfId="0"/>
    <cellStyle name="_Other_VSE 2011 Budget_LCD" xfId="0"/>
    <cellStyle name="_Other_VSE 2011 Budget_LCD 2" xfId="0"/>
    <cellStyle name="_Other_VSE 2011 Budget_LCD 3" xfId="0"/>
    <cellStyle name="_Other_VSE 2011 Budget_LCD 4" xfId="0"/>
    <cellStyle name="_Other_VSE 2011 Budget_LCD_By Region" xfId="0"/>
    <cellStyle name="_Other_VSE 2011 Budget_LCD_CORP SG&amp;A" xfId="0"/>
    <cellStyle name="_Other_VSE 2011 Budget_LCD_LCD" xfId="0"/>
    <cellStyle name="_Other_VSE 2011 Budget_LCD_PJ" xfId="0"/>
    <cellStyle name="_Other_VSE 2011 Budget_PC Products" xfId="0"/>
    <cellStyle name="_Other_VSE 2011 Budget_PC Products 2" xfId="0"/>
    <cellStyle name="_Other_VSE 2011 Budget_PC Products 3" xfId="0"/>
    <cellStyle name="_Other_VSE 2011 Budget_PC Products 4" xfId="0"/>
    <cellStyle name="_Other_VSE 2011 Budget_PC Products 4 2" xfId="0"/>
    <cellStyle name="_Other_VSE 2011 Budget_PC Products_By Region" xfId="0"/>
    <cellStyle name="_Other_VSE 2011 Budget_PC Products_CORP SG&amp;A" xfId="0"/>
    <cellStyle name="_Other_VSE 2011 Budget_PC Products_LCD" xfId="0"/>
    <cellStyle name="_Other_VSE 2011 Budget_PC Products_PJ" xfId="0"/>
    <cellStyle name="_Other_VSE 2011 Budget_VSA 111014" xfId="0"/>
    <cellStyle name="_Other_VSE 2011 Budget_VSA 111014 2" xfId="0"/>
    <cellStyle name="_Other_VSE 2011 Budget_VSA 111014 3" xfId="0"/>
    <cellStyle name="_Other_VSE 2011 Budget_VSA 111014 4" xfId="0"/>
    <cellStyle name="_Other_VSE 2011 Budget_VSA 111014 4 2" xfId="0"/>
    <cellStyle name="_Other_VSE 2011 Budget_VSA 111014_By Region" xfId="0"/>
    <cellStyle name="_Other_VSE 2011 Budget_VSA 111014_CORP SG&amp;A" xfId="0"/>
    <cellStyle name="_Other_VSE 2011 Budget_VSA 111014_LCD" xfId="0"/>
    <cellStyle name="_Other_VSE 2011 Budget_VSA 111014_PJ" xfId="0"/>
    <cellStyle name="_Other_VSE 2011 Budget_VSA Roll-Up (LW)" xfId="0"/>
    <cellStyle name="_Other_VSE 2011 Budget_VSA Roll-Up (LW) 2" xfId="0"/>
    <cellStyle name="_Other_VSE 2011 Budget_VSA Roll-Up (LW) 3" xfId="0"/>
    <cellStyle name="_Other_VSE 2011 Budget_VSA Roll-Up (LW) 4" xfId="0"/>
    <cellStyle name="_Other_VSE 2011 Budget_VSA Roll-Up (LW) 4 2" xfId="0"/>
    <cellStyle name="_Other_VSE 2011 Budget_VSA Roll-Up (LW)_By Region" xfId="0"/>
    <cellStyle name="_Other_VSE 2011 Budget_VSA Roll-Up (LW)_CORP SG&amp;A" xfId="0"/>
    <cellStyle name="_Other_VSE 2011 Budget_VSA Roll-Up (LW)_LCD" xfId="0"/>
    <cellStyle name="_Other_VSE 2011 Budget_VSA Roll-Up (LW)_PJ" xfId="0"/>
    <cellStyle name="_Other_VSE 2H  WFP review (Spring Global meeting)-conservative Adam working v3" xfId="0"/>
    <cellStyle name="_Other_VSE 2H  WFP review (Spring Global meeting)-conservative Adam working v3 2" xfId="0"/>
    <cellStyle name="_Other_VSE 2H  WFP review (Spring Global meeting)-conservative Adam working v3 3" xfId="0"/>
    <cellStyle name="_Other_VSE 2H Rebalance 110712" xfId="0"/>
    <cellStyle name="_Other_VSE 2H Rebalance 110712 2" xfId="0"/>
    <cellStyle name="_Other_VSE 2H Rebalance 110712 3" xfId="0"/>
    <cellStyle name="_Other_VSE 2H Rebalance 110712 4" xfId="0"/>
    <cellStyle name="_Other_VSE 2H Rebalance 110712_By Region" xfId="0"/>
    <cellStyle name="_Other_VSE 2H Rebalance 110712_CORP SG&amp;A" xfId="0"/>
    <cellStyle name="_Other_VSE WFP 101203" xfId="0"/>
    <cellStyle name="_Other_VSE WFP 101203 2" xfId="0"/>
    <cellStyle name="_Other_VSE WFP 101203 3" xfId="0"/>
    <cellStyle name="_Other_VSE WFP 101203 4" xfId="0"/>
    <cellStyle name="_Other_VSE WFP 101203_By Region" xfId="0"/>
    <cellStyle name="_Other_VSE WFP 101203_CORP SG&amp;A" xfId="0"/>
    <cellStyle name="_Other_VSE WFP 110311" xfId="0"/>
    <cellStyle name="_Other_VSE WFP 110311 2" xfId="0"/>
    <cellStyle name="_Other_VSE WFP 110311 3" xfId="0"/>
    <cellStyle name="_Other_VSE WFP 110311 4" xfId="0"/>
    <cellStyle name="_Other_VSE WFP 110311_By Region" xfId="0"/>
    <cellStyle name="_Other_VSE WFP 110311_CORP SG&amp;A" xfId="0"/>
    <cellStyle name="_Other_VSE WFP 110415" xfId="0"/>
    <cellStyle name="_Other_VSE WFP 110415 2" xfId="0"/>
    <cellStyle name="_Other_VSE WFP 110415 3" xfId="0"/>
    <cellStyle name="_Other_VSE WFP 110415 4" xfId="0"/>
    <cellStyle name="_Other_VSE WFP 110415_By Region" xfId="0"/>
    <cellStyle name="_Other_VSE WFP 110415_CORP SG&amp;A" xfId="0"/>
    <cellStyle name="_Other_VSE WFP_100409" xfId="0"/>
    <cellStyle name="_Other_VSE WFP_100409 2" xfId="0"/>
    <cellStyle name="_Other_VSE WFP_100409 3" xfId="0"/>
    <cellStyle name="_Other_VSE WFP_100409 4" xfId="0"/>
    <cellStyle name="_Other_VSE WFP_100409_By Region" xfId="0"/>
    <cellStyle name="_Other_VSE WFP_100409_CORP SG&amp;A" xfId="0"/>
    <cellStyle name="_Other_VSE WFP_100409_Digitizer" xfId="0"/>
    <cellStyle name="_Other_VSE WFP_100409_GPS OTHER" xfId="0"/>
    <cellStyle name="_Other_VSE WFP_100409_GPS OTHER 2" xfId="0"/>
    <cellStyle name="_Other_VSE WFP_100409_GPS OTHER 3" xfId="0"/>
    <cellStyle name="_Other_VSE WFP_100409_GPS OTHER 4" xfId="0"/>
    <cellStyle name="_Other_VSE WFP_100409_GPS OTHER 4 2" xfId="0"/>
    <cellStyle name="_Other_VSE WFP_100409_GPS OTHER_By Region" xfId="0"/>
    <cellStyle name="_Other_VSE WFP_100409_GPS OTHER_CORP SG&amp;A" xfId="0"/>
    <cellStyle name="_Other_VSE WFP_100409_GPS OTHER_LCD" xfId="0"/>
    <cellStyle name="_Other_VSE WFP_100409_GPS OTHER_PJ" xfId="0"/>
    <cellStyle name="_Other_VSE WFP_100409_LCD" xfId="0"/>
    <cellStyle name="_Other_VSE WFP_100409_LCD 2" xfId="0"/>
    <cellStyle name="_Other_VSE WFP_100409_LCD 3" xfId="0"/>
    <cellStyle name="_Other_VSE WFP_100409_LCD 4" xfId="0"/>
    <cellStyle name="_Other_VSE WFP_100409_LCD_By Region" xfId="0"/>
    <cellStyle name="_Other_VSE WFP_100409_LCD_CORP SG&amp;A" xfId="0"/>
    <cellStyle name="_Other_VSE WFP_100409_LCD_LCD" xfId="0"/>
    <cellStyle name="_Other_VSE WFP_100409_LCD_PJ" xfId="0"/>
    <cellStyle name="_Other_VSE WFP_100409_PC Products" xfId="0"/>
    <cellStyle name="_Other_VSE WFP_100409_PC Products 2" xfId="0"/>
    <cellStyle name="_Other_VSE WFP_100409_PC Products 3" xfId="0"/>
    <cellStyle name="_Other_VSE WFP_100409_PC Products 4" xfId="0"/>
    <cellStyle name="_Other_VSE WFP_100409_PC Products 4 2" xfId="0"/>
    <cellStyle name="_Other_VSE WFP_100409_PC Products_By Region" xfId="0"/>
    <cellStyle name="_Other_VSE WFP_100409_PC Products_CORP SG&amp;A" xfId="0"/>
    <cellStyle name="_Other_VSE WFP_100409_PC Products_LCD" xfId="0"/>
    <cellStyle name="_Other_VSE WFP_100409_PC Products_PJ" xfId="0"/>
    <cellStyle name="_Other_VSE WFP_100409_VSA 111014" xfId="0"/>
    <cellStyle name="_Other_VSE WFP_100409_VSA 111014 2" xfId="0"/>
    <cellStyle name="_Other_VSE WFP_100409_VSA 111014 3" xfId="0"/>
    <cellStyle name="_Other_VSE WFP_100409_VSA 111014 4" xfId="0"/>
    <cellStyle name="_Other_VSE WFP_100409_VSA 111014 4 2" xfId="0"/>
    <cellStyle name="_Other_VSE WFP_100409_VSA 111014_By Region" xfId="0"/>
    <cellStyle name="_Other_VSE WFP_100409_VSA 111014_CORP SG&amp;A" xfId="0"/>
    <cellStyle name="_Other_VSE WFP_100409_VSA 111014_LCD" xfId="0"/>
    <cellStyle name="_Other_VSE WFP_100409_VSA 111014_PJ" xfId="0"/>
    <cellStyle name="_Other_VSE WFP_100409_VSA Roll-Up (LW)" xfId="0"/>
    <cellStyle name="_Other_VSE WFP_100409_VSA Roll-Up (LW) 2" xfId="0"/>
    <cellStyle name="_Other_VSE WFP_100409_VSA Roll-Up (LW) 3" xfId="0"/>
    <cellStyle name="_Other_VSE WFP_100409_VSA Roll-Up (LW) 4" xfId="0"/>
    <cellStyle name="_Other_VSE WFP_100409_VSA Roll-Up (LW) 4 2" xfId="0"/>
    <cellStyle name="_Other_VSE WFP_100409_VSA Roll-Up (LW)_By Region" xfId="0"/>
    <cellStyle name="_Other_VSE WFP_100409_VSA Roll-Up (LW)_CORP SG&amp;A" xfId="0"/>
    <cellStyle name="_Other_VSE WFP_100409_VSA Roll-Up (LW)_LCD" xfId="0"/>
    <cellStyle name="_Other_VSE WFP_100409_VSA Roll-Up (LW)_PJ" xfId="0"/>
    <cellStyle name="_Other_VSE WFP_100421 v2" xfId="0"/>
    <cellStyle name="_Other_VSE WFP_100421 v2 2" xfId="0"/>
    <cellStyle name="_Other_VSE WFP_100421 v2 3" xfId="0"/>
    <cellStyle name="_Other_VSE WFP_100421 v2 4" xfId="0"/>
    <cellStyle name="_Other_VSE WFP_100421 v2_By Region" xfId="0"/>
    <cellStyle name="_Other_VSE WFP_100421 v2_CORP SG&amp;A" xfId="0"/>
    <cellStyle name="_Other_VSE WFP_100421 v2_Digitizer" xfId="0"/>
    <cellStyle name="_Other_VSE WFP_100421 v2_GPS OTHER" xfId="0"/>
    <cellStyle name="_Other_VSE WFP_100421 v2_GPS OTHER 2" xfId="0"/>
    <cellStyle name="_Other_VSE WFP_100421 v2_GPS OTHER 3" xfId="0"/>
    <cellStyle name="_Other_VSE WFP_100421 v2_GPS OTHER 4" xfId="0"/>
    <cellStyle name="_Other_VSE WFP_100421 v2_GPS OTHER 4 2" xfId="0"/>
    <cellStyle name="_Other_VSE WFP_100421 v2_GPS OTHER_By Region" xfId="0"/>
    <cellStyle name="_Other_VSE WFP_100421 v2_GPS OTHER_CORP SG&amp;A" xfId="0"/>
    <cellStyle name="_Other_VSE WFP_100421 v2_GPS OTHER_LCD" xfId="0"/>
    <cellStyle name="_Other_VSE WFP_100421 v2_GPS OTHER_PJ" xfId="0"/>
    <cellStyle name="_Other_VSE WFP_100421 v2_LCD" xfId="0"/>
    <cellStyle name="_Other_VSE WFP_100421 v2_LCD 2" xfId="0"/>
    <cellStyle name="_Other_VSE WFP_100421 v2_LCD 3" xfId="0"/>
    <cellStyle name="_Other_VSE WFP_100421 v2_LCD 4" xfId="0"/>
    <cellStyle name="_Other_VSE WFP_100421 v2_LCD_By Region" xfId="0"/>
    <cellStyle name="_Other_VSE WFP_100421 v2_LCD_CORP SG&amp;A" xfId="0"/>
    <cellStyle name="_Other_VSE WFP_100421 v2_LCD_LCD" xfId="0"/>
    <cellStyle name="_Other_VSE WFP_100421 v2_LCD_PJ" xfId="0"/>
    <cellStyle name="_Other_VSE WFP_100421 v2_PC Products" xfId="0"/>
    <cellStyle name="_Other_VSE WFP_100421 v2_PC Products 2" xfId="0"/>
    <cellStyle name="_Other_VSE WFP_100421 v2_PC Products 3" xfId="0"/>
    <cellStyle name="_Other_VSE WFP_100421 v2_PC Products 4" xfId="0"/>
    <cellStyle name="_Other_VSE WFP_100421 v2_PC Products 4 2" xfId="0"/>
    <cellStyle name="_Other_VSE WFP_100421 v2_PC Products_By Region" xfId="0"/>
    <cellStyle name="_Other_VSE WFP_100421 v2_PC Products_CORP SG&amp;A" xfId="0"/>
    <cellStyle name="_Other_VSE WFP_100421 v2_PC Products_LCD" xfId="0"/>
    <cellStyle name="_Other_VSE WFP_100421 v2_PC Products_PJ" xfId="0"/>
    <cellStyle name="_Other_VSE WFP_100421 v2_VSA 111014" xfId="0"/>
    <cellStyle name="_Other_VSE WFP_100421 v2_VSA 111014 2" xfId="0"/>
    <cellStyle name="_Other_VSE WFP_100421 v2_VSA 111014 3" xfId="0"/>
    <cellStyle name="_Other_VSE WFP_100421 v2_VSA 111014 4" xfId="0"/>
    <cellStyle name="_Other_VSE WFP_100421 v2_VSA 111014 4 2" xfId="0"/>
    <cellStyle name="_Other_VSE WFP_100421 v2_VSA 111014_By Region" xfId="0"/>
    <cellStyle name="_Other_VSE WFP_100421 v2_VSA 111014_CORP SG&amp;A" xfId="0"/>
    <cellStyle name="_Other_VSE WFP_100421 v2_VSA 111014_LCD" xfId="0"/>
    <cellStyle name="_Other_VSE WFP_100421 v2_VSA 111014_PJ" xfId="0"/>
    <cellStyle name="_Other_VSE WFP_100421 v2_VSA Roll-Up (LW)" xfId="0"/>
    <cellStyle name="_Other_VSE WFP_100421 v2_VSA Roll-Up (LW) 2" xfId="0"/>
    <cellStyle name="_Other_VSE WFP_100421 v2_VSA Roll-Up (LW) 3" xfId="0"/>
    <cellStyle name="_Other_VSE WFP_100421 v2_VSA Roll-Up (LW) 4" xfId="0"/>
    <cellStyle name="_Other_VSE WFP_100421 v2_VSA Roll-Up (LW) 4 2" xfId="0"/>
    <cellStyle name="_Other_VSE WFP_100421 v2_VSA Roll-Up (LW)_By Region" xfId="0"/>
    <cellStyle name="_Other_VSE WFP_100421 v2_VSA Roll-Up (LW)_CORP SG&amp;A" xfId="0"/>
    <cellStyle name="_Other_VSE WFP_100421 v2_VSA Roll-Up (LW)_LCD" xfId="0"/>
    <cellStyle name="_Other_VSE WFP_100421 v2_VSA Roll-Up (LW)_PJ" xfId="0"/>
    <cellStyle name="_Other_VSE WFP_100507" xfId="0"/>
    <cellStyle name="_Other_VSE WFP_100507 2" xfId="0"/>
    <cellStyle name="_Other_VSE WFP_100507 3" xfId="0"/>
    <cellStyle name="_Other_VSE WFP_100507 4" xfId="0"/>
    <cellStyle name="_Other_VSE WFP_100507_By Region" xfId="0"/>
    <cellStyle name="_Other_VSE WFP_100507_CORP SG&amp;A" xfId="0"/>
    <cellStyle name="_Other_VSE WFP_100507_Digitizer" xfId="0"/>
    <cellStyle name="_Other_VSE WFP_100507_GPS OTHER" xfId="0"/>
    <cellStyle name="_Other_VSE WFP_100507_GPS OTHER 2" xfId="0"/>
    <cellStyle name="_Other_VSE WFP_100507_GPS OTHER 3" xfId="0"/>
    <cellStyle name="_Other_VSE WFP_100507_GPS OTHER 4" xfId="0"/>
    <cellStyle name="_Other_VSE WFP_100507_GPS OTHER 4 2" xfId="0"/>
    <cellStyle name="_Other_VSE WFP_100507_GPS OTHER_By Region" xfId="0"/>
    <cellStyle name="_Other_VSE WFP_100507_GPS OTHER_CORP SG&amp;A" xfId="0"/>
    <cellStyle name="_Other_VSE WFP_100507_GPS OTHER_LCD" xfId="0"/>
    <cellStyle name="_Other_VSE WFP_100507_GPS OTHER_PJ" xfId="0"/>
    <cellStyle name="_Other_VSE WFP_100507_LCD" xfId="0"/>
    <cellStyle name="_Other_VSE WFP_100507_LCD 2" xfId="0"/>
    <cellStyle name="_Other_VSE WFP_100507_LCD 3" xfId="0"/>
    <cellStyle name="_Other_VSE WFP_100507_LCD 4" xfId="0"/>
    <cellStyle name="_Other_VSE WFP_100507_LCD_By Region" xfId="0"/>
    <cellStyle name="_Other_VSE WFP_100507_LCD_CORP SG&amp;A" xfId="0"/>
    <cellStyle name="_Other_VSE WFP_100507_LCD_LCD" xfId="0"/>
    <cellStyle name="_Other_VSE WFP_100507_LCD_PJ" xfId="0"/>
    <cellStyle name="_Other_VSE WFP_100507_PC Products" xfId="0"/>
    <cellStyle name="_Other_VSE WFP_100507_PC Products 2" xfId="0"/>
    <cellStyle name="_Other_VSE WFP_100507_PC Products 3" xfId="0"/>
    <cellStyle name="_Other_VSE WFP_100507_PC Products 4" xfId="0"/>
    <cellStyle name="_Other_VSE WFP_100507_PC Products 4 2" xfId="0"/>
    <cellStyle name="_Other_VSE WFP_100507_PC Products_By Region" xfId="0"/>
    <cellStyle name="_Other_VSE WFP_100507_PC Products_CORP SG&amp;A" xfId="0"/>
    <cellStyle name="_Other_VSE WFP_100507_PC Products_LCD" xfId="0"/>
    <cellStyle name="_Other_VSE WFP_100507_PC Products_PJ" xfId="0"/>
    <cellStyle name="_Other_VSE WFP_100507_VSA 111014" xfId="0"/>
    <cellStyle name="_Other_VSE WFP_100507_VSA 111014 2" xfId="0"/>
    <cellStyle name="_Other_VSE WFP_100507_VSA 111014 3" xfId="0"/>
    <cellStyle name="_Other_VSE WFP_100507_VSA 111014 4" xfId="0"/>
    <cellStyle name="_Other_VSE WFP_100507_VSA 111014 4 2" xfId="0"/>
    <cellStyle name="_Other_VSE WFP_100507_VSA 111014_By Region" xfId="0"/>
    <cellStyle name="_Other_VSE WFP_100507_VSA 111014_CORP SG&amp;A" xfId="0"/>
    <cellStyle name="_Other_VSE WFP_100507_VSA 111014_LCD" xfId="0"/>
    <cellStyle name="_Other_VSE WFP_100507_VSA 111014_PJ" xfId="0"/>
    <cellStyle name="_Other_VSE WFP_100507_VSA Roll-Up (LW)" xfId="0"/>
    <cellStyle name="_Other_VSE WFP_100507_VSA Roll-Up (LW) 2" xfId="0"/>
    <cellStyle name="_Other_VSE WFP_100507_VSA Roll-Up (LW) 3" xfId="0"/>
    <cellStyle name="_Other_VSE WFP_100507_VSA Roll-Up (LW) 4" xfId="0"/>
    <cellStyle name="_Other_VSE WFP_100507_VSA Roll-Up (LW) 4 2" xfId="0"/>
    <cellStyle name="_Other_VSE WFP_100507_VSA Roll-Up (LW)_By Region" xfId="0"/>
    <cellStyle name="_Other_VSE WFP_100507_VSA Roll-Up (LW)_CORP SG&amp;A" xfId="0"/>
    <cellStyle name="_Other_VSE WFP_100507_VSA Roll-Up (LW)_LCD" xfId="0"/>
    <cellStyle name="_Other_VSE WFP_100507_VSA Roll-Up (LW)_PJ" xfId="0"/>
    <cellStyle name="_Other_VSE WFP_100608" xfId="0"/>
    <cellStyle name="_Other_VSE WFP_100608 2" xfId="0"/>
    <cellStyle name="_Other_VSE WFP_100608 3" xfId="0"/>
    <cellStyle name="_Other_VSE WFP_100608 4" xfId="0"/>
    <cellStyle name="_Other_VSE WFP_100608_By Region" xfId="0"/>
    <cellStyle name="_Other_VSE WFP_100608_CORP SG&amp;A" xfId="0"/>
    <cellStyle name="_Other_VSE WFP_100608_Digitizer" xfId="0"/>
    <cellStyle name="_Other_VSE WFP_100608_GPS OTHER" xfId="0"/>
    <cellStyle name="_Other_VSE WFP_100608_GPS OTHER 2" xfId="0"/>
    <cellStyle name="_Other_VSE WFP_100608_GPS OTHER 3" xfId="0"/>
    <cellStyle name="_Other_VSE WFP_100608_GPS OTHER 4" xfId="0"/>
    <cellStyle name="_Other_VSE WFP_100608_GPS OTHER 4 2" xfId="0"/>
    <cellStyle name="_Other_VSE WFP_100608_GPS OTHER_By Region" xfId="0"/>
    <cellStyle name="_Other_VSE WFP_100608_GPS OTHER_CORP SG&amp;A" xfId="0"/>
    <cellStyle name="_Other_VSE WFP_100608_GPS OTHER_LCD" xfId="0"/>
    <cellStyle name="_Other_VSE WFP_100608_GPS OTHER_PJ" xfId="0"/>
    <cellStyle name="_Other_VSE WFP_100608_LCD" xfId="0"/>
    <cellStyle name="_Other_VSE WFP_100608_LCD 2" xfId="0"/>
    <cellStyle name="_Other_VSE WFP_100608_LCD 3" xfId="0"/>
    <cellStyle name="_Other_VSE WFP_100608_LCD 4" xfId="0"/>
    <cellStyle name="_Other_VSE WFP_100608_LCD_By Region" xfId="0"/>
    <cellStyle name="_Other_VSE WFP_100608_LCD_CORP SG&amp;A" xfId="0"/>
    <cellStyle name="_Other_VSE WFP_100608_LCD_LCD" xfId="0"/>
    <cellStyle name="_Other_VSE WFP_100608_LCD_PJ" xfId="0"/>
    <cellStyle name="_Other_VSE WFP_100608_PC Products" xfId="0"/>
    <cellStyle name="_Other_VSE WFP_100608_PC Products 2" xfId="0"/>
    <cellStyle name="_Other_VSE WFP_100608_PC Products 3" xfId="0"/>
    <cellStyle name="_Other_VSE WFP_100608_PC Products 4" xfId="0"/>
    <cellStyle name="_Other_VSE WFP_100608_PC Products 4 2" xfId="0"/>
    <cellStyle name="_Other_VSE WFP_100608_PC Products_By Region" xfId="0"/>
    <cellStyle name="_Other_VSE WFP_100608_PC Products_CORP SG&amp;A" xfId="0"/>
    <cellStyle name="_Other_VSE WFP_100608_PC Products_LCD" xfId="0"/>
    <cellStyle name="_Other_VSE WFP_100608_PC Products_PJ" xfId="0"/>
    <cellStyle name="_Other_VSE WFP_100608_VSA 111014" xfId="0"/>
    <cellStyle name="_Other_VSE WFP_100608_VSA 111014 2" xfId="0"/>
    <cellStyle name="_Other_VSE WFP_100608_VSA 111014 3" xfId="0"/>
    <cellStyle name="_Other_VSE WFP_100608_VSA 111014 4" xfId="0"/>
    <cellStyle name="_Other_VSE WFP_100608_VSA 111014 4 2" xfId="0"/>
    <cellStyle name="_Other_VSE WFP_100608_VSA 111014_By Region" xfId="0"/>
    <cellStyle name="_Other_VSE WFP_100608_VSA 111014_CORP SG&amp;A" xfId="0"/>
    <cellStyle name="_Other_VSE WFP_100608_VSA 111014_LCD" xfId="0"/>
    <cellStyle name="_Other_VSE WFP_100608_VSA 111014_PJ" xfId="0"/>
    <cellStyle name="_Other_VSE WFP_100608_VSA Roll-Up (LW)" xfId="0"/>
    <cellStyle name="_Other_VSE WFP_100608_VSA Roll-Up (LW) 2" xfId="0"/>
    <cellStyle name="_Other_VSE WFP_100608_VSA Roll-Up (LW) 3" xfId="0"/>
    <cellStyle name="_Other_VSE WFP_100608_VSA Roll-Up (LW) 4" xfId="0"/>
    <cellStyle name="_Other_VSE WFP_100608_VSA Roll-Up (LW) 4 2" xfId="0"/>
    <cellStyle name="_Other_VSE WFP_100608_VSA Roll-Up (LW)_By Region" xfId="0"/>
    <cellStyle name="_Other_VSE WFP_100608_VSA Roll-Up (LW)_CORP SG&amp;A" xfId="0"/>
    <cellStyle name="_Other_VSE WFP_100608_VSA Roll-Up (LW)_LCD" xfId="0"/>
    <cellStyle name="_Other_VSE WFP_100608_VSA Roll-Up (LW)_PJ" xfId="0"/>
    <cellStyle name="_Other_VSE WFP_100625" xfId="0"/>
    <cellStyle name="_Other_VSE WFP_100625 2" xfId="0"/>
    <cellStyle name="_Other_VSE WFP_100625 3" xfId="0"/>
    <cellStyle name="_Other_VSE WFP_100625 4" xfId="0"/>
    <cellStyle name="_Other_VSE WFP_100625_By Region" xfId="0"/>
    <cellStyle name="_Other_VSE WFP_100625_CORP SG&amp;A" xfId="0"/>
    <cellStyle name="_Other_VSE WFP_100625_Digitizer" xfId="0"/>
    <cellStyle name="_Other_VSE WFP_100625_GPS OTHER" xfId="0"/>
    <cellStyle name="_Other_VSE WFP_100625_GPS OTHER 2" xfId="0"/>
    <cellStyle name="_Other_VSE WFP_100625_GPS OTHER 3" xfId="0"/>
    <cellStyle name="_Other_VSE WFP_100625_GPS OTHER 4" xfId="0"/>
    <cellStyle name="_Other_VSE WFP_100625_GPS OTHER 4 2" xfId="0"/>
    <cellStyle name="_Other_VSE WFP_100625_GPS OTHER_By Region" xfId="0"/>
    <cellStyle name="_Other_VSE WFP_100625_GPS OTHER_CORP SG&amp;A" xfId="0"/>
    <cellStyle name="_Other_VSE WFP_100625_GPS OTHER_LCD" xfId="0"/>
    <cellStyle name="_Other_VSE WFP_100625_GPS OTHER_PJ" xfId="0"/>
    <cellStyle name="_Other_VSE WFP_100625_LCD" xfId="0"/>
    <cellStyle name="_Other_VSE WFP_100625_LCD 2" xfId="0"/>
    <cellStyle name="_Other_VSE WFP_100625_LCD 3" xfId="0"/>
    <cellStyle name="_Other_VSE WFP_100625_LCD 4" xfId="0"/>
    <cellStyle name="_Other_VSE WFP_100625_LCD_By Region" xfId="0"/>
    <cellStyle name="_Other_VSE WFP_100625_LCD_CORP SG&amp;A" xfId="0"/>
    <cellStyle name="_Other_VSE WFP_100625_LCD_LCD" xfId="0"/>
    <cellStyle name="_Other_VSE WFP_100625_LCD_PJ" xfId="0"/>
    <cellStyle name="_Other_VSE WFP_100625_PC Products" xfId="0"/>
    <cellStyle name="_Other_VSE WFP_100625_PC Products 2" xfId="0"/>
    <cellStyle name="_Other_VSE WFP_100625_PC Products 3" xfId="0"/>
    <cellStyle name="_Other_VSE WFP_100625_PC Products 4" xfId="0"/>
    <cellStyle name="_Other_VSE WFP_100625_PC Products 4 2" xfId="0"/>
    <cellStyle name="_Other_VSE WFP_100625_PC Products_By Region" xfId="0"/>
    <cellStyle name="_Other_VSE WFP_100625_PC Products_CORP SG&amp;A" xfId="0"/>
    <cellStyle name="_Other_VSE WFP_100625_PC Products_LCD" xfId="0"/>
    <cellStyle name="_Other_VSE WFP_100625_PC Products_PJ" xfId="0"/>
    <cellStyle name="_Other_VSE WFP_100625_VSA 111014" xfId="0"/>
    <cellStyle name="_Other_VSE WFP_100625_VSA 111014 2" xfId="0"/>
    <cellStyle name="_Other_VSE WFP_100625_VSA 111014 3" xfId="0"/>
    <cellStyle name="_Other_VSE WFP_100625_VSA 111014 4" xfId="0"/>
    <cellStyle name="_Other_VSE WFP_100625_VSA 111014 4 2" xfId="0"/>
    <cellStyle name="_Other_VSE WFP_100625_VSA 111014_By Region" xfId="0"/>
    <cellStyle name="_Other_VSE WFP_100625_VSA 111014_CORP SG&amp;A" xfId="0"/>
    <cellStyle name="_Other_VSE WFP_100625_VSA 111014_LCD" xfId="0"/>
    <cellStyle name="_Other_VSE WFP_100625_VSA 111014_PJ" xfId="0"/>
    <cellStyle name="_Other_VSE WFP_100625_VSA Roll-Up (LW)" xfId="0"/>
    <cellStyle name="_Other_VSE WFP_100625_VSA Roll-Up (LW) 2" xfId="0"/>
    <cellStyle name="_Other_VSE WFP_100625_VSA Roll-Up (LW) 3" xfId="0"/>
    <cellStyle name="_Other_VSE WFP_100625_VSA Roll-Up (LW) 4" xfId="0"/>
    <cellStyle name="_Other_VSE WFP_100625_VSA Roll-Up (LW) 4 2" xfId="0"/>
    <cellStyle name="_Other_VSE WFP_100625_VSA Roll-Up (LW)_By Region" xfId="0"/>
    <cellStyle name="_Other_VSE WFP_100625_VSA Roll-Up (LW)_CORP SG&amp;A" xfId="0"/>
    <cellStyle name="_Other_VSE WFP_100625_VSA Roll-Up (LW)_LCD" xfId="0"/>
    <cellStyle name="_Other_VSE WFP_100625_VSA Roll-Up (LW)_PJ" xfId="0"/>
    <cellStyle name="_Other_VSE WFP_100708_3rd" xfId="0"/>
    <cellStyle name="_Other_VSE WFP_100708_3rd 2" xfId="0"/>
    <cellStyle name="_Other_VSE WFP_100708_3rd 3" xfId="0"/>
    <cellStyle name="_Other_VSE WFP_100708_3rd 4" xfId="0"/>
    <cellStyle name="_Other_VSE WFP_100708_3rd_By Region" xfId="0"/>
    <cellStyle name="_Other_VSE WFP_100708_3rd_CORP SG&amp;A" xfId="0"/>
    <cellStyle name="_Other_VSE WFP_100708_3rd_Digitizer" xfId="0"/>
    <cellStyle name="_Other_VSE WFP_100708_3rd_GPS OTHER" xfId="0"/>
    <cellStyle name="_Other_VSE WFP_100708_3rd_GPS OTHER 2" xfId="0"/>
    <cellStyle name="_Other_VSE WFP_100708_3rd_GPS OTHER 3" xfId="0"/>
    <cellStyle name="_Other_VSE WFP_100708_3rd_GPS OTHER 4" xfId="0"/>
    <cellStyle name="_Other_VSE WFP_100708_3rd_GPS OTHER 4 2" xfId="0"/>
    <cellStyle name="_Other_VSE WFP_100708_3rd_GPS OTHER_By Region" xfId="0"/>
    <cellStyle name="_Other_VSE WFP_100708_3rd_GPS OTHER_CORP SG&amp;A" xfId="0"/>
    <cellStyle name="_Other_VSE WFP_100708_3rd_GPS OTHER_LCD" xfId="0"/>
    <cellStyle name="_Other_VSE WFP_100708_3rd_GPS OTHER_PJ" xfId="0"/>
    <cellStyle name="_Other_VSE WFP_100708_3rd_LCD" xfId="0"/>
    <cellStyle name="_Other_VSE WFP_100708_3rd_LCD 2" xfId="0"/>
    <cellStyle name="_Other_VSE WFP_100708_3rd_LCD 3" xfId="0"/>
    <cellStyle name="_Other_VSE WFP_100708_3rd_LCD 4" xfId="0"/>
    <cellStyle name="_Other_VSE WFP_100708_3rd_LCD_By Region" xfId="0"/>
    <cellStyle name="_Other_VSE WFP_100708_3rd_LCD_CORP SG&amp;A" xfId="0"/>
    <cellStyle name="_Other_VSE WFP_100708_3rd_LCD_LCD" xfId="0"/>
    <cellStyle name="_Other_VSE WFP_100708_3rd_LCD_PJ" xfId="0"/>
    <cellStyle name="_Other_VSE WFP_100708_3rd_PC Products" xfId="0"/>
    <cellStyle name="_Other_VSE WFP_100708_3rd_PC Products 2" xfId="0"/>
    <cellStyle name="_Other_VSE WFP_100708_3rd_PC Products 3" xfId="0"/>
    <cellStyle name="_Other_VSE WFP_100708_3rd_PC Products 4" xfId="0"/>
    <cellStyle name="_Other_VSE WFP_100708_3rd_PC Products 4 2" xfId="0"/>
    <cellStyle name="_Other_VSE WFP_100708_3rd_PC Products_By Region" xfId="0"/>
    <cellStyle name="_Other_VSE WFP_100708_3rd_PC Products_CORP SG&amp;A" xfId="0"/>
    <cellStyle name="_Other_VSE WFP_100708_3rd_PC Products_LCD" xfId="0"/>
    <cellStyle name="_Other_VSE WFP_100708_3rd_PC Products_PJ" xfId="0"/>
    <cellStyle name="_Other_VSE WFP_100708_3rd_VSA 111014" xfId="0"/>
    <cellStyle name="_Other_VSE WFP_100708_3rd_VSA 111014 2" xfId="0"/>
    <cellStyle name="_Other_VSE WFP_100708_3rd_VSA 111014 3" xfId="0"/>
    <cellStyle name="_Other_VSE WFP_100708_3rd_VSA 111014 4" xfId="0"/>
    <cellStyle name="_Other_VSE WFP_100708_3rd_VSA 111014 4 2" xfId="0"/>
    <cellStyle name="_Other_VSE WFP_100708_3rd_VSA 111014_By Region" xfId="0"/>
    <cellStyle name="_Other_VSE WFP_100708_3rd_VSA 111014_CORP SG&amp;A" xfId="0"/>
    <cellStyle name="_Other_VSE WFP_100708_3rd_VSA 111014_LCD" xfId="0"/>
    <cellStyle name="_Other_VSE WFP_100708_3rd_VSA 111014_PJ" xfId="0"/>
    <cellStyle name="_Other_VSE WFP_100708_3rd_VSA Roll-Up (LW)" xfId="0"/>
    <cellStyle name="_Other_VSE WFP_100708_3rd_VSA Roll-Up (LW) 2" xfId="0"/>
    <cellStyle name="_Other_VSE WFP_100708_3rd_VSA Roll-Up (LW) 3" xfId="0"/>
    <cellStyle name="_Other_VSE WFP_100708_3rd_VSA Roll-Up (LW) 4" xfId="0"/>
    <cellStyle name="_Other_VSE WFP_100708_3rd_VSA Roll-Up (LW) 4 2" xfId="0"/>
    <cellStyle name="_Other_VSE WFP_100708_3rd_VSA Roll-Up (LW)_By Region" xfId="0"/>
    <cellStyle name="_Other_VSE WFP_100708_3rd_VSA Roll-Up (LW)_CORP SG&amp;A" xfId="0"/>
    <cellStyle name="_Other_VSE WFP_100708_3rd_VSA Roll-Up (LW)_LCD" xfId="0"/>
    <cellStyle name="_Other_VSE WFP_100708_3rd_VSA Roll-Up (LW)_PJ" xfId="0"/>
    <cellStyle name="_Other_VSE WFP_100726" xfId="0"/>
    <cellStyle name="_Other_VSE WFP_100726 2" xfId="0"/>
    <cellStyle name="_Other_VSE WFP_100726 3" xfId="0"/>
    <cellStyle name="_Other_VSE WFP_100726 4" xfId="0"/>
    <cellStyle name="_Other_VSE WFP_100726-1" xfId="0"/>
    <cellStyle name="_Other_VSE WFP_100726-1 2" xfId="0"/>
    <cellStyle name="_Other_VSE WFP_100726-1 3" xfId="0"/>
    <cellStyle name="_Other_VSE WFP_100726-1 4" xfId="0"/>
    <cellStyle name="_Other_VSE WFP_100726-1_By Region" xfId="0"/>
    <cellStyle name="_Other_VSE WFP_100726-1_CORP SG&amp;A" xfId="0"/>
    <cellStyle name="_Other_VSE WFP_100726-1_Digitizer" xfId="0"/>
    <cellStyle name="_Other_VSE WFP_100726-1_GPS OTHER" xfId="0"/>
    <cellStyle name="_Other_VSE WFP_100726-1_GPS OTHER 2" xfId="0"/>
    <cellStyle name="_Other_VSE WFP_100726-1_GPS OTHER 3" xfId="0"/>
    <cellStyle name="_Other_VSE WFP_100726-1_GPS OTHER 4" xfId="0"/>
    <cellStyle name="_Other_VSE WFP_100726-1_GPS OTHER 4 2" xfId="0"/>
    <cellStyle name="_Other_VSE WFP_100726-1_GPS OTHER_By Region" xfId="0"/>
    <cellStyle name="_Other_VSE WFP_100726-1_GPS OTHER_CORP SG&amp;A" xfId="0"/>
    <cellStyle name="_Other_VSE WFP_100726-1_GPS OTHER_LCD" xfId="0"/>
    <cellStyle name="_Other_VSE WFP_100726-1_GPS OTHER_PJ" xfId="0"/>
    <cellStyle name="_Other_VSE WFP_100726-1_LCD" xfId="0"/>
    <cellStyle name="_Other_VSE WFP_100726-1_LCD 2" xfId="0"/>
    <cellStyle name="_Other_VSE WFP_100726-1_LCD 3" xfId="0"/>
    <cellStyle name="_Other_VSE WFP_100726-1_LCD 4" xfId="0"/>
    <cellStyle name="_Other_VSE WFP_100726-1_LCD_By Region" xfId="0"/>
    <cellStyle name="_Other_VSE WFP_100726-1_LCD_CORP SG&amp;A" xfId="0"/>
    <cellStyle name="_Other_VSE WFP_100726-1_LCD_LCD" xfId="0"/>
    <cellStyle name="_Other_VSE WFP_100726-1_LCD_PJ" xfId="0"/>
    <cellStyle name="_Other_VSE WFP_100726-1_PC Products" xfId="0"/>
    <cellStyle name="_Other_VSE WFP_100726-1_PC Products 2" xfId="0"/>
    <cellStyle name="_Other_VSE WFP_100726-1_PC Products 3" xfId="0"/>
    <cellStyle name="_Other_VSE WFP_100726-1_PC Products 4" xfId="0"/>
    <cellStyle name="_Other_VSE WFP_100726-1_PC Products 4 2" xfId="0"/>
    <cellStyle name="_Other_VSE WFP_100726-1_PC Products_By Region" xfId="0"/>
    <cellStyle name="_Other_VSE WFP_100726-1_PC Products_CORP SG&amp;A" xfId="0"/>
    <cellStyle name="_Other_VSE WFP_100726-1_PC Products_LCD" xfId="0"/>
    <cellStyle name="_Other_VSE WFP_100726-1_PC Products_PJ" xfId="0"/>
    <cellStyle name="_Other_VSE WFP_100726-1_VSA 111014" xfId="0"/>
    <cellStyle name="_Other_VSE WFP_100726-1_VSA 111014 2" xfId="0"/>
    <cellStyle name="_Other_VSE WFP_100726-1_VSA 111014 3" xfId="0"/>
    <cellStyle name="_Other_VSE WFP_100726-1_VSA 111014 4" xfId="0"/>
    <cellStyle name="_Other_VSE WFP_100726-1_VSA 111014 4 2" xfId="0"/>
    <cellStyle name="_Other_VSE WFP_100726-1_VSA 111014_By Region" xfId="0"/>
    <cellStyle name="_Other_VSE WFP_100726-1_VSA 111014_CORP SG&amp;A" xfId="0"/>
    <cellStyle name="_Other_VSE WFP_100726-1_VSA 111014_LCD" xfId="0"/>
    <cellStyle name="_Other_VSE WFP_100726-1_VSA 111014_PJ" xfId="0"/>
    <cellStyle name="_Other_VSE WFP_100726-1_VSA Roll-Up (LW)" xfId="0"/>
    <cellStyle name="_Other_VSE WFP_100726-1_VSA Roll-Up (LW) 2" xfId="0"/>
    <cellStyle name="_Other_VSE WFP_100726-1_VSA Roll-Up (LW) 3" xfId="0"/>
    <cellStyle name="_Other_VSE WFP_100726-1_VSA Roll-Up (LW) 4" xfId="0"/>
    <cellStyle name="_Other_VSE WFP_100726-1_VSA Roll-Up (LW) 4 2" xfId="0"/>
    <cellStyle name="_Other_VSE WFP_100726-1_VSA Roll-Up (LW)_By Region" xfId="0"/>
    <cellStyle name="_Other_VSE WFP_100726-1_VSA Roll-Up (LW)_CORP SG&amp;A" xfId="0"/>
    <cellStyle name="_Other_VSE WFP_100726-1_VSA Roll-Up (LW)_LCD" xfId="0"/>
    <cellStyle name="_Other_VSE WFP_100726-1_VSA Roll-Up (LW)_PJ" xfId="0"/>
    <cellStyle name="_Other_VSE WFP_100726-2-yc" xfId="0"/>
    <cellStyle name="_Other_VSE WFP_100726-2-yc 2" xfId="0"/>
    <cellStyle name="_Other_VSE WFP_100726-2-yc 3" xfId="0"/>
    <cellStyle name="_Other_VSE WFP_100726-2-yc 4" xfId="0"/>
    <cellStyle name="_Other_VSE WFP_100726-2-yc_By Region" xfId="0"/>
    <cellStyle name="_Other_VSE WFP_100726-2-yc_CORP SG&amp;A" xfId="0"/>
    <cellStyle name="_Other_VSE WFP_100726-2-yc_Digitizer" xfId="0"/>
    <cellStyle name="_Other_VSE WFP_100726-2-yc_GPS OTHER" xfId="0"/>
    <cellStyle name="_Other_VSE WFP_100726-2-yc_GPS OTHER 2" xfId="0"/>
    <cellStyle name="_Other_VSE WFP_100726-2-yc_GPS OTHER 3" xfId="0"/>
    <cellStyle name="_Other_VSE WFP_100726-2-yc_GPS OTHER 4" xfId="0"/>
    <cellStyle name="_Other_VSE WFP_100726-2-yc_GPS OTHER 4 2" xfId="0"/>
    <cellStyle name="_Other_VSE WFP_100726-2-yc_GPS OTHER_By Region" xfId="0"/>
    <cellStyle name="_Other_VSE WFP_100726-2-yc_GPS OTHER_CORP SG&amp;A" xfId="0"/>
    <cellStyle name="_Other_VSE WFP_100726-2-yc_GPS OTHER_LCD" xfId="0"/>
    <cellStyle name="_Other_VSE WFP_100726-2-yc_GPS OTHER_PJ" xfId="0"/>
    <cellStyle name="_Other_VSE WFP_100726-2-yc_LCD" xfId="0"/>
    <cellStyle name="_Other_VSE WFP_100726-2-yc_LCD 2" xfId="0"/>
    <cellStyle name="_Other_VSE WFP_100726-2-yc_LCD 3" xfId="0"/>
    <cellStyle name="_Other_VSE WFP_100726-2-yc_LCD 4" xfId="0"/>
    <cellStyle name="_Other_VSE WFP_100726-2-yc_LCD_By Region" xfId="0"/>
    <cellStyle name="_Other_VSE WFP_100726-2-yc_LCD_CORP SG&amp;A" xfId="0"/>
    <cellStyle name="_Other_VSE WFP_100726-2-yc_LCD_LCD" xfId="0"/>
    <cellStyle name="_Other_VSE WFP_100726-2-yc_LCD_PJ" xfId="0"/>
    <cellStyle name="_Other_VSE WFP_100726-2-yc_PC Products" xfId="0"/>
    <cellStyle name="_Other_VSE WFP_100726-2-yc_PC Products 2" xfId="0"/>
    <cellStyle name="_Other_VSE WFP_100726-2-yc_PC Products 3" xfId="0"/>
    <cellStyle name="_Other_VSE WFP_100726-2-yc_PC Products 4" xfId="0"/>
    <cellStyle name="_Other_VSE WFP_100726-2-yc_PC Products 4 2" xfId="0"/>
    <cellStyle name="_Other_VSE WFP_100726-2-yc_PC Products_By Region" xfId="0"/>
    <cellStyle name="_Other_VSE WFP_100726-2-yc_PC Products_CORP SG&amp;A" xfId="0"/>
    <cellStyle name="_Other_VSE WFP_100726-2-yc_PC Products_LCD" xfId="0"/>
    <cellStyle name="_Other_VSE WFP_100726-2-yc_PC Products_PJ" xfId="0"/>
    <cellStyle name="_Other_VSE WFP_100726-2-yc_VSA 111014" xfId="0"/>
    <cellStyle name="_Other_VSE WFP_100726-2-yc_VSA 111014 2" xfId="0"/>
    <cellStyle name="_Other_VSE WFP_100726-2-yc_VSA 111014 3" xfId="0"/>
    <cellStyle name="_Other_VSE WFP_100726-2-yc_VSA 111014 4" xfId="0"/>
    <cellStyle name="_Other_VSE WFP_100726-2-yc_VSA 111014 4 2" xfId="0"/>
    <cellStyle name="_Other_VSE WFP_100726-2-yc_VSA 111014_By Region" xfId="0"/>
    <cellStyle name="_Other_VSE WFP_100726-2-yc_VSA 111014_CORP SG&amp;A" xfId="0"/>
    <cellStyle name="_Other_VSE WFP_100726-2-yc_VSA 111014_LCD" xfId="0"/>
    <cellStyle name="_Other_VSE WFP_100726-2-yc_VSA 111014_PJ" xfId="0"/>
    <cellStyle name="_Other_VSE WFP_100726-2-yc_VSA Roll-Up (LW)" xfId="0"/>
    <cellStyle name="_Other_VSE WFP_100726-2-yc_VSA Roll-Up (LW) 2" xfId="0"/>
    <cellStyle name="_Other_VSE WFP_100726-2-yc_VSA Roll-Up (LW) 3" xfId="0"/>
    <cellStyle name="_Other_VSE WFP_100726-2-yc_VSA Roll-Up (LW) 4" xfId="0"/>
    <cellStyle name="_Other_VSE WFP_100726-2-yc_VSA Roll-Up (LW) 4 2" xfId="0"/>
    <cellStyle name="_Other_VSE WFP_100726-2-yc_VSA Roll-Up (LW)_By Region" xfId="0"/>
    <cellStyle name="_Other_VSE WFP_100726-2-yc_VSA Roll-Up (LW)_CORP SG&amp;A" xfId="0"/>
    <cellStyle name="_Other_VSE WFP_100726-2-yc_VSA Roll-Up (LW)_LCD" xfId="0"/>
    <cellStyle name="_Other_VSE WFP_100726-2-yc_VSA Roll-Up (LW)_PJ" xfId="0"/>
    <cellStyle name="_Other_VSE WFP_100726_By Region" xfId="0"/>
    <cellStyle name="_Other_VSE WFP_100726_CORP SG&amp;A" xfId="0"/>
    <cellStyle name="_Other_VSE WFP_100726_Digitizer" xfId="0"/>
    <cellStyle name="_Other_VSE WFP_100726_GPS OTHER" xfId="0"/>
    <cellStyle name="_Other_VSE WFP_100726_GPS OTHER 2" xfId="0"/>
    <cellStyle name="_Other_VSE WFP_100726_GPS OTHER 3" xfId="0"/>
    <cellStyle name="_Other_VSE WFP_100726_GPS OTHER 4" xfId="0"/>
    <cellStyle name="_Other_VSE WFP_100726_GPS OTHER 4 2" xfId="0"/>
    <cellStyle name="_Other_VSE WFP_100726_GPS OTHER_By Region" xfId="0"/>
    <cellStyle name="_Other_VSE WFP_100726_GPS OTHER_CORP SG&amp;A" xfId="0"/>
    <cellStyle name="_Other_VSE WFP_100726_GPS OTHER_LCD" xfId="0"/>
    <cellStyle name="_Other_VSE WFP_100726_GPS OTHER_PJ" xfId="0"/>
    <cellStyle name="_Other_VSE WFP_100726_LCD" xfId="0"/>
    <cellStyle name="_Other_VSE WFP_100726_LCD 2" xfId="0"/>
    <cellStyle name="_Other_VSE WFP_100726_LCD 3" xfId="0"/>
    <cellStyle name="_Other_VSE WFP_100726_LCD 4" xfId="0"/>
    <cellStyle name="_Other_VSE WFP_100726_LCD_By Region" xfId="0"/>
    <cellStyle name="_Other_VSE WFP_100726_LCD_CORP SG&amp;A" xfId="0"/>
    <cellStyle name="_Other_VSE WFP_100726_LCD_LCD" xfId="0"/>
    <cellStyle name="_Other_VSE WFP_100726_LCD_PJ" xfId="0"/>
    <cellStyle name="_Other_VSE WFP_100726_PC Products" xfId="0"/>
    <cellStyle name="_Other_VSE WFP_100726_PC Products 2" xfId="0"/>
    <cellStyle name="_Other_VSE WFP_100726_PC Products 3" xfId="0"/>
    <cellStyle name="_Other_VSE WFP_100726_PC Products 4" xfId="0"/>
    <cellStyle name="_Other_VSE WFP_100726_PC Products 4 2" xfId="0"/>
    <cellStyle name="_Other_VSE WFP_100726_PC Products_By Region" xfId="0"/>
    <cellStyle name="_Other_VSE WFP_100726_PC Products_CORP SG&amp;A" xfId="0"/>
    <cellStyle name="_Other_VSE WFP_100726_PC Products_LCD" xfId="0"/>
    <cellStyle name="_Other_VSE WFP_100726_PC Products_PJ" xfId="0"/>
    <cellStyle name="_Other_VSE WFP_100726_VSA 111014" xfId="0"/>
    <cellStyle name="_Other_VSE WFP_100726_VSA 111014 2" xfId="0"/>
    <cellStyle name="_Other_VSE WFP_100726_VSA 111014 3" xfId="0"/>
    <cellStyle name="_Other_VSE WFP_100726_VSA 111014 4" xfId="0"/>
    <cellStyle name="_Other_VSE WFP_100726_VSA 111014 4 2" xfId="0"/>
    <cellStyle name="_Other_VSE WFP_100726_VSA 111014_By Region" xfId="0"/>
    <cellStyle name="_Other_VSE WFP_100726_VSA 111014_CORP SG&amp;A" xfId="0"/>
    <cellStyle name="_Other_VSE WFP_100726_VSA 111014_LCD" xfId="0"/>
    <cellStyle name="_Other_VSE WFP_100726_VSA 111014_PJ" xfId="0"/>
    <cellStyle name="_Other_VSE WFP_100726_VSA Roll-Up (LW)" xfId="0"/>
    <cellStyle name="_Other_VSE WFP_100726_VSA Roll-Up (LW) 2" xfId="0"/>
    <cellStyle name="_Other_VSE WFP_100726_VSA Roll-Up (LW) 3" xfId="0"/>
    <cellStyle name="_Other_VSE WFP_100726_VSA Roll-Up (LW) 4" xfId="0"/>
    <cellStyle name="_Other_VSE WFP_100726_VSA Roll-Up (LW) 4 2" xfId="0"/>
    <cellStyle name="_Other_VSE WFP_100726_VSA Roll-Up (LW)_By Region" xfId="0"/>
    <cellStyle name="_Other_VSE WFP_100726_VSA Roll-Up (LW)_CORP SG&amp;A" xfId="0"/>
    <cellStyle name="_Other_VSE WFP_100726_VSA Roll-Up (LW)_LCD" xfId="0"/>
    <cellStyle name="_Other_VSE WFP_100726_VSA Roll-Up (LW)_PJ" xfId="0"/>
    <cellStyle name="_Other_VSE WFP_100827-1" xfId="0"/>
    <cellStyle name="_Other_VSE WFP_100827-1 2" xfId="0"/>
    <cellStyle name="_Other_VSE WFP_100827-1 3" xfId="0"/>
    <cellStyle name="_Other_VSE WFP_100827-1 4" xfId="0"/>
    <cellStyle name="_Other_VSE WFP_100827-1_By Region" xfId="0"/>
    <cellStyle name="_Other_VSE WFP_100827-1_CORP SG&amp;A" xfId="0"/>
    <cellStyle name="_Other_VSE WFP_100827-1_Digitizer" xfId="0"/>
    <cellStyle name="_Other_VSE WFP_100827-1_GPS OTHER" xfId="0"/>
    <cellStyle name="_Other_VSE WFP_100827-1_GPS OTHER 2" xfId="0"/>
    <cellStyle name="_Other_VSE WFP_100827-1_GPS OTHER 3" xfId="0"/>
    <cellStyle name="_Other_VSE WFP_100827-1_GPS OTHER 4" xfId="0"/>
    <cellStyle name="_Other_VSE WFP_100827-1_GPS OTHER 4 2" xfId="0"/>
    <cellStyle name="_Other_VSE WFP_100827-1_GPS OTHER_By Region" xfId="0"/>
    <cellStyle name="_Other_VSE WFP_100827-1_GPS OTHER_CORP SG&amp;A" xfId="0"/>
    <cellStyle name="_Other_VSE WFP_100827-1_GPS OTHER_LCD" xfId="0"/>
    <cellStyle name="_Other_VSE WFP_100827-1_GPS OTHER_PJ" xfId="0"/>
    <cellStyle name="_Other_VSE WFP_100827-1_LCD" xfId="0"/>
    <cellStyle name="_Other_VSE WFP_100827-1_LCD 2" xfId="0"/>
    <cellStyle name="_Other_VSE WFP_100827-1_LCD 3" xfId="0"/>
    <cellStyle name="_Other_VSE WFP_100827-1_LCD 4" xfId="0"/>
    <cellStyle name="_Other_VSE WFP_100827-1_LCD_By Region" xfId="0"/>
    <cellStyle name="_Other_VSE WFP_100827-1_LCD_CORP SG&amp;A" xfId="0"/>
    <cellStyle name="_Other_VSE WFP_100827-1_LCD_LCD" xfId="0"/>
    <cellStyle name="_Other_VSE WFP_100827-1_LCD_PJ" xfId="0"/>
    <cellStyle name="_Other_VSE WFP_100827-1_PC Products" xfId="0"/>
    <cellStyle name="_Other_VSE WFP_100827-1_PC Products 2" xfId="0"/>
    <cellStyle name="_Other_VSE WFP_100827-1_PC Products 3" xfId="0"/>
    <cellStyle name="_Other_VSE WFP_100827-1_PC Products 4" xfId="0"/>
    <cellStyle name="_Other_VSE WFP_100827-1_PC Products 4 2" xfId="0"/>
    <cellStyle name="_Other_VSE WFP_100827-1_PC Products_By Region" xfId="0"/>
    <cellStyle name="_Other_VSE WFP_100827-1_PC Products_CORP SG&amp;A" xfId="0"/>
    <cellStyle name="_Other_VSE WFP_100827-1_PC Products_LCD" xfId="0"/>
    <cellStyle name="_Other_VSE WFP_100827-1_PC Products_PJ" xfId="0"/>
    <cellStyle name="_Other_VSE WFP_100827-1_VSA 111014" xfId="0"/>
    <cellStyle name="_Other_VSE WFP_100827-1_VSA 111014 2" xfId="0"/>
    <cellStyle name="_Other_VSE WFP_100827-1_VSA 111014 3" xfId="0"/>
    <cellStyle name="_Other_VSE WFP_100827-1_VSA 111014 4" xfId="0"/>
    <cellStyle name="_Other_VSE WFP_100827-1_VSA 111014 4 2" xfId="0"/>
    <cellStyle name="_Other_VSE WFP_100827-1_VSA 111014_By Region" xfId="0"/>
    <cellStyle name="_Other_VSE WFP_100827-1_VSA 111014_CORP SG&amp;A" xfId="0"/>
    <cellStyle name="_Other_VSE WFP_100827-1_VSA 111014_LCD" xfId="0"/>
    <cellStyle name="_Other_VSE WFP_100827-1_VSA 111014_PJ" xfId="0"/>
    <cellStyle name="_Other_VSE WFP_100827-1_VSA Roll-Up (LW)" xfId="0"/>
    <cellStyle name="_Other_VSE WFP_100827-1_VSA Roll-Up (LW) 2" xfId="0"/>
    <cellStyle name="_Other_VSE WFP_100827-1_VSA Roll-Up (LW) 3" xfId="0"/>
    <cellStyle name="_Other_VSE WFP_100827-1_VSA Roll-Up (LW) 4" xfId="0"/>
    <cellStyle name="_Other_VSE WFP_100827-1_VSA Roll-Up (LW) 4 2" xfId="0"/>
    <cellStyle name="_Other_VSE WFP_100827-1_VSA Roll-Up (LW)_By Region" xfId="0"/>
    <cellStyle name="_Other_VSE WFP_100827-1_VSA Roll-Up (LW)_CORP SG&amp;A" xfId="0"/>
    <cellStyle name="_Other_VSE WFP_100827-1_VSA Roll-Up (LW)_LCD" xfId="0"/>
    <cellStyle name="_Other_VSE WFP_100827-1_VSA Roll-Up (LW)_PJ" xfId="0"/>
    <cellStyle name="_Other_VSE WFP_101001" xfId="0"/>
    <cellStyle name="_Other_VSE WFP_101001 2" xfId="0"/>
    <cellStyle name="_Other_VSE WFP_101001 3" xfId="0"/>
    <cellStyle name="_Other_VSE WFP_101001 4" xfId="0"/>
    <cellStyle name="_Other_VSE WFP_101001_By Region" xfId="0"/>
    <cellStyle name="_Other_VSE WFP_101001_CORP SG&amp;A" xfId="0"/>
    <cellStyle name="_Other_VSE WFP_101001_Digitizer" xfId="0"/>
    <cellStyle name="_Other_VSE WFP_101001_GPS OTHER" xfId="0"/>
    <cellStyle name="_Other_VSE WFP_101001_GPS OTHER 2" xfId="0"/>
    <cellStyle name="_Other_VSE WFP_101001_GPS OTHER 3" xfId="0"/>
    <cellStyle name="_Other_VSE WFP_101001_GPS OTHER 4" xfId="0"/>
    <cellStyle name="_Other_VSE WFP_101001_GPS OTHER 4 2" xfId="0"/>
    <cellStyle name="_Other_VSE WFP_101001_GPS OTHER_By Region" xfId="0"/>
    <cellStyle name="_Other_VSE WFP_101001_GPS OTHER_CORP SG&amp;A" xfId="0"/>
    <cellStyle name="_Other_VSE WFP_101001_GPS OTHER_LCD" xfId="0"/>
    <cellStyle name="_Other_VSE WFP_101001_GPS OTHER_PJ" xfId="0"/>
    <cellStyle name="_Other_VSE WFP_101001_LCD" xfId="0"/>
    <cellStyle name="_Other_VSE WFP_101001_LCD 2" xfId="0"/>
    <cellStyle name="_Other_VSE WFP_101001_LCD 3" xfId="0"/>
    <cellStyle name="_Other_VSE WFP_101001_LCD 4" xfId="0"/>
    <cellStyle name="_Other_VSE WFP_101001_LCD_By Region" xfId="0"/>
    <cellStyle name="_Other_VSE WFP_101001_LCD_CORP SG&amp;A" xfId="0"/>
    <cellStyle name="_Other_VSE WFP_101001_LCD_LCD" xfId="0"/>
    <cellStyle name="_Other_VSE WFP_101001_LCD_PJ" xfId="0"/>
    <cellStyle name="_Other_VSE WFP_101001_PC Products" xfId="0"/>
    <cellStyle name="_Other_VSE WFP_101001_PC Products 2" xfId="0"/>
    <cellStyle name="_Other_VSE WFP_101001_PC Products 3" xfId="0"/>
    <cellStyle name="_Other_VSE WFP_101001_PC Products 4" xfId="0"/>
    <cellStyle name="_Other_VSE WFP_101001_PC Products 4 2" xfId="0"/>
    <cellStyle name="_Other_VSE WFP_101001_PC Products_By Region" xfId="0"/>
    <cellStyle name="_Other_VSE WFP_101001_PC Products_CORP SG&amp;A" xfId="0"/>
    <cellStyle name="_Other_VSE WFP_101001_PC Products_LCD" xfId="0"/>
    <cellStyle name="_Other_VSE WFP_101001_PC Products_PJ" xfId="0"/>
    <cellStyle name="_Other_VSE WFP_101001_VSA 111014" xfId="0"/>
    <cellStyle name="_Other_VSE WFP_101001_VSA 111014 2" xfId="0"/>
    <cellStyle name="_Other_VSE WFP_101001_VSA 111014 3" xfId="0"/>
    <cellStyle name="_Other_VSE WFP_101001_VSA 111014 4" xfId="0"/>
    <cellStyle name="_Other_VSE WFP_101001_VSA 111014 4 2" xfId="0"/>
    <cellStyle name="_Other_VSE WFP_101001_VSA 111014_By Region" xfId="0"/>
    <cellStyle name="_Other_VSE WFP_101001_VSA 111014_CORP SG&amp;A" xfId="0"/>
    <cellStyle name="_Other_VSE WFP_101001_VSA 111014_LCD" xfId="0"/>
    <cellStyle name="_Other_VSE WFP_101001_VSA 111014_PJ" xfId="0"/>
    <cellStyle name="_Other_VSE WFP_101001_VSA Roll-Up (LW)" xfId="0"/>
    <cellStyle name="_Other_VSE WFP_101001_VSA Roll-Up (LW) 2" xfId="0"/>
    <cellStyle name="_Other_VSE WFP_101001_VSA Roll-Up (LW) 3" xfId="0"/>
    <cellStyle name="_Other_VSE WFP_101001_VSA Roll-Up (LW) 4" xfId="0"/>
    <cellStyle name="_Other_VSE WFP_101001_VSA Roll-Up (LW) 4 2" xfId="0"/>
    <cellStyle name="_Other_VSE WFP_101001_VSA Roll-Up (LW)_By Region" xfId="0"/>
    <cellStyle name="_Other_VSE WFP_101001_VSA Roll-Up (LW)_CORP SG&amp;A" xfId="0"/>
    <cellStyle name="_Other_VSE WFP_101001_VSA Roll-Up (LW)_LCD" xfId="0"/>
    <cellStyle name="_Other_VSE WFP_101001_VSA Roll-Up (LW)_PJ" xfId="0"/>
    <cellStyle name="_Other_VSE WFP_101029-with more ViewPad 7" xfId="0"/>
    <cellStyle name="_Other_VSE WFP_101029-with more ViewPad 7 2" xfId="0"/>
    <cellStyle name="_Other_VSE WFP_101029-with more ViewPad 7 3" xfId="0"/>
    <cellStyle name="_Other_VSE WFP_101029-with more ViewPad 7 4" xfId="0"/>
    <cellStyle name="_Other_VSE WFP_101029-with more ViewPad 7_By Region" xfId="0"/>
    <cellStyle name="_Other_VSE WFP_101029-with more ViewPad 7_CORP SG&amp;A" xfId="0"/>
    <cellStyle name="_Other_VSE WFP_101029-with more ViewPad 7_Digitizer" xfId="0"/>
    <cellStyle name="_Other_VSE WFP_101029-with more ViewPad 7_GPS OTHER" xfId="0"/>
    <cellStyle name="_Other_VSE WFP_101029-with more ViewPad 7_GPS OTHER 2" xfId="0"/>
    <cellStyle name="_Other_VSE WFP_101029-with more ViewPad 7_GPS OTHER 3" xfId="0"/>
    <cellStyle name="_Other_VSE WFP_101029-with more ViewPad 7_GPS OTHER 4" xfId="0"/>
    <cellStyle name="_Other_VSE WFP_101029-with more ViewPad 7_GPS OTHER 4 2" xfId="0"/>
    <cellStyle name="_Other_VSE WFP_101029-with more ViewPad 7_GPS OTHER_By Region" xfId="0"/>
    <cellStyle name="_Other_VSE WFP_101029-with more ViewPad 7_GPS OTHER_CORP SG&amp;A" xfId="0"/>
    <cellStyle name="_Other_VSE WFP_101029-with more ViewPad 7_GPS OTHER_LCD" xfId="0"/>
    <cellStyle name="_Other_VSE WFP_101029-with more ViewPad 7_GPS OTHER_PJ" xfId="0"/>
    <cellStyle name="_Other_VSE WFP_101029-with more ViewPad 7_LCD" xfId="0"/>
    <cellStyle name="_Other_VSE WFP_101029-with more ViewPad 7_LCD 2" xfId="0"/>
    <cellStyle name="_Other_VSE WFP_101029-with more ViewPad 7_LCD 3" xfId="0"/>
    <cellStyle name="_Other_VSE WFP_101029-with more ViewPad 7_LCD 4" xfId="0"/>
    <cellStyle name="_Other_VSE WFP_101029-with more ViewPad 7_LCD_By Region" xfId="0"/>
    <cellStyle name="_Other_VSE WFP_101029-with more ViewPad 7_LCD_CORP SG&amp;A" xfId="0"/>
    <cellStyle name="_Other_VSE WFP_101029-with more ViewPad 7_LCD_LCD" xfId="0"/>
    <cellStyle name="_Other_VSE WFP_101029-with more ViewPad 7_LCD_PJ" xfId="0"/>
    <cellStyle name="_Other_VSE WFP_101029-with more ViewPad 7_PC Products" xfId="0"/>
    <cellStyle name="_Other_VSE WFP_101029-with more ViewPad 7_PC Products 2" xfId="0"/>
    <cellStyle name="_Other_VSE WFP_101029-with more ViewPad 7_PC Products 3" xfId="0"/>
    <cellStyle name="_Other_VSE WFP_101029-with more ViewPad 7_PC Products 4" xfId="0"/>
    <cellStyle name="_Other_VSE WFP_101029-with more ViewPad 7_PC Products 4 2" xfId="0"/>
    <cellStyle name="_Other_VSE WFP_101029-with more ViewPad 7_PC Products_By Region" xfId="0"/>
    <cellStyle name="_Other_VSE WFP_101029-with more ViewPad 7_PC Products_CORP SG&amp;A" xfId="0"/>
    <cellStyle name="_Other_VSE WFP_101029-with more ViewPad 7_PC Products_LCD" xfId="0"/>
    <cellStyle name="_Other_VSE WFP_101029-with more ViewPad 7_PC Products_PJ" xfId="0"/>
    <cellStyle name="_Other_VSE WFP_101029-with more ViewPad 7_VSA 111014" xfId="0"/>
    <cellStyle name="_Other_VSE WFP_101029-with more ViewPad 7_VSA 111014 2" xfId="0"/>
    <cellStyle name="_Other_VSE WFP_101029-with more ViewPad 7_VSA 111014 3" xfId="0"/>
    <cellStyle name="_Other_VSE WFP_101029-with more ViewPad 7_VSA 111014 4" xfId="0"/>
    <cellStyle name="_Other_VSE WFP_101029-with more ViewPad 7_VSA 111014 4 2" xfId="0"/>
    <cellStyle name="_Other_VSE WFP_101029-with more ViewPad 7_VSA 111014_By Region" xfId="0"/>
    <cellStyle name="_Other_VSE WFP_101029-with more ViewPad 7_VSA 111014_CORP SG&amp;A" xfId="0"/>
    <cellStyle name="_Other_VSE WFP_101029-with more ViewPad 7_VSA 111014_LCD" xfId="0"/>
    <cellStyle name="_Other_VSE WFP_101029-with more ViewPad 7_VSA 111014_PJ" xfId="0"/>
    <cellStyle name="_Other_VSE WFP_101029-with more ViewPad 7_VSA Roll-Up (LW)" xfId="0"/>
    <cellStyle name="_Other_VSE WFP_101029-with more ViewPad 7_VSA Roll-Up (LW) 2" xfId="0"/>
    <cellStyle name="_Other_VSE WFP_101029-with more ViewPad 7_VSA Roll-Up (LW) 3" xfId="0"/>
    <cellStyle name="_Other_VSE WFP_101029-with more ViewPad 7_VSA Roll-Up (LW) 4" xfId="0"/>
    <cellStyle name="_Other_VSE WFP_101029-with more ViewPad 7_VSA Roll-Up (LW) 4 2" xfId="0"/>
    <cellStyle name="_Other_VSE WFP_101029-with more ViewPad 7_VSA Roll-Up (LW)_By Region" xfId="0"/>
    <cellStyle name="_Other_VSE WFP_101029-with more ViewPad 7_VSA Roll-Up (LW)_CORP SG&amp;A" xfId="0"/>
    <cellStyle name="_Other_VSE WFP_101029-with more ViewPad 7_VSA Roll-Up (LW)_LCD" xfId="0"/>
    <cellStyle name="_Other_VSE WFP_101029-with more ViewPad 7_VSA Roll-Up (LW)_PJ" xfId="0"/>
    <cellStyle name="_Others" xfId="0"/>
    <cellStyle name="_Others 2" xfId="0"/>
    <cellStyle name="_Others 3" xfId="0"/>
    <cellStyle name="_Others 4" xfId="0"/>
    <cellStyle name="_Others 5" xfId="0"/>
    <cellStyle name="_Others_By Region" xfId="0"/>
    <cellStyle name="_Others_CIS" xfId="0"/>
    <cellStyle name="_Others_CIS 2" xfId="0"/>
    <cellStyle name="_Others_CIS 3" xfId="0"/>
    <cellStyle name="_Others_CIS 4" xfId="0"/>
    <cellStyle name="_Others_CIS_By Region" xfId="0"/>
    <cellStyle name="_Others_CIS_CORP SG&amp;A" xfId="0"/>
    <cellStyle name="_Others_CIS_Digitizer" xfId="0"/>
    <cellStyle name="_Others_CIS_GPS OTHER" xfId="0"/>
    <cellStyle name="_Others_CIS_GPS OTHER 2" xfId="0"/>
    <cellStyle name="_Others_CIS_GPS OTHER 3" xfId="0"/>
    <cellStyle name="_Others_CIS_GPS OTHER 4" xfId="0"/>
    <cellStyle name="_Others_CIS_GPS OTHER 4 2" xfId="0"/>
    <cellStyle name="_Others_CIS_GPS OTHER_By Region" xfId="0"/>
    <cellStyle name="_Others_CIS_GPS OTHER_CORP SG&amp;A" xfId="0"/>
    <cellStyle name="_Others_CIS_GPS OTHER_LCD" xfId="0"/>
    <cellStyle name="_Others_CIS_GPS OTHER_PJ" xfId="0"/>
    <cellStyle name="_Others_CIS_LCD" xfId="0"/>
    <cellStyle name="_Others_CIS_LCD 2" xfId="0"/>
    <cellStyle name="_Others_CIS_LCD 3" xfId="0"/>
    <cellStyle name="_Others_CIS_LCD 4" xfId="0"/>
    <cellStyle name="_Others_CIS_LCD_By Region" xfId="0"/>
    <cellStyle name="_Others_CIS_LCD_CORP SG&amp;A" xfId="0"/>
    <cellStyle name="_Others_CIS_LCD_LCD" xfId="0"/>
    <cellStyle name="_Others_CIS_LCD_PJ" xfId="0"/>
    <cellStyle name="_Others_CIS_PC Products" xfId="0"/>
    <cellStyle name="_Others_CIS_PC Products 2" xfId="0"/>
    <cellStyle name="_Others_CIS_PC Products 3" xfId="0"/>
    <cellStyle name="_Others_CIS_PC Products 4" xfId="0"/>
    <cellStyle name="_Others_CIS_PC Products 4 2" xfId="0"/>
    <cellStyle name="_Others_CIS_PC Products_By Region" xfId="0"/>
    <cellStyle name="_Others_CIS_PC Products_CORP SG&amp;A" xfId="0"/>
    <cellStyle name="_Others_CIS_PC Products_LCD" xfId="0"/>
    <cellStyle name="_Others_CIS_PC Products_PJ" xfId="0"/>
    <cellStyle name="_Others_CIS_VSA 111014" xfId="0"/>
    <cellStyle name="_Others_CIS_VSA 111014 2" xfId="0"/>
    <cellStyle name="_Others_CIS_VSA 111014 3" xfId="0"/>
    <cellStyle name="_Others_CIS_VSA 111014 4" xfId="0"/>
    <cellStyle name="_Others_CIS_VSA 111014 4 2" xfId="0"/>
    <cellStyle name="_Others_CIS_VSA 111014_By Region" xfId="0"/>
    <cellStyle name="_Others_CIS_VSA 111014_CORP SG&amp;A" xfId="0"/>
    <cellStyle name="_Others_CIS_VSA 111014_LCD" xfId="0"/>
    <cellStyle name="_Others_CIS_VSA 111014_PJ" xfId="0"/>
    <cellStyle name="_Others_CIS_VSA Roll-Up (LW)" xfId="0"/>
    <cellStyle name="_Others_CIS_VSA Roll-Up (LW) 2" xfId="0"/>
    <cellStyle name="_Others_CIS_VSA Roll-Up (LW) 3" xfId="0"/>
    <cellStyle name="_Others_CIS_VSA Roll-Up (LW) 4" xfId="0"/>
    <cellStyle name="_Others_CIS_VSA Roll-Up (LW) 4 2" xfId="0"/>
    <cellStyle name="_Others_CIS_VSA Roll-Up (LW)_By Region" xfId="0"/>
    <cellStyle name="_Others_CIS_VSA Roll-Up (LW)_CORP SG&amp;A" xfId="0"/>
    <cellStyle name="_Others_CIS_VSA Roll-Up (LW)_LCD" xfId="0"/>
    <cellStyle name="_Others_CIS_VSA Roll-Up (LW)_PJ" xfId="0"/>
    <cellStyle name="_Others_CORP SG&amp;A" xfId="0"/>
    <cellStyle name="_Others_CRT" xfId="0"/>
    <cellStyle name="_Others_CRT 2" xfId="0"/>
    <cellStyle name="_Others_CRT 3" xfId="0"/>
    <cellStyle name="_Others_CRT 4" xfId="0"/>
    <cellStyle name="_Others_CRT_By Region" xfId="0"/>
    <cellStyle name="_Others_CRT_CORP SG&amp;A" xfId="0"/>
    <cellStyle name="_Others_CRT_Digitizer" xfId="0"/>
    <cellStyle name="_Others_CRT_GPS OTHER" xfId="0"/>
    <cellStyle name="_Others_CRT_GPS OTHER 2" xfId="0"/>
    <cellStyle name="_Others_CRT_GPS OTHER 3" xfId="0"/>
    <cellStyle name="_Others_CRT_GPS OTHER 4" xfId="0"/>
    <cellStyle name="_Others_CRT_GPS OTHER 4 2" xfId="0"/>
    <cellStyle name="_Others_CRT_GPS OTHER_By Region" xfId="0"/>
    <cellStyle name="_Others_CRT_GPS OTHER_CORP SG&amp;A" xfId="0"/>
    <cellStyle name="_Others_CRT_GPS OTHER_LCD" xfId="0"/>
    <cellStyle name="_Others_CRT_GPS OTHER_PJ" xfId="0"/>
    <cellStyle name="_Others_CRT_LCD" xfId="0"/>
    <cellStyle name="_Others_CRT_LCD 2" xfId="0"/>
    <cellStyle name="_Others_CRT_LCD 3" xfId="0"/>
    <cellStyle name="_Others_CRT_LCD 4" xfId="0"/>
    <cellStyle name="_Others_CRT_LCD_By Region" xfId="0"/>
    <cellStyle name="_Others_CRT_LCD_CORP SG&amp;A" xfId="0"/>
    <cellStyle name="_Others_CRT_LCD_LCD" xfId="0"/>
    <cellStyle name="_Others_CRT_LCD_PJ" xfId="0"/>
    <cellStyle name="_Others_CRT_PC Products" xfId="0"/>
    <cellStyle name="_Others_CRT_PC Products 2" xfId="0"/>
    <cellStyle name="_Others_CRT_PC Products 3" xfId="0"/>
    <cellStyle name="_Others_CRT_PC Products 4" xfId="0"/>
    <cellStyle name="_Others_CRT_PC Products 4 2" xfId="0"/>
    <cellStyle name="_Others_CRT_PC Products_By Region" xfId="0"/>
    <cellStyle name="_Others_CRT_PC Products_CORP SG&amp;A" xfId="0"/>
    <cellStyle name="_Others_CRT_PC Products_LCD" xfId="0"/>
    <cellStyle name="_Others_CRT_PC Products_PJ" xfId="0"/>
    <cellStyle name="_Others_CRT_VSA 111014" xfId="0"/>
    <cellStyle name="_Others_CRT_VSA 111014 2" xfId="0"/>
    <cellStyle name="_Others_CRT_VSA 111014 3" xfId="0"/>
    <cellStyle name="_Others_CRT_VSA 111014 4" xfId="0"/>
    <cellStyle name="_Others_CRT_VSA 111014 4 2" xfId="0"/>
    <cellStyle name="_Others_CRT_VSA 111014_By Region" xfId="0"/>
    <cellStyle name="_Others_CRT_VSA 111014_CORP SG&amp;A" xfId="0"/>
    <cellStyle name="_Others_CRT_VSA 111014_LCD" xfId="0"/>
    <cellStyle name="_Others_CRT_VSA 111014_PJ" xfId="0"/>
    <cellStyle name="_Others_CRT_VSA Roll-Up (LW)" xfId="0"/>
    <cellStyle name="_Others_CRT_VSA Roll-Up (LW) 2" xfId="0"/>
    <cellStyle name="_Others_CRT_VSA Roll-Up (LW) 3" xfId="0"/>
    <cellStyle name="_Others_CRT_VSA Roll-Up (LW) 4" xfId="0"/>
    <cellStyle name="_Others_CRT_VSA Roll-Up (LW) 4 2" xfId="0"/>
    <cellStyle name="_Others_CRT_VSA Roll-Up (LW)_By Region" xfId="0"/>
    <cellStyle name="_Others_CRT_VSA Roll-Up (LW)_CORP SG&amp;A" xfId="0"/>
    <cellStyle name="_Others_CRT_VSA Roll-Up (LW)_LCD" xfId="0"/>
    <cellStyle name="_Others_CRT_VSA Roll-Up (LW)_PJ" xfId="0"/>
    <cellStyle name="_Others_Diff" xfId="0"/>
    <cellStyle name="_Others_Diff 2" xfId="0"/>
    <cellStyle name="_Others_Diff 3" xfId="0"/>
    <cellStyle name="_Others_Diff 4" xfId="0"/>
    <cellStyle name="_Others_Diff_By Region" xfId="0"/>
    <cellStyle name="_Others_Diff_CORP SG&amp;A" xfId="0"/>
    <cellStyle name="_Others_Diff_Digitizer" xfId="0"/>
    <cellStyle name="_Others_Diff_GPS OTHER" xfId="0"/>
    <cellStyle name="_Others_Diff_GPS OTHER 2" xfId="0"/>
    <cellStyle name="_Others_Diff_GPS OTHER 3" xfId="0"/>
    <cellStyle name="_Others_Diff_GPS OTHER 4" xfId="0"/>
    <cellStyle name="_Others_Diff_GPS OTHER 4 2" xfId="0"/>
    <cellStyle name="_Others_Diff_GPS OTHER_By Region" xfId="0"/>
    <cellStyle name="_Others_Diff_GPS OTHER_CORP SG&amp;A" xfId="0"/>
    <cellStyle name="_Others_Diff_GPS OTHER_LCD" xfId="0"/>
    <cellStyle name="_Others_Diff_GPS OTHER_PJ" xfId="0"/>
    <cellStyle name="_Others_Diff_LCD" xfId="0"/>
    <cellStyle name="_Others_Diff_LCD 2" xfId="0"/>
    <cellStyle name="_Others_Diff_LCD 3" xfId="0"/>
    <cellStyle name="_Others_Diff_LCD 4" xfId="0"/>
    <cellStyle name="_Others_Diff_LCD_By Region" xfId="0"/>
    <cellStyle name="_Others_Diff_LCD_CORP SG&amp;A" xfId="0"/>
    <cellStyle name="_Others_Diff_LCD_LCD" xfId="0"/>
    <cellStyle name="_Others_Diff_LCD_PJ" xfId="0"/>
    <cellStyle name="_Others_Diff_PC Products" xfId="0"/>
    <cellStyle name="_Others_Diff_PC Products 2" xfId="0"/>
    <cellStyle name="_Others_Diff_PC Products 3" xfId="0"/>
    <cellStyle name="_Others_Diff_PC Products 4" xfId="0"/>
    <cellStyle name="_Others_Diff_PC Products 4 2" xfId="0"/>
    <cellStyle name="_Others_Diff_PC Products_By Region" xfId="0"/>
    <cellStyle name="_Others_Diff_PC Products_CORP SG&amp;A" xfId="0"/>
    <cellStyle name="_Others_Diff_PC Products_LCD" xfId="0"/>
    <cellStyle name="_Others_Diff_PC Products_PJ" xfId="0"/>
    <cellStyle name="_Others_Diff_VSA 111014" xfId="0"/>
    <cellStyle name="_Others_Diff_VSA 111014 2" xfId="0"/>
    <cellStyle name="_Others_Diff_VSA 111014 3" xfId="0"/>
    <cellStyle name="_Others_Diff_VSA 111014 4" xfId="0"/>
    <cellStyle name="_Others_Diff_VSA 111014 4 2" xfId="0"/>
    <cellStyle name="_Others_Diff_VSA 111014_By Region" xfId="0"/>
    <cellStyle name="_Others_Diff_VSA 111014_CORP SG&amp;A" xfId="0"/>
    <cellStyle name="_Others_Diff_VSA 111014_LCD" xfId="0"/>
    <cellStyle name="_Others_Diff_VSA 111014_PJ" xfId="0"/>
    <cellStyle name="_Others_Diff_VSA Roll-Up (LW)" xfId="0"/>
    <cellStyle name="_Others_Diff_VSA Roll-Up (LW) 2" xfId="0"/>
    <cellStyle name="_Others_Diff_VSA Roll-Up (LW) 3" xfId="0"/>
    <cellStyle name="_Others_Diff_VSA Roll-Up (LW) 4" xfId="0"/>
    <cellStyle name="_Others_Diff_VSA Roll-Up (LW) 4 2" xfId="0"/>
    <cellStyle name="_Others_Diff_VSA Roll-Up (LW)_By Region" xfId="0"/>
    <cellStyle name="_Others_Diff_VSA Roll-Up (LW)_CORP SG&amp;A" xfId="0"/>
    <cellStyle name="_Others_Diff_VSA Roll-Up (LW)_LCD" xfId="0"/>
    <cellStyle name="_Others_Diff_VSA Roll-Up (LW)_PJ" xfId="0"/>
    <cellStyle name="_Others_Digital Product" xfId="0"/>
    <cellStyle name="_Others_Digital Product 2" xfId="0"/>
    <cellStyle name="_Others_Digital Product 3" xfId="0"/>
    <cellStyle name="_Others_Digital Product 4" xfId="0"/>
    <cellStyle name="_Others_Digital Product_By Region" xfId="0"/>
    <cellStyle name="_Others_Digital Product_CORP SG&amp;A" xfId="0"/>
    <cellStyle name="_Others_Digital Product_Digitizer" xfId="0"/>
    <cellStyle name="_Others_Digital Product_GPS OTHER" xfId="0"/>
    <cellStyle name="_Others_Digital Product_GPS OTHER 2" xfId="0"/>
    <cellStyle name="_Others_Digital Product_GPS OTHER 3" xfId="0"/>
    <cellStyle name="_Others_Digital Product_GPS OTHER 4" xfId="0"/>
    <cellStyle name="_Others_Digital Product_GPS OTHER 4 2" xfId="0"/>
    <cellStyle name="_Others_Digital Product_GPS OTHER_By Region" xfId="0"/>
    <cellStyle name="_Others_Digital Product_GPS OTHER_CORP SG&amp;A" xfId="0"/>
    <cellStyle name="_Others_Digital Product_GPS OTHER_LCD" xfId="0"/>
    <cellStyle name="_Others_Digital Product_GPS OTHER_PJ" xfId="0"/>
    <cellStyle name="_Others_Digital Product_LCD" xfId="0"/>
    <cellStyle name="_Others_Digital Product_LCD 2" xfId="0"/>
    <cellStyle name="_Others_Digital Product_LCD 3" xfId="0"/>
    <cellStyle name="_Others_Digital Product_LCD 4" xfId="0"/>
    <cellStyle name="_Others_Digital Product_LCD_By Region" xfId="0"/>
    <cellStyle name="_Others_Digital Product_LCD_CORP SG&amp;A" xfId="0"/>
    <cellStyle name="_Others_Digital Product_LCD_LCD" xfId="0"/>
    <cellStyle name="_Others_Digital Product_LCD_PJ" xfId="0"/>
    <cellStyle name="_Others_Digital Product_PC Products" xfId="0"/>
    <cellStyle name="_Others_Digital Product_PC Products 2" xfId="0"/>
    <cellStyle name="_Others_Digital Product_PC Products 3" xfId="0"/>
    <cellStyle name="_Others_Digital Product_PC Products 4" xfId="0"/>
    <cellStyle name="_Others_Digital Product_PC Products 4 2" xfId="0"/>
    <cellStyle name="_Others_Digital Product_PC Products_By Region" xfId="0"/>
    <cellStyle name="_Others_Digital Product_PC Products_CORP SG&amp;A" xfId="0"/>
    <cellStyle name="_Others_Digital Product_PC Products_LCD" xfId="0"/>
    <cellStyle name="_Others_Digital Product_PC Products_PJ" xfId="0"/>
    <cellStyle name="_Others_Digital Product_VSA 111014" xfId="0"/>
    <cellStyle name="_Others_Digital Product_VSA 111014 2" xfId="0"/>
    <cellStyle name="_Others_Digital Product_VSA 111014 3" xfId="0"/>
    <cellStyle name="_Others_Digital Product_VSA 111014 4" xfId="0"/>
    <cellStyle name="_Others_Digital Product_VSA 111014 4 2" xfId="0"/>
    <cellStyle name="_Others_Digital Product_VSA 111014_By Region" xfId="0"/>
    <cellStyle name="_Others_Digital Product_VSA 111014_CORP SG&amp;A" xfId="0"/>
    <cellStyle name="_Others_Digital Product_VSA 111014_LCD" xfId="0"/>
    <cellStyle name="_Others_Digital Product_VSA 111014_PJ" xfId="0"/>
    <cellStyle name="_Others_Digital Product_VSA Roll-Up (LW)" xfId="0"/>
    <cellStyle name="_Others_Digital Product_VSA Roll-Up (LW) 2" xfId="0"/>
    <cellStyle name="_Others_Digital Product_VSA Roll-Up (LW) 3" xfId="0"/>
    <cellStyle name="_Others_Digital Product_VSA Roll-Up (LW) 4" xfId="0"/>
    <cellStyle name="_Others_Digital Product_VSA Roll-Up (LW) 4 2" xfId="0"/>
    <cellStyle name="_Others_Digital Product_VSA Roll-Up (LW)_By Region" xfId="0"/>
    <cellStyle name="_Others_Digital Product_VSA Roll-Up (LW)_CORP SG&amp;A" xfId="0"/>
    <cellStyle name="_Others_Digital Product_VSA Roll-Up (LW)_LCD" xfId="0"/>
    <cellStyle name="_Others_Digital Product_VSA Roll-Up (LW)_PJ" xfId="0"/>
    <cellStyle name="_Others_Digital Signage" xfId="0"/>
    <cellStyle name="_Others_Digital Signage 2" xfId="0"/>
    <cellStyle name="_Others_Digital Signage 3" xfId="0"/>
    <cellStyle name="_Others_Digital Signage 4" xfId="0"/>
    <cellStyle name="_Others_Digital Signage_By Region" xfId="0"/>
    <cellStyle name="_Others_Digital Signage_CORP SG&amp;A" xfId="0"/>
    <cellStyle name="_Others_Digital Signage_Digitizer" xfId="0"/>
    <cellStyle name="_Others_Digital Signage_GPS OTHER" xfId="0"/>
    <cellStyle name="_Others_Digital Signage_GPS OTHER 2" xfId="0"/>
    <cellStyle name="_Others_Digital Signage_GPS OTHER 3" xfId="0"/>
    <cellStyle name="_Others_Digital Signage_GPS OTHER 4" xfId="0"/>
    <cellStyle name="_Others_Digital Signage_GPS OTHER 4 2" xfId="0"/>
    <cellStyle name="_Others_Digital Signage_GPS OTHER_By Region" xfId="0"/>
    <cellStyle name="_Others_Digital Signage_GPS OTHER_CORP SG&amp;A" xfId="0"/>
    <cellStyle name="_Others_Digital Signage_GPS OTHER_LCD" xfId="0"/>
    <cellStyle name="_Others_Digital Signage_GPS OTHER_PJ" xfId="0"/>
    <cellStyle name="_Others_Digital Signage_LCD" xfId="0"/>
    <cellStyle name="_Others_Digital Signage_LCD 2" xfId="0"/>
    <cellStyle name="_Others_Digital Signage_LCD 3" xfId="0"/>
    <cellStyle name="_Others_Digital Signage_LCD 4" xfId="0"/>
    <cellStyle name="_Others_Digital Signage_LCD_By Region" xfId="0"/>
    <cellStyle name="_Others_Digital Signage_LCD_CORP SG&amp;A" xfId="0"/>
    <cellStyle name="_Others_Digital Signage_LCD_LCD" xfId="0"/>
    <cellStyle name="_Others_Digital Signage_LCD_PJ" xfId="0"/>
    <cellStyle name="_Others_Digital Signage_PC Products" xfId="0"/>
    <cellStyle name="_Others_Digital Signage_PC Products 2" xfId="0"/>
    <cellStyle name="_Others_Digital Signage_PC Products 3" xfId="0"/>
    <cellStyle name="_Others_Digital Signage_PC Products 4" xfId="0"/>
    <cellStyle name="_Others_Digital Signage_PC Products 4 2" xfId="0"/>
    <cellStyle name="_Others_Digital Signage_PC Products_By Region" xfId="0"/>
    <cellStyle name="_Others_Digital Signage_PC Products_CORP SG&amp;A" xfId="0"/>
    <cellStyle name="_Others_Digital Signage_PC Products_LCD" xfId="0"/>
    <cellStyle name="_Others_Digital Signage_PC Products_PJ" xfId="0"/>
    <cellStyle name="_Others_Digital Signage_VSA 111014" xfId="0"/>
    <cellStyle name="_Others_Digital Signage_VSA 111014 2" xfId="0"/>
    <cellStyle name="_Others_Digital Signage_VSA 111014 3" xfId="0"/>
    <cellStyle name="_Others_Digital Signage_VSA 111014 4" xfId="0"/>
    <cellStyle name="_Others_Digital Signage_VSA 111014 4 2" xfId="0"/>
    <cellStyle name="_Others_Digital Signage_VSA 111014_By Region" xfId="0"/>
    <cellStyle name="_Others_Digital Signage_VSA 111014_CORP SG&amp;A" xfId="0"/>
    <cellStyle name="_Others_Digital Signage_VSA 111014_LCD" xfId="0"/>
    <cellStyle name="_Others_Digital Signage_VSA 111014_PJ" xfId="0"/>
    <cellStyle name="_Others_Digital Signage_VSA Roll-Up (LW)" xfId="0"/>
    <cellStyle name="_Others_Digital Signage_VSA Roll-Up (LW) 2" xfId="0"/>
    <cellStyle name="_Others_Digital Signage_VSA Roll-Up (LW) 3" xfId="0"/>
    <cellStyle name="_Others_Digital Signage_VSA Roll-Up (LW) 4" xfId="0"/>
    <cellStyle name="_Others_Digital Signage_VSA Roll-Up (LW) 4 2" xfId="0"/>
    <cellStyle name="_Others_Digital Signage_VSA Roll-Up (LW)_By Region" xfId="0"/>
    <cellStyle name="_Others_Digital Signage_VSA Roll-Up (LW)_CORP SG&amp;A" xfId="0"/>
    <cellStyle name="_Others_Digital Signage_VSA Roll-Up (LW)_LCD" xfId="0"/>
    <cellStyle name="_Others_Digital Signage_VSA Roll-Up (LW)_PJ" xfId="0"/>
    <cellStyle name="_Others_Digitizer" xfId="0"/>
    <cellStyle name="_Others_DMA(VMP)" xfId="0"/>
    <cellStyle name="_Others_DMA(VMP) 2" xfId="0"/>
    <cellStyle name="_Others_DMA(VMP) 3" xfId="0"/>
    <cellStyle name="_Others_DMA(VMP) 4" xfId="0"/>
    <cellStyle name="_Others_DMA(VMP)_By Region" xfId="0"/>
    <cellStyle name="_Others_DMA(VMP)_CORP SG&amp;A" xfId="0"/>
    <cellStyle name="_Others_DMA(VMP)_Digitizer" xfId="0"/>
    <cellStyle name="_Others_DMA(VMP)_GPS OTHER" xfId="0"/>
    <cellStyle name="_Others_DMA(VMP)_GPS OTHER 2" xfId="0"/>
    <cellStyle name="_Others_DMA(VMP)_GPS OTHER 3" xfId="0"/>
    <cellStyle name="_Others_DMA(VMP)_GPS OTHER 4" xfId="0"/>
    <cellStyle name="_Others_DMA(VMP)_GPS OTHER 4 2" xfId="0"/>
    <cellStyle name="_Others_DMA(VMP)_GPS OTHER_By Region" xfId="0"/>
    <cellStyle name="_Others_DMA(VMP)_GPS OTHER_CORP SG&amp;A" xfId="0"/>
    <cellStyle name="_Others_DMA(VMP)_GPS OTHER_LCD" xfId="0"/>
    <cellStyle name="_Others_DMA(VMP)_GPS OTHER_PJ" xfId="0"/>
    <cellStyle name="_Others_DMA(VMP)_LCD" xfId="0"/>
    <cellStyle name="_Others_DMA(VMP)_LCD 2" xfId="0"/>
    <cellStyle name="_Others_DMA(VMP)_LCD 3" xfId="0"/>
    <cellStyle name="_Others_DMA(VMP)_LCD 4" xfId="0"/>
    <cellStyle name="_Others_DMA(VMP)_LCD_By Region" xfId="0"/>
    <cellStyle name="_Others_DMA(VMP)_LCD_CORP SG&amp;A" xfId="0"/>
    <cellStyle name="_Others_DMA(VMP)_LCD_LCD" xfId="0"/>
    <cellStyle name="_Others_DMA(VMP)_LCD_PJ" xfId="0"/>
    <cellStyle name="_Others_DMA(VMP)_PC Products" xfId="0"/>
    <cellStyle name="_Others_DMA(VMP)_PC Products 2" xfId="0"/>
    <cellStyle name="_Others_DMA(VMP)_PC Products 3" xfId="0"/>
    <cellStyle name="_Others_DMA(VMP)_PC Products 4" xfId="0"/>
    <cellStyle name="_Others_DMA(VMP)_PC Products 4 2" xfId="0"/>
    <cellStyle name="_Others_DMA(VMP)_PC Products_By Region" xfId="0"/>
    <cellStyle name="_Others_DMA(VMP)_PC Products_CORP SG&amp;A" xfId="0"/>
    <cellStyle name="_Others_DMA(VMP)_PC Products_LCD" xfId="0"/>
    <cellStyle name="_Others_DMA(VMP)_PC Products_PJ" xfId="0"/>
    <cellStyle name="_Others_DMA(VMP)_VSA 111014" xfId="0"/>
    <cellStyle name="_Others_DMA(VMP)_VSA 111014 2" xfId="0"/>
    <cellStyle name="_Others_DMA(VMP)_VSA 111014 3" xfId="0"/>
    <cellStyle name="_Others_DMA(VMP)_VSA 111014 4" xfId="0"/>
    <cellStyle name="_Others_DMA(VMP)_VSA 111014 4 2" xfId="0"/>
    <cellStyle name="_Others_DMA(VMP)_VSA 111014_By Region" xfId="0"/>
    <cellStyle name="_Others_DMA(VMP)_VSA 111014_CORP SG&amp;A" xfId="0"/>
    <cellStyle name="_Others_DMA(VMP)_VSA 111014_LCD" xfId="0"/>
    <cellStyle name="_Others_DMA(VMP)_VSA 111014_PJ" xfId="0"/>
    <cellStyle name="_Others_DMA(VMP)_VSA Roll-Up (LW)" xfId="0"/>
    <cellStyle name="_Others_DMA(VMP)_VSA Roll-Up (LW) 2" xfId="0"/>
    <cellStyle name="_Others_DMA(VMP)_VSA Roll-Up (LW) 3" xfId="0"/>
    <cellStyle name="_Others_DMA(VMP)_VSA Roll-Up (LW) 4" xfId="0"/>
    <cellStyle name="_Others_DMA(VMP)_VSA Roll-Up (LW) 4 2" xfId="0"/>
    <cellStyle name="_Others_DMA(VMP)_VSA Roll-Up (LW)_By Region" xfId="0"/>
    <cellStyle name="_Others_DMA(VMP)_VSA Roll-Up (LW)_CORP SG&amp;A" xfId="0"/>
    <cellStyle name="_Others_DMA(VMP)_VSA Roll-Up (LW)_LCD" xfId="0"/>
    <cellStyle name="_Others_DMA(VMP)_VSA Roll-Up (LW)_PJ" xfId="0"/>
    <cellStyle name="_Others_DPF" xfId="0"/>
    <cellStyle name="_Others_DPF 2" xfId="0"/>
    <cellStyle name="_Others_DPF 3" xfId="0"/>
    <cellStyle name="_Others_DPF 4" xfId="0"/>
    <cellStyle name="_Others_DPF_By Region" xfId="0"/>
    <cellStyle name="_Others_DPF_CORP SG&amp;A" xfId="0"/>
    <cellStyle name="_Others_DPF_Digitizer" xfId="0"/>
    <cellStyle name="_Others_DPF_GPS OTHER" xfId="0"/>
    <cellStyle name="_Others_DPF_GPS OTHER 2" xfId="0"/>
    <cellStyle name="_Others_DPF_GPS OTHER 3" xfId="0"/>
    <cellStyle name="_Others_DPF_GPS OTHER 4" xfId="0"/>
    <cellStyle name="_Others_DPF_GPS OTHER 4 2" xfId="0"/>
    <cellStyle name="_Others_DPF_GPS OTHER_By Region" xfId="0"/>
    <cellStyle name="_Others_DPF_GPS OTHER_CORP SG&amp;A" xfId="0"/>
    <cellStyle name="_Others_DPF_GPS OTHER_LCD" xfId="0"/>
    <cellStyle name="_Others_DPF_GPS OTHER_PJ" xfId="0"/>
    <cellStyle name="_Others_DPF_LCD" xfId="0"/>
    <cellStyle name="_Others_DPF_LCD 2" xfId="0"/>
    <cellStyle name="_Others_DPF_LCD 3" xfId="0"/>
    <cellStyle name="_Others_DPF_LCD 4" xfId="0"/>
    <cellStyle name="_Others_DPF_LCD_By Region" xfId="0"/>
    <cellStyle name="_Others_DPF_LCD_CORP SG&amp;A" xfId="0"/>
    <cellStyle name="_Others_DPF_LCD_LCD" xfId="0"/>
    <cellStyle name="_Others_DPF_LCD_PJ" xfId="0"/>
    <cellStyle name="_Others_DPF_PC Products" xfId="0"/>
    <cellStyle name="_Others_DPF_PC Products 2" xfId="0"/>
    <cellStyle name="_Others_DPF_PC Products 3" xfId="0"/>
    <cellStyle name="_Others_DPF_PC Products 4" xfId="0"/>
    <cellStyle name="_Others_DPF_PC Products 4 2" xfId="0"/>
    <cellStyle name="_Others_DPF_PC Products_By Region" xfId="0"/>
    <cellStyle name="_Others_DPF_PC Products_CORP SG&amp;A" xfId="0"/>
    <cellStyle name="_Others_DPF_PC Products_LCD" xfId="0"/>
    <cellStyle name="_Others_DPF_PC Products_PJ" xfId="0"/>
    <cellStyle name="_Others_DPF_VSA 111014" xfId="0"/>
    <cellStyle name="_Others_DPF_VSA 111014 2" xfId="0"/>
    <cellStyle name="_Others_DPF_VSA 111014 3" xfId="0"/>
    <cellStyle name="_Others_DPF_VSA 111014 4" xfId="0"/>
    <cellStyle name="_Others_DPF_VSA 111014 4 2" xfId="0"/>
    <cellStyle name="_Others_DPF_VSA 111014_By Region" xfId="0"/>
    <cellStyle name="_Others_DPF_VSA 111014_CORP SG&amp;A" xfId="0"/>
    <cellStyle name="_Others_DPF_VSA 111014_LCD" xfId="0"/>
    <cellStyle name="_Others_DPF_VSA 111014_PJ" xfId="0"/>
    <cellStyle name="_Others_DPF_VSA Roll-Up (LW)" xfId="0"/>
    <cellStyle name="_Others_DPF_VSA Roll-Up (LW) 2" xfId="0"/>
    <cellStyle name="_Others_DPF_VSA Roll-Up (LW) 3" xfId="0"/>
    <cellStyle name="_Others_DPF_VSA Roll-Up (LW) 4" xfId="0"/>
    <cellStyle name="_Others_DPF_VSA Roll-Up (LW) 4 2" xfId="0"/>
    <cellStyle name="_Others_DPF_VSA Roll-Up (LW)_By Region" xfId="0"/>
    <cellStyle name="_Others_DPF_VSA Roll-Up (LW)_CORP SG&amp;A" xfId="0"/>
    <cellStyle name="_Others_DPF_VSA Roll-Up (LW)_LCD" xfId="0"/>
    <cellStyle name="_Others_DPF_VSA Roll-Up (LW)_PJ" xfId="0"/>
    <cellStyle name="_Others_DS" xfId="0"/>
    <cellStyle name="_Others_DS 2" xfId="0"/>
    <cellStyle name="_Others_DS 3" xfId="0"/>
    <cellStyle name="_Others_DS 4" xfId="0"/>
    <cellStyle name="_Others_DS_By Region" xfId="0"/>
    <cellStyle name="_Others_DS_CORP SG&amp;A" xfId="0"/>
    <cellStyle name="_Others_DS_Digitizer" xfId="0"/>
    <cellStyle name="_Others_DS_GPS OTHER" xfId="0"/>
    <cellStyle name="_Others_DS_GPS OTHER 2" xfId="0"/>
    <cellStyle name="_Others_DS_GPS OTHER 3" xfId="0"/>
    <cellStyle name="_Others_DS_GPS OTHER 4" xfId="0"/>
    <cellStyle name="_Others_DS_GPS OTHER 4 2" xfId="0"/>
    <cellStyle name="_Others_DS_GPS OTHER_By Region" xfId="0"/>
    <cellStyle name="_Others_DS_GPS OTHER_CORP SG&amp;A" xfId="0"/>
    <cellStyle name="_Others_DS_GPS OTHER_LCD" xfId="0"/>
    <cellStyle name="_Others_DS_GPS OTHER_PJ" xfId="0"/>
    <cellStyle name="_Others_DS_LCD" xfId="0"/>
    <cellStyle name="_Others_DS_LCD 2" xfId="0"/>
    <cellStyle name="_Others_DS_LCD 3" xfId="0"/>
    <cellStyle name="_Others_DS_LCD 4" xfId="0"/>
    <cellStyle name="_Others_DS_LCD_By Region" xfId="0"/>
    <cellStyle name="_Others_DS_LCD_CORP SG&amp;A" xfId="0"/>
    <cellStyle name="_Others_DS_LCD_LCD" xfId="0"/>
    <cellStyle name="_Others_DS_LCD_PJ" xfId="0"/>
    <cellStyle name="_Others_DS_PC Products" xfId="0"/>
    <cellStyle name="_Others_DS_PC Products 2" xfId="0"/>
    <cellStyle name="_Others_DS_PC Products 3" xfId="0"/>
    <cellStyle name="_Others_DS_PC Products 4" xfId="0"/>
    <cellStyle name="_Others_DS_PC Products 4 2" xfId="0"/>
    <cellStyle name="_Others_DS_PC Products_By Region" xfId="0"/>
    <cellStyle name="_Others_DS_PC Products_CORP SG&amp;A" xfId="0"/>
    <cellStyle name="_Others_DS_PC Products_LCD" xfId="0"/>
    <cellStyle name="_Others_DS_PC Products_PJ" xfId="0"/>
    <cellStyle name="_Others_DS_VSA 111014" xfId="0"/>
    <cellStyle name="_Others_DS_VSA 111014 2" xfId="0"/>
    <cellStyle name="_Others_DS_VSA 111014 3" xfId="0"/>
    <cellStyle name="_Others_DS_VSA 111014 4" xfId="0"/>
    <cellStyle name="_Others_DS_VSA 111014 4 2" xfId="0"/>
    <cellStyle name="_Others_DS_VSA 111014_By Region" xfId="0"/>
    <cellStyle name="_Others_DS_VSA 111014_CORP SG&amp;A" xfId="0"/>
    <cellStyle name="_Others_DS_VSA 111014_LCD" xfId="0"/>
    <cellStyle name="_Others_DS_VSA 111014_PJ" xfId="0"/>
    <cellStyle name="_Others_DS_VSA Roll-Up (LW)" xfId="0"/>
    <cellStyle name="_Others_DS_VSA Roll-Up (LW) 2" xfId="0"/>
    <cellStyle name="_Others_DS_VSA Roll-Up (LW) 3" xfId="0"/>
    <cellStyle name="_Others_DS_VSA Roll-Up (LW) 4" xfId="0"/>
    <cellStyle name="_Others_DS_VSA Roll-Up (LW) 4 2" xfId="0"/>
    <cellStyle name="_Others_DS_VSA Roll-Up (LW)_By Region" xfId="0"/>
    <cellStyle name="_Others_DS_VSA Roll-Up (LW)_CORP SG&amp;A" xfId="0"/>
    <cellStyle name="_Others_DS_VSA Roll-Up (LW)_LCD" xfId="0"/>
    <cellStyle name="_Others_DS_VSA Roll-Up (LW)_PJ" xfId="0"/>
    <cellStyle name="_Others_DVD_TV" xfId="0"/>
    <cellStyle name="_Others_DVD_TV 2" xfId="0"/>
    <cellStyle name="_Others_DVD_TV 3" xfId="0"/>
    <cellStyle name="_Others_DVD_TV 4" xfId="0"/>
    <cellStyle name="_Others_DVD_TV_By Region" xfId="0"/>
    <cellStyle name="_Others_DVD_TV_CORP SG&amp;A" xfId="0"/>
    <cellStyle name="_Others_DVD_TV_Digitizer" xfId="0"/>
    <cellStyle name="_Others_DVD_TV_GPS OTHER" xfId="0"/>
    <cellStyle name="_Others_DVD_TV_GPS OTHER 2" xfId="0"/>
    <cellStyle name="_Others_DVD_TV_GPS OTHER 3" xfId="0"/>
    <cellStyle name="_Others_DVD_TV_GPS OTHER 4" xfId="0"/>
    <cellStyle name="_Others_DVD_TV_GPS OTHER 4 2" xfId="0"/>
    <cellStyle name="_Others_DVD_TV_GPS OTHER_By Region" xfId="0"/>
    <cellStyle name="_Others_DVD_TV_GPS OTHER_CORP SG&amp;A" xfId="0"/>
    <cellStyle name="_Others_DVD_TV_GPS OTHER_LCD" xfId="0"/>
    <cellStyle name="_Others_DVD_TV_GPS OTHER_PJ" xfId="0"/>
    <cellStyle name="_Others_DVD_TV_LCD" xfId="0"/>
    <cellStyle name="_Others_DVD_TV_LCD 2" xfId="0"/>
    <cellStyle name="_Others_DVD_TV_LCD 3" xfId="0"/>
    <cellStyle name="_Others_DVD_TV_LCD 4" xfId="0"/>
    <cellStyle name="_Others_DVD_TV_LCD_By Region" xfId="0"/>
    <cellStyle name="_Others_DVD_TV_LCD_CORP SG&amp;A" xfId="0"/>
    <cellStyle name="_Others_DVD_TV_LCD_LCD" xfId="0"/>
    <cellStyle name="_Others_DVD_TV_LCD_PJ" xfId="0"/>
    <cellStyle name="_Others_DVD_TV_PC Products" xfId="0"/>
    <cellStyle name="_Others_DVD_TV_PC Products 2" xfId="0"/>
    <cellStyle name="_Others_DVD_TV_PC Products 3" xfId="0"/>
    <cellStyle name="_Others_DVD_TV_PC Products 4" xfId="0"/>
    <cellStyle name="_Others_DVD_TV_PC Products 4 2" xfId="0"/>
    <cellStyle name="_Others_DVD_TV_PC Products_By Region" xfId="0"/>
    <cellStyle name="_Others_DVD_TV_PC Products_CORP SG&amp;A" xfId="0"/>
    <cellStyle name="_Others_DVD_TV_PC Products_LCD" xfId="0"/>
    <cellStyle name="_Others_DVD_TV_PC Products_PJ" xfId="0"/>
    <cellStyle name="_Others_DVD_TV_VSA 111014" xfId="0"/>
    <cellStyle name="_Others_DVD_TV_VSA 111014 2" xfId="0"/>
    <cellStyle name="_Others_DVD_TV_VSA 111014 3" xfId="0"/>
    <cellStyle name="_Others_DVD_TV_VSA 111014 4" xfId="0"/>
    <cellStyle name="_Others_DVD_TV_VSA 111014 4 2" xfId="0"/>
    <cellStyle name="_Others_DVD_TV_VSA 111014_By Region" xfId="0"/>
    <cellStyle name="_Others_DVD_TV_VSA 111014_CORP SG&amp;A" xfId="0"/>
    <cellStyle name="_Others_DVD_TV_VSA 111014_LCD" xfId="0"/>
    <cellStyle name="_Others_DVD_TV_VSA 111014_PJ" xfId="0"/>
    <cellStyle name="_Others_DVD_TV_VSA Roll-Up (LW)" xfId="0"/>
    <cellStyle name="_Others_DVD_TV_VSA Roll-Up (LW) 2" xfId="0"/>
    <cellStyle name="_Others_DVD_TV_VSA Roll-Up (LW) 3" xfId="0"/>
    <cellStyle name="_Others_DVD_TV_VSA Roll-Up (LW) 4" xfId="0"/>
    <cellStyle name="_Others_DVD_TV_VSA Roll-Up (LW) 4 2" xfId="0"/>
    <cellStyle name="_Others_DVD_TV_VSA Roll-Up (LW)_By Region" xfId="0"/>
    <cellStyle name="_Others_DVD_TV_VSA Roll-Up (LW)_CORP SG&amp;A" xfId="0"/>
    <cellStyle name="_Others_DVD_TV_VSA Roll-Up (LW)_LCD" xfId="0"/>
    <cellStyle name="_Others_DVD_TV_VSA Roll-Up (LW)_PJ" xfId="0"/>
    <cellStyle name="_Others_GPS OTHER" xfId="0"/>
    <cellStyle name="_Others_GPS OTHER 2" xfId="0"/>
    <cellStyle name="_Others_GPS OTHER 3" xfId="0"/>
    <cellStyle name="_Others_GPS OTHER 4" xfId="0"/>
    <cellStyle name="_Others_GPS OTHER 4 2" xfId="0"/>
    <cellStyle name="_Others_GPS OTHER_By Region" xfId="0"/>
    <cellStyle name="_Others_GPS OTHER_CORP SG&amp;A" xfId="0"/>
    <cellStyle name="_Others_GPS OTHER_LCD" xfId="0"/>
    <cellStyle name="_Others_GPS OTHER_PJ" xfId="0"/>
    <cellStyle name="_Others_LCD" xfId="0"/>
    <cellStyle name="_Others_LCD 2" xfId="0"/>
    <cellStyle name="_Others_LCD 3" xfId="0"/>
    <cellStyle name="_Others_LCD 4" xfId="0"/>
    <cellStyle name="_Others_LCD_1" xfId="0"/>
    <cellStyle name="_Others_LCD_1 2" xfId="0"/>
    <cellStyle name="_Others_LCD_1 3" xfId="0"/>
    <cellStyle name="_Others_LCD_1 4" xfId="0"/>
    <cellStyle name="_Others_LCD_1_By Region" xfId="0"/>
    <cellStyle name="_Others_LCD_1_CORP SG&amp;A" xfId="0"/>
    <cellStyle name="_Others_LCD_1_LCD" xfId="0"/>
    <cellStyle name="_Others_LCD_1_PJ" xfId="0"/>
    <cellStyle name="_Others_LCD_By Region" xfId="0"/>
    <cellStyle name="_Others_LCD_CORP SG&amp;A" xfId="0"/>
    <cellStyle name="_Others_LCD_Digitizer" xfId="0"/>
    <cellStyle name="_Others_LCD_GPS OTHER" xfId="0"/>
    <cellStyle name="_Others_LCD_GPS OTHER 2" xfId="0"/>
    <cellStyle name="_Others_LCD_GPS OTHER 3" xfId="0"/>
    <cellStyle name="_Others_LCD_GPS OTHER 4" xfId="0"/>
    <cellStyle name="_Others_LCD_GPS OTHER 4 2" xfId="0"/>
    <cellStyle name="_Others_LCD_GPS OTHER_By Region" xfId="0"/>
    <cellStyle name="_Others_LCD_GPS OTHER_CORP SG&amp;A" xfId="0"/>
    <cellStyle name="_Others_LCD_GPS OTHER_LCD" xfId="0"/>
    <cellStyle name="_Others_LCD_GPS OTHER_PJ" xfId="0"/>
    <cellStyle name="_Others_LCD_LCD" xfId="0"/>
    <cellStyle name="_Others_LCD_LCD 2" xfId="0"/>
    <cellStyle name="_Others_LCD_LCD 3" xfId="0"/>
    <cellStyle name="_Others_LCD_LCD 4" xfId="0"/>
    <cellStyle name="_Others_LCD_LCD_By Region" xfId="0"/>
    <cellStyle name="_Others_LCD_LCD_CORP SG&amp;A" xfId="0"/>
    <cellStyle name="_Others_LCD_LCD_LCD" xfId="0"/>
    <cellStyle name="_Others_LCD_LCD_PJ" xfId="0"/>
    <cellStyle name="_Others_LCD_PC Products" xfId="0"/>
    <cellStyle name="_Others_LCD_PC Products 2" xfId="0"/>
    <cellStyle name="_Others_LCD_PC Products 3" xfId="0"/>
    <cellStyle name="_Others_LCD_PC Products 4" xfId="0"/>
    <cellStyle name="_Others_LCD_PC Products 4 2" xfId="0"/>
    <cellStyle name="_Others_LCD_PC Products_By Region" xfId="0"/>
    <cellStyle name="_Others_LCD_PC Products_CORP SG&amp;A" xfId="0"/>
    <cellStyle name="_Others_LCD_PC Products_LCD" xfId="0"/>
    <cellStyle name="_Others_LCD_PC Products_PJ" xfId="0"/>
    <cellStyle name="_Others_LCD_VSA 111014" xfId="0"/>
    <cellStyle name="_Others_LCD_VSA 111014 2" xfId="0"/>
    <cellStyle name="_Others_LCD_VSA 111014 3" xfId="0"/>
    <cellStyle name="_Others_LCD_VSA 111014 4" xfId="0"/>
    <cellStyle name="_Others_LCD_VSA 111014 4 2" xfId="0"/>
    <cellStyle name="_Others_LCD_VSA 111014_By Region" xfId="0"/>
    <cellStyle name="_Others_LCD_VSA 111014_CORP SG&amp;A" xfId="0"/>
    <cellStyle name="_Others_LCD_VSA 111014_LCD" xfId="0"/>
    <cellStyle name="_Others_LCD_VSA 111014_PJ" xfId="0"/>
    <cellStyle name="_Others_LCD_VSA Roll-Up (LW)" xfId="0"/>
    <cellStyle name="_Others_LCD_VSA Roll-Up (LW) 2" xfId="0"/>
    <cellStyle name="_Others_LCD_VSA Roll-Up (LW) 3" xfId="0"/>
    <cellStyle name="_Others_LCD_VSA Roll-Up (LW) 4" xfId="0"/>
    <cellStyle name="_Others_LCD_VSA Roll-Up (LW) 4 2" xfId="0"/>
    <cellStyle name="_Others_LCD_VSA Roll-Up (LW)_By Region" xfId="0"/>
    <cellStyle name="_Others_LCD_VSA Roll-Up (LW)_CORP SG&amp;A" xfId="0"/>
    <cellStyle name="_Others_LCD_VSA Roll-Up (LW)_LCD" xfId="0"/>
    <cellStyle name="_Others_LCD_VSA Roll-Up (LW)_PJ" xfId="0"/>
    <cellStyle name="_Others_LCDTV" xfId="0"/>
    <cellStyle name="_Others_LCDTV 2" xfId="0"/>
    <cellStyle name="_Others_LCDTV 3" xfId="0"/>
    <cellStyle name="_Others_LCDTV 4" xfId="0"/>
    <cellStyle name="_Others_LCDTV_By Region" xfId="0"/>
    <cellStyle name="_Others_LCDTV_CORP SG&amp;A" xfId="0"/>
    <cellStyle name="_Others_LCDTV_Digitizer" xfId="0"/>
    <cellStyle name="_Others_LCDTV_GPS OTHER" xfId="0"/>
    <cellStyle name="_Others_LCDTV_GPS OTHER 2" xfId="0"/>
    <cellStyle name="_Others_LCDTV_GPS OTHER 3" xfId="0"/>
    <cellStyle name="_Others_LCDTV_GPS OTHER 4" xfId="0"/>
    <cellStyle name="_Others_LCDTV_GPS OTHER 4 2" xfId="0"/>
    <cellStyle name="_Others_LCDTV_GPS OTHER_By Region" xfId="0"/>
    <cellStyle name="_Others_LCDTV_GPS OTHER_CORP SG&amp;A" xfId="0"/>
    <cellStyle name="_Others_LCDTV_GPS OTHER_LCD" xfId="0"/>
    <cellStyle name="_Others_LCDTV_GPS OTHER_PJ" xfId="0"/>
    <cellStyle name="_Others_LCDTV_LCD" xfId="0"/>
    <cellStyle name="_Others_LCDTV_LCD 2" xfId="0"/>
    <cellStyle name="_Others_LCDTV_LCD 3" xfId="0"/>
    <cellStyle name="_Others_LCDTV_LCD 4" xfId="0"/>
    <cellStyle name="_Others_LCDTV_LCD_By Region" xfId="0"/>
    <cellStyle name="_Others_LCDTV_LCD_CORP SG&amp;A" xfId="0"/>
    <cellStyle name="_Others_LCDTV_LCD_LCD" xfId="0"/>
    <cellStyle name="_Others_LCDTV_LCD_PJ" xfId="0"/>
    <cellStyle name="_Others_LCDTV_PC Products" xfId="0"/>
    <cellStyle name="_Others_LCDTV_PC Products 2" xfId="0"/>
    <cellStyle name="_Others_LCDTV_PC Products 3" xfId="0"/>
    <cellStyle name="_Others_LCDTV_PC Products 4" xfId="0"/>
    <cellStyle name="_Others_LCDTV_PC Products 4 2" xfId="0"/>
    <cellStyle name="_Others_LCDTV_PC Products_By Region" xfId="0"/>
    <cellStyle name="_Others_LCDTV_PC Products_CORP SG&amp;A" xfId="0"/>
    <cellStyle name="_Others_LCDTV_PC Products_LCD" xfId="0"/>
    <cellStyle name="_Others_LCDTV_PC Products_PJ" xfId="0"/>
    <cellStyle name="_Others_LCDTV_VSA 111014" xfId="0"/>
    <cellStyle name="_Others_LCDTV_VSA 111014 2" xfId="0"/>
    <cellStyle name="_Others_LCDTV_VSA 111014 3" xfId="0"/>
    <cellStyle name="_Others_LCDTV_VSA 111014 4" xfId="0"/>
    <cellStyle name="_Others_LCDTV_VSA 111014 4 2" xfId="0"/>
    <cellStyle name="_Others_LCDTV_VSA 111014_By Region" xfId="0"/>
    <cellStyle name="_Others_LCDTV_VSA 111014_CORP SG&amp;A" xfId="0"/>
    <cellStyle name="_Others_LCDTV_VSA 111014_LCD" xfId="0"/>
    <cellStyle name="_Others_LCDTV_VSA 111014_PJ" xfId="0"/>
    <cellStyle name="_Others_LCDTV_VSA Roll-Up (LW)" xfId="0"/>
    <cellStyle name="_Others_LCDTV_VSA Roll-Up (LW) 2" xfId="0"/>
    <cellStyle name="_Others_LCDTV_VSA Roll-Up (LW) 3" xfId="0"/>
    <cellStyle name="_Others_LCDTV_VSA Roll-Up (LW) 4" xfId="0"/>
    <cellStyle name="_Others_LCDTV_VSA Roll-Up (LW) 4 2" xfId="0"/>
    <cellStyle name="_Others_LCDTV_VSA Roll-Up (LW)_By Region" xfId="0"/>
    <cellStyle name="_Others_LCDTV_VSA Roll-Up (LW)_CORP SG&amp;A" xfId="0"/>
    <cellStyle name="_Others_LCDTV_VSA Roll-Up (LW)_LCD" xfId="0"/>
    <cellStyle name="_Others_LCDTV_VSA Roll-Up (LW)_PJ" xfId="0"/>
    <cellStyle name="_Others_MNT" xfId="0"/>
    <cellStyle name="_Others_MNT 2" xfId="0"/>
    <cellStyle name="_Others_MNT 3" xfId="0"/>
    <cellStyle name="_Others_MNT 4" xfId="0"/>
    <cellStyle name="_Others_MNT_By Region" xfId="0"/>
    <cellStyle name="_Others_MNT_CORP SG&amp;A" xfId="0"/>
    <cellStyle name="_Others_MNT_Digitizer" xfId="0"/>
    <cellStyle name="_Others_MNT_GPS OTHER" xfId="0"/>
    <cellStyle name="_Others_MNT_GPS OTHER 2" xfId="0"/>
    <cellStyle name="_Others_MNT_GPS OTHER 3" xfId="0"/>
    <cellStyle name="_Others_MNT_GPS OTHER 4" xfId="0"/>
    <cellStyle name="_Others_MNT_GPS OTHER 4 2" xfId="0"/>
    <cellStyle name="_Others_MNT_GPS OTHER_By Region" xfId="0"/>
    <cellStyle name="_Others_MNT_GPS OTHER_CORP SG&amp;A" xfId="0"/>
    <cellStyle name="_Others_MNT_GPS OTHER_LCD" xfId="0"/>
    <cellStyle name="_Others_MNT_GPS OTHER_PJ" xfId="0"/>
    <cellStyle name="_Others_MNT_LCD" xfId="0"/>
    <cellStyle name="_Others_MNT_LCD 2" xfId="0"/>
    <cellStyle name="_Others_MNT_LCD 3" xfId="0"/>
    <cellStyle name="_Others_MNT_LCD 4" xfId="0"/>
    <cellStyle name="_Others_MNT_LCD_By Region" xfId="0"/>
    <cellStyle name="_Others_MNT_LCD_CORP SG&amp;A" xfId="0"/>
    <cellStyle name="_Others_MNT_LCD_LCD" xfId="0"/>
    <cellStyle name="_Others_MNT_LCD_PJ" xfId="0"/>
    <cellStyle name="_Others_MNT_PC Products" xfId="0"/>
    <cellStyle name="_Others_MNT_PC Products 2" xfId="0"/>
    <cellStyle name="_Others_MNT_PC Products 3" xfId="0"/>
    <cellStyle name="_Others_MNT_PC Products 4" xfId="0"/>
    <cellStyle name="_Others_MNT_PC Products 4 2" xfId="0"/>
    <cellStyle name="_Others_MNT_PC Products_By Region" xfId="0"/>
    <cellStyle name="_Others_MNT_PC Products_CORP SG&amp;A" xfId="0"/>
    <cellStyle name="_Others_MNT_PC Products_LCD" xfId="0"/>
    <cellStyle name="_Others_MNT_PC Products_PJ" xfId="0"/>
    <cellStyle name="_Others_MNT_VSA 111014" xfId="0"/>
    <cellStyle name="_Others_MNT_VSA 111014 2" xfId="0"/>
    <cellStyle name="_Others_MNT_VSA 111014 3" xfId="0"/>
    <cellStyle name="_Others_MNT_VSA 111014 4" xfId="0"/>
    <cellStyle name="_Others_MNT_VSA 111014 4 2" xfId="0"/>
    <cellStyle name="_Others_MNT_VSA 111014_By Region" xfId="0"/>
    <cellStyle name="_Others_MNT_VSA 111014_CORP SG&amp;A" xfId="0"/>
    <cellStyle name="_Others_MNT_VSA 111014_LCD" xfId="0"/>
    <cellStyle name="_Others_MNT_VSA 111014_PJ" xfId="0"/>
    <cellStyle name="_Others_MNT_VSA Roll-Up (LW)" xfId="0"/>
    <cellStyle name="_Others_MNT_VSA Roll-Up (LW) 2" xfId="0"/>
    <cellStyle name="_Others_MNT_VSA Roll-Up (LW) 3" xfId="0"/>
    <cellStyle name="_Others_MNT_VSA Roll-Up (LW) 4" xfId="0"/>
    <cellStyle name="_Others_MNT_VSA Roll-Up (LW) 4 2" xfId="0"/>
    <cellStyle name="_Others_MNT_VSA Roll-Up (LW)_By Region" xfId="0"/>
    <cellStyle name="_Others_MNT_VSA Roll-Up (LW)_CORP SG&amp;A" xfId="0"/>
    <cellStyle name="_Others_MNT_VSA Roll-Up (LW)_LCD" xfId="0"/>
    <cellStyle name="_Others_MNT_VSA Roll-Up (LW)_PJ" xfId="0"/>
    <cellStyle name="_Others_Other" xfId="0"/>
    <cellStyle name="_Others_Other 2" xfId="0"/>
    <cellStyle name="_Others_Other 3" xfId="0"/>
    <cellStyle name="_Others_Other 4" xfId="0"/>
    <cellStyle name="_Others_Other_By Region" xfId="0"/>
    <cellStyle name="_Others_Other_CORP SG&amp;A" xfId="0"/>
    <cellStyle name="_Others_Other_Digitizer" xfId="0"/>
    <cellStyle name="_Others_Other_GPS OTHER" xfId="0"/>
    <cellStyle name="_Others_Other_GPS OTHER 2" xfId="0"/>
    <cellStyle name="_Others_Other_GPS OTHER 3" xfId="0"/>
    <cellStyle name="_Others_Other_GPS OTHER 4" xfId="0"/>
    <cellStyle name="_Others_Other_GPS OTHER 4 2" xfId="0"/>
    <cellStyle name="_Others_Other_GPS OTHER_By Region" xfId="0"/>
    <cellStyle name="_Others_Other_GPS OTHER_CORP SG&amp;A" xfId="0"/>
    <cellStyle name="_Others_Other_GPS OTHER_LCD" xfId="0"/>
    <cellStyle name="_Others_Other_GPS OTHER_PJ" xfId="0"/>
    <cellStyle name="_Others_Other_LCD" xfId="0"/>
    <cellStyle name="_Others_Other_LCD 2" xfId="0"/>
    <cellStyle name="_Others_Other_LCD 3" xfId="0"/>
    <cellStyle name="_Others_Other_LCD 4" xfId="0"/>
    <cellStyle name="_Others_Other_LCD_By Region" xfId="0"/>
    <cellStyle name="_Others_Other_LCD_CORP SG&amp;A" xfId="0"/>
    <cellStyle name="_Others_Other_LCD_LCD" xfId="0"/>
    <cellStyle name="_Others_Other_LCD_PJ" xfId="0"/>
    <cellStyle name="_Others_Other_PC Products" xfId="0"/>
    <cellStyle name="_Others_Other_PC Products 2" xfId="0"/>
    <cellStyle name="_Others_Other_PC Products 3" xfId="0"/>
    <cellStyle name="_Others_Other_PC Products 4" xfId="0"/>
    <cellStyle name="_Others_Other_PC Products 4 2" xfId="0"/>
    <cellStyle name="_Others_Other_PC Products_By Region" xfId="0"/>
    <cellStyle name="_Others_Other_PC Products_CORP SG&amp;A" xfId="0"/>
    <cellStyle name="_Others_Other_PC Products_LCD" xfId="0"/>
    <cellStyle name="_Others_Other_PC Products_PJ" xfId="0"/>
    <cellStyle name="_Others_Other_VSA 111014" xfId="0"/>
    <cellStyle name="_Others_Other_VSA 111014 2" xfId="0"/>
    <cellStyle name="_Others_Other_VSA 111014 3" xfId="0"/>
    <cellStyle name="_Others_Other_VSA 111014 4" xfId="0"/>
    <cellStyle name="_Others_Other_VSA 111014 4 2" xfId="0"/>
    <cellStyle name="_Others_Other_VSA 111014_By Region" xfId="0"/>
    <cellStyle name="_Others_Other_VSA 111014_CORP SG&amp;A" xfId="0"/>
    <cellStyle name="_Others_Other_VSA 111014_LCD" xfId="0"/>
    <cellStyle name="_Others_Other_VSA 111014_PJ" xfId="0"/>
    <cellStyle name="_Others_Other_VSA Roll-Up (LW)" xfId="0"/>
    <cellStyle name="_Others_Other_VSA Roll-Up (LW) 2" xfId="0"/>
    <cellStyle name="_Others_Other_VSA Roll-Up (LW) 3" xfId="0"/>
    <cellStyle name="_Others_Other_VSA Roll-Up (LW) 4" xfId="0"/>
    <cellStyle name="_Others_Other_VSA Roll-Up (LW) 4 2" xfId="0"/>
    <cellStyle name="_Others_Other_VSA Roll-Up (LW)_By Region" xfId="0"/>
    <cellStyle name="_Others_Other_VSA Roll-Up (LW)_CORP SG&amp;A" xfId="0"/>
    <cellStyle name="_Others_Other_VSA Roll-Up (LW)_LCD" xfId="0"/>
    <cellStyle name="_Others_Other_VSA Roll-Up (LW)_PJ" xfId="0"/>
    <cellStyle name="_Others_PC" xfId="0"/>
    <cellStyle name="_Others_PC 2" xfId="0"/>
    <cellStyle name="_Others_PC 3" xfId="0"/>
    <cellStyle name="_Others_PC 4" xfId="0"/>
    <cellStyle name="_Others_PC Products" xfId="0"/>
    <cellStyle name="_Others_PC Products 2" xfId="0"/>
    <cellStyle name="_Others_PC Products 3" xfId="0"/>
    <cellStyle name="_Others_PC Products 4" xfId="0"/>
    <cellStyle name="_Others_PC Products 4 2" xfId="0"/>
    <cellStyle name="_Others_PC Products_By Region" xfId="0"/>
    <cellStyle name="_Others_PC Products_CORP SG&amp;A" xfId="0"/>
    <cellStyle name="_Others_PC Products_LCD" xfId="0"/>
    <cellStyle name="_Others_PC Products_PJ" xfId="0"/>
    <cellStyle name="_Others_PC_By Region" xfId="0"/>
    <cellStyle name="_Others_PC_CORP SG&amp;A" xfId="0"/>
    <cellStyle name="_Others_PC_Digitizer" xfId="0"/>
    <cellStyle name="_Others_PC_DT" xfId="0"/>
    <cellStyle name="_Others_PC_DT 2" xfId="0"/>
    <cellStyle name="_Others_PC_DT 3" xfId="0"/>
    <cellStyle name="_Others_PC_DT_By Region" xfId="0"/>
    <cellStyle name="_Others_PC_GPS OTHER" xfId="0"/>
    <cellStyle name="_Others_PC_GPS OTHER 2" xfId="0"/>
    <cellStyle name="_Others_PC_GPS OTHER 3" xfId="0"/>
    <cellStyle name="_Others_PC_GPS OTHER 4" xfId="0"/>
    <cellStyle name="_Others_PC_GPS OTHER 4 2" xfId="0"/>
    <cellStyle name="_Others_PC_GPS OTHER_By Region" xfId="0"/>
    <cellStyle name="_Others_PC_GPS OTHER_CORP SG&amp;A" xfId="0"/>
    <cellStyle name="_Others_PC_GPS OTHER_LCD" xfId="0"/>
    <cellStyle name="_Others_PC_GPS OTHER_PJ" xfId="0"/>
    <cellStyle name="_Others_PC_LCD" xfId="0"/>
    <cellStyle name="_Others_PC_LCD 2" xfId="0"/>
    <cellStyle name="_Others_PC_LCD 3" xfId="0"/>
    <cellStyle name="_Others_PC_LCD 4" xfId="0"/>
    <cellStyle name="_Others_PC_LCD_By Region" xfId="0"/>
    <cellStyle name="_Others_PC_LCD_CORP SG&amp;A" xfId="0"/>
    <cellStyle name="_Others_PC_LCD_LCD" xfId="0"/>
    <cellStyle name="_Others_PC_LCD_PJ" xfId="0"/>
    <cellStyle name="_Others_PC_PC Products" xfId="0"/>
    <cellStyle name="_Others_PC_PC Products 2" xfId="0"/>
    <cellStyle name="_Others_PC_PC Products 3" xfId="0"/>
    <cellStyle name="_Others_PC_PC Products 4" xfId="0"/>
    <cellStyle name="_Others_PC_PC Products 4 2" xfId="0"/>
    <cellStyle name="_Others_PC_PC Products_By Region" xfId="0"/>
    <cellStyle name="_Others_PC_PC Products_CORP SG&amp;A" xfId="0"/>
    <cellStyle name="_Others_PC_PC Products_LCD" xfId="0"/>
    <cellStyle name="_Others_PC_PC Products_PJ" xfId="0"/>
    <cellStyle name="_Others_PC_TV" xfId="0"/>
    <cellStyle name="_Others_PC_TV 2" xfId="0"/>
    <cellStyle name="_Others_PC_TV 3" xfId="0"/>
    <cellStyle name="_Others_PC_TV 4" xfId="0"/>
    <cellStyle name="_Others_PC_TV_By Region" xfId="0"/>
    <cellStyle name="_Others_PC_TV_CORP SG&amp;A" xfId="0"/>
    <cellStyle name="_Others_PC_TV_Digitizer" xfId="0"/>
    <cellStyle name="_Others_PC_TV_GPS OTHER" xfId="0"/>
    <cellStyle name="_Others_PC_TV_GPS OTHER 2" xfId="0"/>
    <cellStyle name="_Others_PC_TV_GPS OTHER 3" xfId="0"/>
    <cellStyle name="_Others_PC_TV_GPS OTHER 4" xfId="0"/>
    <cellStyle name="_Others_PC_TV_GPS OTHER 4 2" xfId="0"/>
    <cellStyle name="_Others_PC_TV_GPS OTHER_By Region" xfId="0"/>
    <cellStyle name="_Others_PC_TV_GPS OTHER_CORP SG&amp;A" xfId="0"/>
    <cellStyle name="_Others_PC_TV_GPS OTHER_LCD" xfId="0"/>
    <cellStyle name="_Others_PC_TV_GPS OTHER_PJ" xfId="0"/>
    <cellStyle name="_Others_PC_TV_LCD" xfId="0"/>
    <cellStyle name="_Others_PC_TV_LCD 2" xfId="0"/>
    <cellStyle name="_Others_PC_TV_LCD 3" xfId="0"/>
    <cellStyle name="_Others_PC_TV_LCD 4" xfId="0"/>
    <cellStyle name="_Others_PC_TV_LCD_By Region" xfId="0"/>
    <cellStyle name="_Others_PC_TV_LCD_CORP SG&amp;A" xfId="0"/>
    <cellStyle name="_Others_PC_TV_LCD_LCD" xfId="0"/>
    <cellStyle name="_Others_PC_TV_LCD_PJ" xfId="0"/>
    <cellStyle name="_Others_PC_TV_PC Products" xfId="0"/>
    <cellStyle name="_Others_PC_TV_PC Products 2" xfId="0"/>
    <cellStyle name="_Others_PC_TV_PC Products 3" xfId="0"/>
    <cellStyle name="_Others_PC_TV_PC Products 4" xfId="0"/>
    <cellStyle name="_Others_PC_TV_PC Products 4 2" xfId="0"/>
    <cellStyle name="_Others_PC_TV_PC Products_By Region" xfId="0"/>
    <cellStyle name="_Others_PC_TV_PC Products_CORP SG&amp;A" xfId="0"/>
    <cellStyle name="_Others_PC_TV_PC Products_LCD" xfId="0"/>
    <cellStyle name="_Others_PC_TV_PC Products_PJ" xfId="0"/>
    <cellStyle name="_Others_PC_TV_VSA 111014" xfId="0"/>
    <cellStyle name="_Others_PC_TV_VSA 111014 2" xfId="0"/>
    <cellStyle name="_Others_PC_TV_VSA 111014 3" xfId="0"/>
    <cellStyle name="_Others_PC_TV_VSA 111014 4" xfId="0"/>
    <cellStyle name="_Others_PC_TV_VSA 111014 4 2" xfId="0"/>
    <cellStyle name="_Others_PC_TV_VSA 111014_By Region" xfId="0"/>
    <cellStyle name="_Others_PC_TV_VSA 111014_CORP SG&amp;A" xfId="0"/>
    <cellStyle name="_Others_PC_TV_VSA 111014_LCD" xfId="0"/>
    <cellStyle name="_Others_PC_TV_VSA 111014_PJ" xfId="0"/>
    <cellStyle name="_Others_PC_TV_VSA Roll-Up (LW)" xfId="0"/>
    <cellStyle name="_Others_PC_TV_VSA Roll-Up (LW) 2" xfId="0"/>
    <cellStyle name="_Others_PC_TV_VSA Roll-Up (LW) 3" xfId="0"/>
    <cellStyle name="_Others_PC_TV_VSA Roll-Up (LW) 4" xfId="0"/>
    <cellStyle name="_Others_PC_TV_VSA Roll-Up (LW) 4 2" xfId="0"/>
    <cellStyle name="_Others_PC_TV_VSA Roll-Up (LW)_By Region" xfId="0"/>
    <cellStyle name="_Others_PC_TV_VSA Roll-Up (LW)_CORP SG&amp;A" xfId="0"/>
    <cellStyle name="_Others_PC_TV_VSA Roll-Up (LW)_LCD" xfId="0"/>
    <cellStyle name="_Others_PC_TV_VSA Roll-Up (LW)_PJ" xfId="0"/>
    <cellStyle name="_Others_PC_VSA 111014" xfId="0"/>
    <cellStyle name="_Others_PC_VSA 111014 2" xfId="0"/>
    <cellStyle name="_Others_PC_VSA 111014 3" xfId="0"/>
    <cellStyle name="_Others_PC_VSA 111014 4" xfId="0"/>
    <cellStyle name="_Others_PC_VSA 111014 4 2" xfId="0"/>
    <cellStyle name="_Others_PC_VSA 111014_By Region" xfId="0"/>
    <cellStyle name="_Others_PC_VSA 111014_CORP SG&amp;A" xfId="0"/>
    <cellStyle name="_Others_PC_VSA 111014_LCD" xfId="0"/>
    <cellStyle name="_Others_PC_VSA 111014_PJ" xfId="0"/>
    <cellStyle name="_Others_PC_VSA Roll-Up (LW)" xfId="0"/>
    <cellStyle name="_Others_PC_VSA Roll-Up (LW) 2" xfId="0"/>
    <cellStyle name="_Others_PC_VSA Roll-Up (LW) 3" xfId="0"/>
    <cellStyle name="_Others_PC_VSA Roll-Up (LW) 4" xfId="0"/>
    <cellStyle name="_Others_PC_VSA Roll-Up (LW) 4 2" xfId="0"/>
    <cellStyle name="_Others_PC_VSA Roll-Up (LW)_By Region" xfId="0"/>
    <cellStyle name="_Others_PC_VSA Roll-Up (LW)_CORP SG&amp;A" xfId="0"/>
    <cellStyle name="_Others_PC_VSA Roll-Up (LW)_LCD" xfId="0"/>
    <cellStyle name="_Others_PC_VSA Roll-Up (LW)_PJ" xfId="0"/>
    <cellStyle name="_Others_PJ" xfId="0"/>
    <cellStyle name="_Others_PJ 2" xfId="0"/>
    <cellStyle name="_Others_PJ 3" xfId="0"/>
    <cellStyle name="_Others_PJ 4" xfId="0"/>
    <cellStyle name="_Others_PJ_By Region" xfId="0"/>
    <cellStyle name="_Others_PJ_CORP SG&amp;A" xfId="0"/>
    <cellStyle name="_Others_PJ_Digitizer" xfId="0"/>
    <cellStyle name="_Others_PJ_GPS OTHER" xfId="0"/>
    <cellStyle name="_Others_PJ_GPS OTHER 2" xfId="0"/>
    <cellStyle name="_Others_PJ_GPS OTHER 3" xfId="0"/>
    <cellStyle name="_Others_PJ_GPS OTHER 4" xfId="0"/>
    <cellStyle name="_Others_PJ_GPS OTHER 4 2" xfId="0"/>
    <cellStyle name="_Others_PJ_GPS OTHER_By Region" xfId="0"/>
    <cellStyle name="_Others_PJ_GPS OTHER_CORP SG&amp;A" xfId="0"/>
    <cellStyle name="_Others_PJ_GPS OTHER_LCD" xfId="0"/>
    <cellStyle name="_Others_PJ_GPS OTHER_PJ" xfId="0"/>
    <cellStyle name="_Others_PJ_LCD" xfId="0"/>
    <cellStyle name="_Others_PJ_LCD 2" xfId="0"/>
    <cellStyle name="_Others_PJ_LCD 3" xfId="0"/>
    <cellStyle name="_Others_PJ_LCD 4" xfId="0"/>
    <cellStyle name="_Others_PJ_LCD_By Region" xfId="0"/>
    <cellStyle name="_Others_PJ_LCD_CORP SG&amp;A" xfId="0"/>
    <cellStyle name="_Others_PJ_LCD_LCD" xfId="0"/>
    <cellStyle name="_Others_PJ_LCD_PJ" xfId="0"/>
    <cellStyle name="_Others_PJ_PC Products" xfId="0"/>
    <cellStyle name="_Others_PJ_PC Products 2" xfId="0"/>
    <cellStyle name="_Others_PJ_PC Products 3" xfId="0"/>
    <cellStyle name="_Others_PJ_PC Products 4" xfId="0"/>
    <cellStyle name="_Others_PJ_PC Products 4 2" xfId="0"/>
    <cellStyle name="_Others_PJ_PC Products_By Region" xfId="0"/>
    <cellStyle name="_Others_PJ_PC Products_CORP SG&amp;A" xfId="0"/>
    <cellStyle name="_Others_PJ_PC Products_LCD" xfId="0"/>
    <cellStyle name="_Others_PJ_PC Products_PJ" xfId="0"/>
    <cellStyle name="_Others_PJ_VSA 111014" xfId="0"/>
    <cellStyle name="_Others_PJ_VSA 111014 2" xfId="0"/>
    <cellStyle name="_Others_PJ_VSA 111014 3" xfId="0"/>
    <cellStyle name="_Others_PJ_VSA 111014 4" xfId="0"/>
    <cellStyle name="_Others_PJ_VSA 111014 4 2" xfId="0"/>
    <cellStyle name="_Others_PJ_VSA 111014_By Region" xfId="0"/>
    <cellStyle name="_Others_PJ_VSA 111014_CORP SG&amp;A" xfId="0"/>
    <cellStyle name="_Others_PJ_VSA 111014_LCD" xfId="0"/>
    <cellStyle name="_Others_PJ_VSA 111014_PJ" xfId="0"/>
    <cellStyle name="_Others_PJ_VSA Roll-Up (LW)" xfId="0"/>
    <cellStyle name="_Others_PJ_VSA Roll-Up (LW) 2" xfId="0"/>
    <cellStyle name="_Others_PJ_VSA Roll-Up (LW) 3" xfId="0"/>
    <cellStyle name="_Others_PJ_VSA Roll-Up (LW) 4" xfId="0"/>
    <cellStyle name="_Others_PJ_VSA Roll-Up (LW) 4 2" xfId="0"/>
    <cellStyle name="_Others_PJ_VSA Roll-Up (LW)_By Region" xfId="0"/>
    <cellStyle name="_Others_PJ_VSA Roll-Up (LW)_CORP SG&amp;A" xfId="0"/>
    <cellStyle name="_Others_PJ_VSA Roll-Up (LW)_LCD" xfId="0"/>
    <cellStyle name="_Others_PJ_VSA Roll-Up (LW)_PJ" xfId="0"/>
    <cellStyle name="_Others_PMP(VPD)" xfId="0"/>
    <cellStyle name="_Others_PMP(VPD) 2" xfId="0"/>
    <cellStyle name="_Others_PMP(VPD) 3" xfId="0"/>
    <cellStyle name="_Others_PMP(VPD) 4" xfId="0"/>
    <cellStyle name="_Others_PMP(VPD)_By Region" xfId="0"/>
    <cellStyle name="_Others_PMP(VPD)_CORP SG&amp;A" xfId="0"/>
    <cellStyle name="_Others_PMP(VPD)_Digitizer" xfId="0"/>
    <cellStyle name="_Others_PMP(VPD)_GPS OTHER" xfId="0"/>
    <cellStyle name="_Others_PMP(VPD)_GPS OTHER 2" xfId="0"/>
    <cellStyle name="_Others_PMP(VPD)_GPS OTHER 3" xfId="0"/>
    <cellStyle name="_Others_PMP(VPD)_GPS OTHER 4" xfId="0"/>
    <cellStyle name="_Others_PMP(VPD)_GPS OTHER 4 2" xfId="0"/>
    <cellStyle name="_Others_PMP(VPD)_GPS OTHER_By Region" xfId="0"/>
    <cellStyle name="_Others_PMP(VPD)_GPS OTHER_CORP SG&amp;A" xfId="0"/>
    <cellStyle name="_Others_PMP(VPD)_GPS OTHER_LCD" xfId="0"/>
    <cellStyle name="_Others_PMP(VPD)_GPS OTHER_PJ" xfId="0"/>
    <cellStyle name="_Others_PMP(VPD)_LCD" xfId="0"/>
    <cellStyle name="_Others_PMP(VPD)_LCD 2" xfId="0"/>
    <cellStyle name="_Others_PMP(VPD)_LCD 3" xfId="0"/>
    <cellStyle name="_Others_PMP(VPD)_LCD 4" xfId="0"/>
    <cellStyle name="_Others_PMP(VPD)_LCD_By Region" xfId="0"/>
    <cellStyle name="_Others_PMP(VPD)_LCD_CORP SG&amp;A" xfId="0"/>
    <cellStyle name="_Others_PMP(VPD)_LCD_LCD" xfId="0"/>
    <cellStyle name="_Others_PMP(VPD)_LCD_PJ" xfId="0"/>
    <cellStyle name="_Others_PMP(VPD)_PC Products" xfId="0"/>
    <cellStyle name="_Others_PMP(VPD)_PC Products 2" xfId="0"/>
    <cellStyle name="_Others_PMP(VPD)_PC Products 3" xfId="0"/>
    <cellStyle name="_Others_PMP(VPD)_PC Products 4" xfId="0"/>
    <cellStyle name="_Others_PMP(VPD)_PC Products 4 2" xfId="0"/>
    <cellStyle name="_Others_PMP(VPD)_PC Products_By Region" xfId="0"/>
    <cellStyle name="_Others_PMP(VPD)_PC Products_CORP SG&amp;A" xfId="0"/>
    <cellStyle name="_Others_PMP(VPD)_PC Products_LCD" xfId="0"/>
    <cellStyle name="_Others_PMP(VPD)_PC Products_PJ" xfId="0"/>
    <cellStyle name="_Others_PMP(VPD)_VSA 111014" xfId="0"/>
    <cellStyle name="_Others_PMP(VPD)_VSA 111014 2" xfId="0"/>
    <cellStyle name="_Others_PMP(VPD)_VSA 111014 3" xfId="0"/>
    <cellStyle name="_Others_PMP(VPD)_VSA 111014 4" xfId="0"/>
    <cellStyle name="_Others_PMP(VPD)_VSA 111014 4 2" xfId="0"/>
    <cellStyle name="_Others_PMP(VPD)_VSA 111014_By Region" xfId="0"/>
    <cellStyle name="_Others_PMP(VPD)_VSA 111014_CORP SG&amp;A" xfId="0"/>
    <cellStyle name="_Others_PMP(VPD)_VSA 111014_LCD" xfId="0"/>
    <cellStyle name="_Others_PMP(VPD)_VSA 111014_PJ" xfId="0"/>
    <cellStyle name="_Others_PMP(VPD)_VSA Roll-Up (LW)" xfId="0"/>
    <cellStyle name="_Others_PMP(VPD)_VSA Roll-Up (LW) 2" xfId="0"/>
    <cellStyle name="_Others_PMP(VPD)_VSA Roll-Up (LW) 3" xfId="0"/>
    <cellStyle name="_Others_PMP(VPD)_VSA Roll-Up (LW) 4" xfId="0"/>
    <cellStyle name="_Others_PMP(VPD)_VSA Roll-Up (LW) 4 2" xfId="0"/>
    <cellStyle name="_Others_PMP(VPD)_VSA Roll-Up (LW)_By Region" xfId="0"/>
    <cellStyle name="_Others_PMP(VPD)_VSA Roll-Up (LW)_CORP SG&amp;A" xfId="0"/>
    <cellStyle name="_Others_PMP(VPD)_VSA Roll-Up (LW)_LCD" xfId="0"/>
    <cellStyle name="_Others_PMP(VPD)_VSA Roll-Up (LW)_PJ" xfId="0"/>
    <cellStyle name="_Others_Pocket TV" xfId="0"/>
    <cellStyle name="_Others_Pocket TV 2" xfId="0"/>
    <cellStyle name="_Others_Pocket TV 3" xfId="0"/>
    <cellStyle name="_Others_Pocket TV 4" xfId="0"/>
    <cellStyle name="_Others_Pocket TV_By Region" xfId="0"/>
    <cellStyle name="_Others_Pocket TV_CORP SG&amp;A" xfId="0"/>
    <cellStyle name="_Others_Pocket TV_Digitizer" xfId="0"/>
    <cellStyle name="_Others_Pocket TV_GPS OTHER" xfId="0"/>
    <cellStyle name="_Others_Pocket TV_GPS OTHER 2" xfId="0"/>
    <cellStyle name="_Others_Pocket TV_GPS OTHER 3" xfId="0"/>
    <cellStyle name="_Others_Pocket TV_GPS OTHER 4" xfId="0"/>
    <cellStyle name="_Others_Pocket TV_GPS OTHER 4 2" xfId="0"/>
    <cellStyle name="_Others_Pocket TV_GPS OTHER_By Region" xfId="0"/>
    <cellStyle name="_Others_Pocket TV_GPS OTHER_CORP SG&amp;A" xfId="0"/>
    <cellStyle name="_Others_Pocket TV_GPS OTHER_LCD" xfId="0"/>
    <cellStyle name="_Others_Pocket TV_GPS OTHER_PJ" xfId="0"/>
    <cellStyle name="_Others_Pocket TV_LCD" xfId="0"/>
    <cellStyle name="_Others_Pocket TV_LCD 2" xfId="0"/>
    <cellStyle name="_Others_Pocket TV_LCD 3" xfId="0"/>
    <cellStyle name="_Others_Pocket TV_LCD 4" xfId="0"/>
    <cellStyle name="_Others_Pocket TV_LCD_By Region" xfId="0"/>
    <cellStyle name="_Others_Pocket TV_LCD_CORP SG&amp;A" xfId="0"/>
    <cellStyle name="_Others_Pocket TV_LCD_LCD" xfId="0"/>
    <cellStyle name="_Others_Pocket TV_LCD_PJ" xfId="0"/>
    <cellStyle name="_Others_Pocket TV_PC Products" xfId="0"/>
    <cellStyle name="_Others_Pocket TV_PC Products 2" xfId="0"/>
    <cellStyle name="_Others_Pocket TV_PC Products 3" xfId="0"/>
    <cellStyle name="_Others_Pocket TV_PC Products 4" xfId="0"/>
    <cellStyle name="_Others_Pocket TV_PC Products 4 2" xfId="0"/>
    <cellStyle name="_Others_Pocket TV_PC Products_By Region" xfId="0"/>
    <cellStyle name="_Others_Pocket TV_PC Products_CORP SG&amp;A" xfId="0"/>
    <cellStyle name="_Others_Pocket TV_PC Products_LCD" xfId="0"/>
    <cellStyle name="_Others_Pocket TV_PC Products_PJ" xfId="0"/>
    <cellStyle name="_Others_Pocket TV_VSA 111014" xfId="0"/>
    <cellStyle name="_Others_Pocket TV_VSA 111014 2" xfId="0"/>
    <cellStyle name="_Others_Pocket TV_VSA 111014 3" xfId="0"/>
    <cellStyle name="_Others_Pocket TV_VSA 111014 4" xfId="0"/>
    <cellStyle name="_Others_Pocket TV_VSA 111014 4 2" xfId="0"/>
    <cellStyle name="_Others_Pocket TV_VSA 111014_By Region" xfId="0"/>
    <cellStyle name="_Others_Pocket TV_VSA 111014_CORP SG&amp;A" xfId="0"/>
    <cellStyle name="_Others_Pocket TV_VSA 111014_LCD" xfId="0"/>
    <cellStyle name="_Others_Pocket TV_VSA 111014_PJ" xfId="0"/>
    <cellStyle name="_Others_Pocket TV_VSA Roll-Up (LW)" xfId="0"/>
    <cellStyle name="_Others_Pocket TV_VSA Roll-Up (LW) 2" xfId="0"/>
    <cellStyle name="_Others_Pocket TV_VSA Roll-Up (LW) 3" xfId="0"/>
    <cellStyle name="_Others_Pocket TV_VSA Roll-Up (LW) 4" xfId="0"/>
    <cellStyle name="_Others_Pocket TV_VSA Roll-Up (LW) 4 2" xfId="0"/>
    <cellStyle name="_Others_Pocket TV_VSA Roll-Up (LW)_By Region" xfId="0"/>
    <cellStyle name="_Others_Pocket TV_VSA Roll-Up (LW)_CORP SG&amp;A" xfId="0"/>
    <cellStyle name="_Others_Pocket TV_VSA Roll-Up (LW)_LCD" xfId="0"/>
    <cellStyle name="_Others_Pocket TV_VSA Roll-Up (LW)_PJ" xfId="0"/>
    <cellStyle name="_Others_Pocket_TV" xfId="0"/>
    <cellStyle name="_Others_Pocket_TV 2" xfId="0"/>
    <cellStyle name="_Others_Pocket_TV 3" xfId="0"/>
    <cellStyle name="_Others_Pocket_TV 4" xfId="0"/>
    <cellStyle name="_Others_Pocket_TV_By Region" xfId="0"/>
    <cellStyle name="_Others_Pocket_TV_CORP SG&amp;A" xfId="0"/>
    <cellStyle name="_Others_Pocket_TV_Digitizer" xfId="0"/>
    <cellStyle name="_Others_Pocket_TV_GPS OTHER" xfId="0"/>
    <cellStyle name="_Others_Pocket_TV_GPS OTHER 2" xfId="0"/>
    <cellStyle name="_Others_Pocket_TV_GPS OTHER 3" xfId="0"/>
    <cellStyle name="_Others_Pocket_TV_GPS OTHER 4" xfId="0"/>
    <cellStyle name="_Others_Pocket_TV_GPS OTHER 4 2" xfId="0"/>
    <cellStyle name="_Others_Pocket_TV_GPS OTHER_By Region" xfId="0"/>
    <cellStyle name="_Others_Pocket_TV_GPS OTHER_CORP SG&amp;A" xfId="0"/>
    <cellStyle name="_Others_Pocket_TV_GPS OTHER_LCD" xfId="0"/>
    <cellStyle name="_Others_Pocket_TV_GPS OTHER_PJ" xfId="0"/>
    <cellStyle name="_Others_Pocket_TV_LCD" xfId="0"/>
    <cellStyle name="_Others_Pocket_TV_LCD 2" xfId="0"/>
    <cellStyle name="_Others_Pocket_TV_LCD 3" xfId="0"/>
    <cellStyle name="_Others_Pocket_TV_LCD 4" xfId="0"/>
    <cellStyle name="_Others_Pocket_TV_LCD_By Region" xfId="0"/>
    <cellStyle name="_Others_Pocket_TV_LCD_CORP SG&amp;A" xfId="0"/>
    <cellStyle name="_Others_Pocket_TV_LCD_LCD" xfId="0"/>
    <cellStyle name="_Others_Pocket_TV_LCD_PJ" xfId="0"/>
    <cellStyle name="_Others_Pocket_TV_PC Products" xfId="0"/>
    <cellStyle name="_Others_Pocket_TV_PC Products 2" xfId="0"/>
    <cellStyle name="_Others_Pocket_TV_PC Products 3" xfId="0"/>
    <cellStyle name="_Others_Pocket_TV_PC Products 4" xfId="0"/>
    <cellStyle name="_Others_Pocket_TV_PC Products 4 2" xfId="0"/>
    <cellStyle name="_Others_Pocket_TV_PC Products_By Region" xfId="0"/>
    <cellStyle name="_Others_Pocket_TV_PC Products_CORP SG&amp;A" xfId="0"/>
    <cellStyle name="_Others_Pocket_TV_PC Products_LCD" xfId="0"/>
    <cellStyle name="_Others_Pocket_TV_PC Products_PJ" xfId="0"/>
    <cellStyle name="_Others_Pocket_TV_VSA 111014" xfId="0"/>
    <cellStyle name="_Others_Pocket_TV_VSA 111014 2" xfId="0"/>
    <cellStyle name="_Others_Pocket_TV_VSA 111014 3" xfId="0"/>
    <cellStyle name="_Others_Pocket_TV_VSA 111014 4" xfId="0"/>
    <cellStyle name="_Others_Pocket_TV_VSA 111014 4 2" xfId="0"/>
    <cellStyle name="_Others_Pocket_TV_VSA 111014_By Region" xfId="0"/>
    <cellStyle name="_Others_Pocket_TV_VSA 111014_CORP SG&amp;A" xfId="0"/>
    <cellStyle name="_Others_Pocket_TV_VSA 111014_LCD" xfId="0"/>
    <cellStyle name="_Others_Pocket_TV_VSA 111014_PJ" xfId="0"/>
    <cellStyle name="_Others_Pocket_TV_VSA Roll-Up (LW)" xfId="0"/>
    <cellStyle name="_Others_Pocket_TV_VSA Roll-Up (LW) 2" xfId="0"/>
    <cellStyle name="_Others_Pocket_TV_VSA Roll-Up (LW) 3" xfId="0"/>
    <cellStyle name="_Others_Pocket_TV_VSA Roll-Up (LW) 4" xfId="0"/>
    <cellStyle name="_Others_Pocket_TV_VSA Roll-Up (LW) 4 2" xfId="0"/>
    <cellStyle name="_Others_Pocket_TV_VSA Roll-Up (LW)_By Region" xfId="0"/>
    <cellStyle name="_Others_Pocket_TV_VSA Roll-Up (LW)_CORP SG&amp;A" xfId="0"/>
    <cellStyle name="_Others_Pocket_TV_VSA Roll-Up (LW)_LCD" xfId="0"/>
    <cellStyle name="_Others_Pocket_TV_VSA Roll-Up (LW)_PJ" xfId="0"/>
    <cellStyle name="_Others_TV" xfId="0"/>
    <cellStyle name="_Others_TV 2" xfId="0"/>
    <cellStyle name="_Others_TV 3" xfId="0"/>
    <cellStyle name="_Others_TV 4" xfId="0"/>
    <cellStyle name="_Others_TV_By Region" xfId="0"/>
    <cellStyle name="_Others_TV_CORP SG&amp;A" xfId="0"/>
    <cellStyle name="_Others_TV_Digitizer" xfId="0"/>
    <cellStyle name="_Others_TV_GPS OTHER" xfId="0"/>
    <cellStyle name="_Others_TV_GPS OTHER 2" xfId="0"/>
    <cellStyle name="_Others_TV_GPS OTHER 3" xfId="0"/>
    <cellStyle name="_Others_TV_GPS OTHER 4" xfId="0"/>
    <cellStyle name="_Others_TV_GPS OTHER 4 2" xfId="0"/>
    <cellStyle name="_Others_TV_GPS OTHER_By Region" xfId="0"/>
    <cellStyle name="_Others_TV_GPS OTHER_CORP SG&amp;A" xfId="0"/>
    <cellStyle name="_Others_TV_GPS OTHER_LCD" xfId="0"/>
    <cellStyle name="_Others_TV_GPS OTHER_PJ" xfId="0"/>
    <cellStyle name="_Others_TV_LCD" xfId="0"/>
    <cellStyle name="_Others_TV_LCD 2" xfId="0"/>
    <cellStyle name="_Others_TV_LCD 3" xfId="0"/>
    <cellStyle name="_Others_TV_LCD 4" xfId="0"/>
    <cellStyle name="_Others_TV_LCD_By Region" xfId="0"/>
    <cellStyle name="_Others_TV_LCD_CORP SG&amp;A" xfId="0"/>
    <cellStyle name="_Others_TV_LCD_LCD" xfId="0"/>
    <cellStyle name="_Others_TV_LCD_PJ" xfId="0"/>
    <cellStyle name="_Others_TV_PC Products" xfId="0"/>
    <cellStyle name="_Others_TV_PC Products 2" xfId="0"/>
    <cellStyle name="_Others_TV_PC Products 3" xfId="0"/>
    <cellStyle name="_Others_TV_PC Products 4" xfId="0"/>
    <cellStyle name="_Others_TV_PC Products 4 2" xfId="0"/>
    <cellStyle name="_Others_TV_PC Products_By Region" xfId="0"/>
    <cellStyle name="_Others_TV_PC Products_CORP SG&amp;A" xfId="0"/>
    <cellStyle name="_Others_TV_PC Products_LCD" xfId="0"/>
    <cellStyle name="_Others_TV_PC Products_PJ" xfId="0"/>
    <cellStyle name="_Others_TV_VSA 111014" xfId="0"/>
    <cellStyle name="_Others_TV_VSA 111014 2" xfId="0"/>
    <cellStyle name="_Others_TV_VSA 111014 3" xfId="0"/>
    <cellStyle name="_Others_TV_VSA 111014 4" xfId="0"/>
    <cellStyle name="_Others_TV_VSA 111014 4 2" xfId="0"/>
    <cellStyle name="_Others_TV_VSA 111014_By Region" xfId="0"/>
    <cellStyle name="_Others_TV_VSA 111014_CORP SG&amp;A" xfId="0"/>
    <cellStyle name="_Others_TV_VSA 111014_LCD" xfId="0"/>
    <cellStyle name="_Others_TV_VSA 111014_PJ" xfId="0"/>
    <cellStyle name="_Others_TV_VSA Roll-Up (LW)" xfId="0"/>
    <cellStyle name="_Others_TV_VSA Roll-Up (LW) 2" xfId="0"/>
    <cellStyle name="_Others_TV_VSA Roll-Up (LW) 3" xfId="0"/>
    <cellStyle name="_Others_TV_VSA Roll-Up (LW) 4" xfId="0"/>
    <cellStyle name="_Others_TV_VSA Roll-Up (LW) 4 2" xfId="0"/>
    <cellStyle name="_Others_TV_VSA Roll-Up (LW)_By Region" xfId="0"/>
    <cellStyle name="_Others_TV_VSA Roll-Up (LW)_CORP SG&amp;A" xfId="0"/>
    <cellStyle name="_Others_TV_VSA Roll-Up (LW)_LCD" xfId="0"/>
    <cellStyle name="_Others_TV_VSA Roll-Up (LW)_PJ" xfId="0"/>
    <cellStyle name="_Others_VD" xfId="0"/>
    <cellStyle name="_Others_VD 2" xfId="0"/>
    <cellStyle name="_Others_VD 3" xfId="0"/>
    <cellStyle name="_Others_VD 4" xfId="0"/>
    <cellStyle name="_Others_VD_By Region" xfId="0"/>
    <cellStyle name="_Others_VD_CORP SG&amp;A" xfId="0"/>
    <cellStyle name="_Others_VD_Digitizer" xfId="0"/>
    <cellStyle name="_Others_VD_GPS OTHER" xfId="0"/>
    <cellStyle name="_Others_VD_GPS OTHER 2" xfId="0"/>
    <cellStyle name="_Others_VD_GPS OTHER 3" xfId="0"/>
    <cellStyle name="_Others_VD_GPS OTHER 4" xfId="0"/>
    <cellStyle name="_Others_VD_GPS OTHER 4 2" xfId="0"/>
    <cellStyle name="_Others_VD_GPS OTHER_By Region" xfId="0"/>
    <cellStyle name="_Others_VD_GPS OTHER_CORP SG&amp;A" xfId="0"/>
    <cellStyle name="_Others_VD_GPS OTHER_LCD" xfId="0"/>
    <cellStyle name="_Others_VD_GPS OTHER_PJ" xfId="0"/>
    <cellStyle name="_Others_VD_LCD" xfId="0"/>
    <cellStyle name="_Others_VD_LCD 2" xfId="0"/>
    <cellStyle name="_Others_VD_LCD 3" xfId="0"/>
    <cellStyle name="_Others_VD_LCD 4" xfId="0"/>
    <cellStyle name="_Others_VD_LCD_By Region" xfId="0"/>
    <cellStyle name="_Others_VD_LCD_CORP SG&amp;A" xfId="0"/>
    <cellStyle name="_Others_VD_LCD_LCD" xfId="0"/>
    <cellStyle name="_Others_VD_LCD_PJ" xfId="0"/>
    <cellStyle name="_Others_VD_PC Products" xfId="0"/>
    <cellStyle name="_Others_VD_PC Products 2" xfId="0"/>
    <cellStyle name="_Others_VD_PC Products 3" xfId="0"/>
    <cellStyle name="_Others_VD_PC Products 4" xfId="0"/>
    <cellStyle name="_Others_VD_PC Products 4 2" xfId="0"/>
    <cellStyle name="_Others_VD_PC Products_By Region" xfId="0"/>
    <cellStyle name="_Others_VD_PC Products_CORP SG&amp;A" xfId="0"/>
    <cellStyle name="_Others_VD_PC Products_LCD" xfId="0"/>
    <cellStyle name="_Others_VD_PC Products_PJ" xfId="0"/>
    <cellStyle name="_Others_VD_VSA 111014" xfId="0"/>
    <cellStyle name="_Others_VD_VSA 111014 2" xfId="0"/>
    <cellStyle name="_Others_VD_VSA 111014 3" xfId="0"/>
    <cellStyle name="_Others_VD_VSA 111014 4" xfId="0"/>
    <cellStyle name="_Others_VD_VSA 111014 4 2" xfId="0"/>
    <cellStyle name="_Others_VD_VSA 111014_By Region" xfId="0"/>
    <cellStyle name="_Others_VD_VSA 111014_CORP SG&amp;A" xfId="0"/>
    <cellStyle name="_Others_VD_VSA 111014_LCD" xfId="0"/>
    <cellStyle name="_Others_VD_VSA 111014_PJ" xfId="0"/>
    <cellStyle name="_Others_VD_VSA Roll-Up (LW)" xfId="0"/>
    <cellStyle name="_Others_VD_VSA Roll-Up (LW) 2" xfId="0"/>
    <cellStyle name="_Others_VD_VSA Roll-Up (LW) 3" xfId="0"/>
    <cellStyle name="_Others_VD_VSA Roll-Up (LW) 4" xfId="0"/>
    <cellStyle name="_Others_VD_VSA Roll-Up (LW) 4 2" xfId="0"/>
    <cellStyle name="_Others_VD_VSA Roll-Up (LW)_By Region" xfId="0"/>
    <cellStyle name="_Others_VD_VSA Roll-Up (LW)_CORP SG&amp;A" xfId="0"/>
    <cellStyle name="_Others_VD_VSA Roll-Up (LW)_LCD" xfId="0"/>
    <cellStyle name="_Others_VD_VSA Roll-Up (LW)_PJ" xfId="0"/>
    <cellStyle name="_Others_VSA 111014" xfId="0"/>
    <cellStyle name="_Others_VSA 111014 2" xfId="0"/>
    <cellStyle name="_Others_VSA 111014 3" xfId="0"/>
    <cellStyle name="_Others_VSA 111014 4" xfId="0"/>
    <cellStyle name="_Others_VSA 111014 4 2" xfId="0"/>
    <cellStyle name="_Others_VSA 111014_By Region" xfId="0"/>
    <cellStyle name="_Others_VSA 111014_CORP SG&amp;A" xfId="0"/>
    <cellStyle name="_Others_VSA 111014_LCD" xfId="0"/>
    <cellStyle name="_Others_VSA 111014_PJ" xfId="0"/>
    <cellStyle name="_Others_VSA Roll-Up (LW)" xfId="0"/>
    <cellStyle name="_Others_VSA Roll-Up (LW) 2" xfId="0"/>
    <cellStyle name="_Others_VSA Roll-Up (LW) 3" xfId="0"/>
    <cellStyle name="_Others_VSA Roll-Up (LW) 4" xfId="0"/>
    <cellStyle name="_Others_VSA Roll-Up (LW) 4 2" xfId="0"/>
    <cellStyle name="_Others_VSA Roll-Up (LW)_By Region" xfId="0"/>
    <cellStyle name="_Others_VSA Roll-Up (LW)_CORP SG&amp;A" xfId="0"/>
    <cellStyle name="_Others_VSA Roll-Up (LW)_LCD" xfId="0"/>
    <cellStyle name="_Others_VSA Roll-Up (LW)_PJ" xfId="0"/>
    <cellStyle name="_Others_VSE 2011 Budget" xfId="0"/>
    <cellStyle name="_Others_VSE 2011 Budget 2" xfId="0"/>
    <cellStyle name="_Others_VSE 2011 Budget 3" xfId="0"/>
    <cellStyle name="_Others_VSE 2011 Budget 4" xfId="0"/>
    <cellStyle name="_Others_VSE 2011 Budget_By Region" xfId="0"/>
    <cellStyle name="_Others_VSE 2011 Budget_CORP SG&amp;A" xfId="0"/>
    <cellStyle name="_Others_VSE 2011 Budget_Digitizer" xfId="0"/>
    <cellStyle name="_Others_VSE 2011 Budget_GPS OTHER" xfId="0"/>
    <cellStyle name="_Others_VSE 2011 Budget_GPS OTHER 2" xfId="0"/>
    <cellStyle name="_Others_VSE 2011 Budget_GPS OTHER 3" xfId="0"/>
    <cellStyle name="_Others_VSE 2011 Budget_GPS OTHER 4" xfId="0"/>
    <cellStyle name="_Others_VSE 2011 Budget_GPS OTHER 4 2" xfId="0"/>
    <cellStyle name="_Others_VSE 2011 Budget_GPS OTHER_By Region" xfId="0"/>
    <cellStyle name="_Others_VSE 2011 Budget_GPS OTHER_CORP SG&amp;A" xfId="0"/>
    <cellStyle name="_Others_VSE 2011 Budget_GPS OTHER_LCD" xfId="0"/>
    <cellStyle name="_Others_VSE 2011 Budget_GPS OTHER_PJ" xfId="0"/>
    <cellStyle name="_Others_VSE 2011 Budget_LCD" xfId="0"/>
    <cellStyle name="_Others_VSE 2011 Budget_LCD 2" xfId="0"/>
    <cellStyle name="_Others_VSE 2011 Budget_LCD 3" xfId="0"/>
    <cellStyle name="_Others_VSE 2011 Budget_LCD 4" xfId="0"/>
    <cellStyle name="_Others_VSE 2011 Budget_LCD_By Region" xfId="0"/>
    <cellStyle name="_Others_VSE 2011 Budget_LCD_CORP SG&amp;A" xfId="0"/>
    <cellStyle name="_Others_VSE 2011 Budget_LCD_LCD" xfId="0"/>
    <cellStyle name="_Others_VSE 2011 Budget_LCD_PJ" xfId="0"/>
    <cellStyle name="_Others_VSE 2011 Budget_PC Products" xfId="0"/>
    <cellStyle name="_Others_VSE 2011 Budget_PC Products 2" xfId="0"/>
    <cellStyle name="_Others_VSE 2011 Budget_PC Products 3" xfId="0"/>
    <cellStyle name="_Others_VSE 2011 Budget_PC Products 4" xfId="0"/>
    <cellStyle name="_Others_VSE 2011 Budget_PC Products 4 2" xfId="0"/>
    <cellStyle name="_Others_VSE 2011 Budget_PC Products_By Region" xfId="0"/>
    <cellStyle name="_Others_VSE 2011 Budget_PC Products_CORP SG&amp;A" xfId="0"/>
    <cellStyle name="_Others_VSE 2011 Budget_PC Products_LCD" xfId="0"/>
    <cellStyle name="_Others_VSE 2011 Budget_PC Products_PJ" xfId="0"/>
    <cellStyle name="_Others_VSE 2011 Budget_VSA 111014" xfId="0"/>
    <cellStyle name="_Others_VSE 2011 Budget_VSA 111014 2" xfId="0"/>
    <cellStyle name="_Others_VSE 2011 Budget_VSA 111014 3" xfId="0"/>
    <cellStyle name="_Others_VSE 2011 Budget_VSA 111014 4" xfId="0"/>
    <cellStyle name="_Others_VSE 2011 Budget_VSA 111014 4 2" xfId="0"/>
    <cellStyle name="_Others_VSE 2011 Budget_VSA 111014_By Region" xfId="0"/>
    <cellStyle name="_Others_VSE 2011 Budget_VSA 111014_CORP SG&amp;A" xfId="0"/>
    <cellStyle name="_Others_VSE 2011 Budget_VSA 111014_LCD" xfId="0"/>
    <cellStyle name="_Others_VSE 2011 Budget_VSA 111014_PJ" xfId="0"/>
    <cellStyle name="_Others_VSE 2011 Budget_VSA Roll-Up (LW)" xfId="0"/>
    <cellStyle name="_Others_VSE 2011 Budget_VSA Roll-Up (LW) 2" xfId="0"/>
    <cellStyle name="_Others_VSE 2011 Budget_VSA Roll-Up (LW) 3" xfId="0"/>
    <cellStyle name="_Others_VSE 2011 Budget_VSA Roll-Up (LW) 4" xfId="0"/>
    <cellStyle name="_Others_VSE 2011 Budget_VSA Roll-Up (LW) 4 2" xfId="0"/>
    <cellStyle name="_Others_VSE 2011 Budget_VSA Roll-Up (LW)_By Region" xfId="0"/>
    <cellStyle name="_Others_VSE 2011 Budget_VSA Roll-Up (LW)_CORP SG&amp;A" xfId="0"/>
    <cellStyle name="_Others_VSE 2011 Budget_VSA Roll-Up (LW)_LCD" xfId="0"/>
    <cellStyle name="_Others_VSE 2011 Budget_VSA Roll-Up (LW)_PJ" xfId="0"/>
    <cellStyle name="_Others_VSE 2H  WFP review (Spring Global meeting)-conservative Adam working v3" xfId="0"/>
    <cellStyle name="_Others_VSE 2H  WFP review (Spring Global meeting)-conservative Adam working v3 2" xfId="0"/>
    <cellStyle name="_Others_VSE 2H  WFP review (Spring Global meeting)-conservative Adam working v3 3" xfId="0"/>
    <cellStyle name="_Others_VSE 2H Rebalance 110712" xfId="0"/>
    <cellStyle name="_Others_VSE 2H Rebalance 110712 2" xfId="0"/>
    <cellStyle name="_Others_VSE 2H Rebalance 110712 3" xfId="0"/>
    <cellStyle name="_Others_VSE 2H Rebalance 110712 4" xfId="0"/>
    <cellStyle name="_Others_VSE 2H Rebalance 110712_By Region" xfId="0"/>
    <cellStyle name="_Others_VSE 2H Rebalance 110712_CORP SG&amp;A" xfId="0"/>
    <cellStyle name="_Others_VSE WFP 101203" xfId="0"/>
    <cellStyle name="_Others_VSE WFP 101203 2" xfId="0"/>
    <cellStyle name="_Others_VSE WFP 101203 3" xfId="0"/>
    <cellStyle name="_Others_VSE WFP 101203 4" xfId="0"/>
    <cellStyle name="_Others_VSE WFP 101203_By Region" xfId="0"/>
    <cellStyle name="_Others_VSE WFP 101203_CORP SG&amp;A" xfId="0"/>
    <cellStyle name="_Others_VSE WFP 110311" xfId="0"/>
    <cellStyle name="_Others_VSE WFP 110311 2" xfId="0"/>
    <cellStyle name="_Others_VSE WFP 110311 3" xfId="0"/>
    <cellStyle name="_Others_VSE WFP 110311 4" xfId="0"/>
    <cellStyle name="_Others_VSE WFP 110311_By Region" xfId="0"/>
    <cellStyle name="_Others_VSE WFP 110311_CORP SG&amp;A" xfId="0"/>
    <cellStyle name="_Others_VSE WFP 110415" xfId="0"/>
    <cellStyle name="_Others_VSE WFP 110415 2" xfId="0"/>
    <cellStyle name="_Others_VSE WFP 110415 3" xfId="0"/>
    <cellStyle name="_Others_VSE WFP 110415 4" xfId="0"/>
    <cellStyle name="_Others_VSE WFP 110415_By Region" xfId="0"/>
    <cellStyle name="_Others_VSE WFP 110415_CORP SG&amp;A" xfId="0"/>
    <cellStyle name="_Others_VSE WFP_100409" xfId="0"/>
    <cellStyle name="_Others_VSE WFP_100409 2" xfId="0"/>
    <cellStyle name="_Others_VSE WFP_100409 3" xfId="0"/>
    <cellStyle name="_Others_VSE WFP_100409 4" xfId="0"/>
    <cellStyle name="_Others_VSE WFP_100409_By Region" xfId="0"/>
    <cellStyle name="_Others_VSE WFP_100409_CORP SG&amp;A" xfId="0"/>
    <cellStyle name="_Others_VSE WFP_100409_Digitizer" xfId="0"/>
    <cellStyle name="_Others_VSE WFP_100409_GPS OTHER" xfId="0"/>
    <cellStyle name="_Others_VSE WFP_100409_GPS OTHER 2" xfId="0"/>
    <cellStyle name="_Others_VSE WFP_100409_GPS OTHER 3" xfId="0"/>
    <cellStyle name="_Others_VSE WFP_100409_GPS OTHER 4" xfId="0"/>
    <cellStyle name="_Others_VSE WFP_100409_GPS OTHER 4 2" xfId="0"/>
    <cellStyle name="_Others_VSE WFP_100409_GPS OTHER_By Region" xfId="0"/>
    <cellStyle name="_Others_VSE WFP_100409_GPS OTHER_CORP SG&amp;A" xfId="0"/>
    <cellStyle name="_Others_VSE WFP_100409_GPS OTHER_LCD" xfId="0"/>
    <cellStyle name="_Others_VSE WFP_100409_GPS OTHER_PJ" xfId="0"/>
    <cellStyle name="_Others_VSE WFP_100409_LCD" xfId="0"/>
    <cellStyle name="_Others_VSE WFP_100409_LCD 2" xfId="0"/>
    <cellStyle name="_Others_VSE WFP_100409_LCD 3" xfId="0"/>
    <cellStyle name="_Others_VSE WFP_100409_LCD 4" xfId="0"/>
    <cellStyle name="_Others_VSE WFP_100409_LCD_By Region" xfId="0"/>
    <cellStyle name="_Others_VSE WFP_100409_LCD_CORP SG&amp;A" xfId="0"/>
    <cellStyle name="_Others_VSE WFP_100409_LCD_LCD" xfId="0"/>
    <cellStyle name="_Others_VSE WFP_100409_LCD_PJ" xfId="0"/>
    <cellStyle name="_Others_VSE WFP_100409_PC Products" xfId="0"/>
    <cellStyle name="_Others_VSE WFP_100409_PC Products 2" xfId="0"/>
    <cellStyle name="_Others_VSE WFP_100409_PC Products 3" xfId="0"/>
    <cellStyle name="_Others_VSE WFP_100409_PC Products 4" xfId="0"/>
    <cellStyle name="_Others_VSE WFP_100409_PC Products 4 2" xfId="0"/>
    <cellStyle name="_Others_VSE WFP_100409_PC Products_By Region" xfId="0"/>
    <cellStyle name="_Others_VSE WFP_100409_PC Products_CORP SG&amp;A" xfId="0"/>
    <cellStyle name="_Others_VSE WFP_100409_PC Products_LCD" xfId="0"/>
    <cellStyle name="_Others_VSE WFP_100409_PC Products_PJ" xfId="0"/>
    <cellStyle name="_Others_VSE WFP_100409_VSA 111014" xfId="0"/>
    <cellStyle name="_Others_VSE WFP_100409_VSA 111014 2" xfId="0"/>
    <cellStyle name="_Others_VSE WFP_100409_VSA 111014 3" xfId="0"/>
    <cellStyle name="_Others_VSE WFP_100409_VSA 111014 4" xfId="0"/>
    <cellStyle name="_Others_VSE WFP_100409_VSA 111014 4 2" xfId="0"/>
    <cellStyle name="_Others_VSE WFP_100409_VSA 111014_By Region" xfId="0"/>
    <cellStyle name="_Others_VSE WFP_100409_VSA 111014_CORP SG&amp;A" xfId="0"/>
    <cellStyle name="_Others_VSE WFP_100409_VSA 111014_LCD" xfId="0"/>
    <cellStyle name="_Others_VSE WFP_100409_VSA 111014_PJ" xfId="0"/>
    <cellStyle name="_Others_VSE WFP_100409_VSA Roll-Up (LW)" xfId="0"/>
    <cellStyle name="_Others_VSE WFP_100409_VSA Roll-Up (LW) 2" xfId="0"/>
    <cellStyle name="_Others_VSE WFP_100409_VSA Roll-Up (LW) 3" xfId="0"/>
    <cellStyle name="_Others_VSE WFP_100409_VSA Roll-Up (LW) 4" xfId="0"/>
    <cellStyle name="_Others_VSE WFP_100409_VSA Roll-Up (LW) 4 2" xfId="0"/>
    <cellStyle name="_Others_VSE WFP_100409_VSA Roll-Up (LW)_By Region" xfId="0"/>
    <cellStyle name="_Others_VSE WFP_100409_VSA Roll-Up (LW)_CORP SG&amp;A" xfId="0"/>
    <cellStyle name="_Others_VSE WFP_100409_VSA Roll-Up (LW)_LCD" xfId="0"/>
    <cellStyle name="_Others_VSE WFP_100409_VSA Roll-Up (LW)_PJ" xfId="0"/>
    <cellStyle name="_Others_VSE WFP_100421 v2" xfId="0"/>
    <cellStyle name="_Others_VSE WFP_100421 v2 2" xfId="0"/>
    <cellStyle name="_Others_VSE WFP_100421 v2 3" xfId="0"/>
    <cellStyle name="_Others_VSE WFP_100421 v2 4" xfId="0"/>
    <cellStyle name="_Others_VSE WFP_100421 v2_By Region" xfId="0"/>
    <cellStyle name="_Others_VSE WFP_100421 v2_CORP SG&amp;A" xfId="0"/>
    <cellStyle name="_Others_VSE WFP_100421 v2_Digitizer" xfId="0"/>
    <cellStyle name="_Others_VSE WFP_100421 v2_GPS OTHER" xfId="0"/>
    <cellStyle name="_Others_VSE WFP_100421 v2_GPS OTHER 2" xfId="0"/>
    <cellStyle name="_Others_VSE WFP_100421 v2_GPS OTHER 3" xfId="0"/>
    <cellStyle name="_Others_VSE WFP_100421 v2_GPS OTHER 4" xfId="0"/>
    <cellStyle name="_Others_VSE WFP_100421 v2_GPS OTHER 4 2" xfId="0"/>
    <cellStyle name="_Others_VSE WFP_100421 v2_GPS OTHER_By Region" xfId="0"/>
    <cellStyle name="_Others_VSE WFP_100421 v2_GPS OTHER_CORP SG&amp;A" xfId="0"/>
    <cellStyle name="_Others_VSE WFP_100421 v2_GPS OTHER_LCD" xfId="0"/>
    <cellStyle name="_Others_VSE WFP_100421 v2_GPS OTHER_PJ" xfId="0"/>
    <cellStyle name="_Others_VSE WFP_100421 v2_LCD" xfId="0"/>
    <cellStyle name="_Others_VSE WFP_100421 v2_LCD 2" xfId="0"/>
    <cellStyle name="_Others_VSE WFP_100421 v2_LCD 3" xfId="0"/>
    <cellStyle name="_Others_VSE WFP_100421 v2_LCD 4" xfId="0"/>
    <cellStyle name="_Others_VSE WFP_100421 v2_LCD_By Region" xfId="0"/>
    <cellStyle name="_Others_VSE WFP_100421 v2_LCD_CORP SG&amp;A" xfId="0"/>
    <cellStyle name="_Others_VSE WFP_100421 v2_LCD_LCD" xfId="0"/>
    <cellStyle name="_Others_VSE WFP_100421 v2_LCD_PJ" xfId="0"/>
    <cellStyle name="_Others_VSE WFP_100421 v2_PC Products" xfId="0"/>
    <cellStyle name="_Others_VSE WFP_100421 v2_PC Products 2" xfId="0"/>
    <cellStyle name="_Others_VSE WFP_100421 v2_PC Products 3" xfId="0"/>
    <cellStyle name="_Others_VSE WFP_100421 v2_PC Products 4" xfId="0"/>
    <cellStyle name="_Others_VSE WFP_100421 v2_PC Products 4 2" xfId="0"/>
    <cellStyle name="_Others_VSE WFP_100421 v2_PC Products_By Region" xfId="0"/>
    <cellStyle name="_Others_VSE WFP_100421 v2_PC Products_CORP SG&amp;A" xfId="0"/>
    <cellStyle name="_Others_VSE WFP_100421 v2_PC Products_LCD" xfId="0"/>
    <cellStyle name="_Others_VSE WFP_100421 v2_PC Products_PJ" xfId="0"/>
    <cellStyle name="_Others_VSE WFP_100421 v2_VSA 111014" xfId="0"/>
    <cellStyle name="_Others_VSE WFP_100421 v2_VSA 111014 2" xfId="0"/>
    <cellStyle name="_Others_VSE WFP_100421 v2_VSA 111014 3" xfId="0"/>
    <cellStyle name="_Others_VSE WFP_100421 v2_VSA 111014 4" xfId="0"/>
    <cellStyle name="_Others_VSE WFP_100421 v2_VSA 111014 4 2" xfId="0"/>
    <cellStyle name="_Others_VSE WFP_100421 v2_VSA 111014_By Region" xfId="0"/>
    <cellStyle name="_Others_VSE WFP_100421 v2_VSA 111014_CORP SG&amp;A" xfId="0"/>
    <cellStyle name="_Others_VSE WFP_100421 v2_VSA 111014_LCD" xfId="0"/>
    <cellStyle name="_Others_VSE WFP_100421 v2_VSA 111014_PJ" xfId="0"/>
    <cellStyle name="_Others_VSE WFP_100421 v2_VSA Roll-Up (LW)" xfId="0"/>
    <cellStyle name="_Others_VSE WFP_100421 v2_VSA Roll-Up (LW) 2" xfId="0"/>
    <cellStyle name="_Others_VSE WFP_100421 v2_VSA Roll-Up (LW) 3" xfId="0"/>
    <cellStyle name="_Others_VSE WFP_100421 v2_VSA Roll-Up (LW) 4" xfId="0"/>
    <cellStyle name="_Others_VSE WFP_100421 v2_VSA Roll-Up (LW) 4 2" xfId="0"/>
    <cellStyle name="_Others_VSE WFP_100421 v2_VSA Roll-Up (LW)_By Region" xfId="0"/>
    <cellStyle name="_Others_VSE WFP_100421 v2_VSA Roll-Up (LW)_CORP SG&amp;A" xfId="0"/>
    <cellStyle name="_Others_VSE WFP_100421 v2_VSA Roll-Up (LW)_LCD" xfId="0"/>
    <cellStyle name="_Others_VSE WFP_100421 v2_VSA Roll-Up (LW)_PJ" xfId="0"/>
    <cellStyle name="_Others_VSE WFP_100507" xfId="0"/>
    <cellStyle name="_Others_VSE WFP_100507 2" xfId="0"/>
    <cellStyle name="_Others_VSE WFP_100507 3" xfId="0"/>
    <cellStyle name="_Others_VSE WFP_100507 4" xfId="0"/>
    <cellStyle name="_Others_VSE WFP_100507_By Region" xfId="0"/>
    <cellStyle name="_Others_VSE WFP_100507_CORP SG&amp;A" xfId="0"/>
    <cellStyle name="_Others_VSE WFP_100507_Digitizer" xfId="0"/>
    <cellStyle name="_Others_VSE WFP_100507_GPS OTHER" xfId="0"/>
    <cellStyle name="_Others_VSE WFP_100507_GPS OTHER 2" xfId="0"/>
    <cellStyle name="_Others_VSE WFP_100507_GPS OTHER 3" xfId="0"/>
    <cellStyle name="_Others_VSE WFP_100507_GPS OTHER 4" xfId="0"/>
    <cellStyle name="_Others_VSE WFP_100507_GPS OTHER 4 2" xfId="0"/>
    <cellStyle name="_Others_VSE WFP_100507_GPS OTHER_By Region" xfId="0"/>
    <cellStyle name="_Others_VSE WFP_100507_GPS OTHER_CORP SG&amp;A" xfId="0"/>
    <cellStyle name="_Others_VSE WFP_100507_GPS OTHER_LCD" xfId="0"/>
    <cellStyle name="_Others_VSE WFP_100507_GPS OTHER_PJ" xfId="0"/>
    <cellStyle name="_Others_VSE WFP_100507_LCD" xfId="0"/>
    <cellStyle name="_Others_VSE WFP_100507_LCD 2" xfId="0"/>
    <cellStyle name="_Others_VSE WFP_100507_LCD 3" xfId="0"/>
    <cellStyle name="_Others_VSE WFP_100507_LCD 4" xfId="0"/>
    <cellStyle name="_Others_VSE WFP_100507_LCD_By Region" xfId="0"/>
    <cellStyle name="_Others_VSE WFP_100507_LCD_CORP SG&amp;A" xfId="0"/>
    <cellStyle name="_Others_VSE WFP_100507_LCD_LCD" xfId="0"/>
    <cellStyle name="_Others_VSE WFP_100507_LCD_PJ" xfId="0"/>
    <cellStyle name="_Others_VSE WFP_100507_PC Products" xfId="0"/>
    <cellStyle name="_Others_VSE WFP_100507_PC Products 2" xfId="0"/>
    <cellStyle name="_Others_VSE WFP_100507_PC Products 3" xfId="0"/>
    <cellStyle name="_Others_VSE WFP_100507_PC Products 4" xfId="0"/>
    <cellStyle name="_Others_VSE WFP_100507_PC Products 4 2" xfId="0"/>
    <cellStyle name="_Others_VSE WFP_100507_PC Products_By Region" xfId="0"/>
    <cellStyle name="_Others_VSE WFP_100507_PC Products_CORP SG&amp;A" xfId="0"/>
    <cellStyle name="_Others_VSE WFP_100507_PC Products_LCD" xfId="0"/>
    <cellStyle name="_Others_VSE WFP_100507_PC Products_PJ" xfId="0"/>
    <cellStyle name="_Others_VSE WFP_100507_VSA 111014" xfId="0"/>
    <cellStyle name="_Others_VSE WFP_100507_VSA 111014 2" xfId="0"/>
    <cellStyle name="_Others_VSE WFP_100507_VSA 111014 3" xfId="0"/>
    <cellStyle name="_Others_VSE WFP_100507_VSA 111014 4" xfId="0"/>
    <cellStyle name="_Others_VSE WFP_100507_VSA 111014 4 2" xfId="0"/>
    <cellStyle name="_Others_VSE WFP_100507_VSA 111014_By Region" xfId="0"/>
    <cellStyle name="_Others_VSE WFP_100507_VSA 111014_CORP SG&amp;A" xfId="0"/>
    <cellStyle name="_Others_VSE WFP_100507_VSA 111014_LCD" xfId="0"/>
    <cellStyle name="_Others_VSE WFP_100507_VSA 111014_PJ" xfId="0"/>
    <cellStyle name="_Others_VSE WFP_100507_VSA Roll-Up (LW)" xfId="0"/>
    <cellStyle name="_Others_VSE WFP_100507_VSA Roll-Up (LW) 2" xfId="0"/>
    <cellStyle name="_Others_VSE WFP_100507_VSA Roll-Up (LW) 3" xfId="0"/>
    <cellStyle name="_Others_VSE WFP_100507_VSA Roll-Up (LW) 4" xfId="0"/>
    <cellStyle name="_Others_VSE WFP_100507_VSA Roll-Up (LW) 4 2" xfId="0"/>
    <cellStyle name="_Others_VSE WFP_100507_VSA Roll-Up (LW)_By Region" xfId="0"/>
    <cellStyle name="_Others_VSE WFP_100507_VSA Roll-Up (LW)_CORP SG&amp;A" xfId="0"/>
    <cellStyle name="_Others_VSE WFP_100507_VSA Roll-Up (LW)_LCD" xfId="0"/>
    <cellStyle name="_Others_VSE WFP_100507_VSA Roll-Up (LW)_PJ" xfId="0"/>
    <cellStyle name="_Others_VSE WFP_100608" xfId="0"/>
    <cellStyle name="_Others_VSE WFP_100608 2" xfId="0"/>
    <cellStyle name="_Others_VSE WFP_100608 3" xfId="0"/>
    <cellStyle name="_Others_VSE WFP_100608 4" xfId="0"/>
    <cellStyle name="_Others_VSE WFP_100608_By Region" xfId="0"/>
    <cellStyle name="_Others_VSE WFP_100608_CORP SG&amp;A" xfId="0"/>
    <cellStyle name="_Others_VSE WFP_100608_Digitizer" xfId="0"/>
    <cellStyle name="_Others_VSE WFP_100608_GPS OTHER" xfId="0"/>
    <cellStyle name="_Others_VSE WFP_100608_GPS OTHER 2" xfId="0"/>
    <cellStyle name="_Others_VSE WFP_100608_GPS OTHER 3" xfId="0"/>
    <cellStyle name="_Others_VSE WFP_100608_GPS OTHER 4" xfId="0"/>
    <cellStyle name="_Others_VSE WFP_100608_GPS OTHER 4 2" xfId="0"/>
    <cellStyle name="_Others_VSE WFP_100608_GPS OTHER_By Region" xfId="0"/>
    <cellStyle name="_Others_VSE WFP_100608_GPS OTHER_CORP SG&amp;A" xfId="0"/>
    <cellStyle name="_Others_VSE WFP_100608_GPS OTHER_LCD" xfId="0"/>
    <cellStyle name="_Others_VSE WFP_100608_GPS OTHER_PJ" xfId="0"/>
    <cellStyle name="_Others_VSE WFP_100608_LCD" xfId="0"/>
    <cellStyle name="_Others_VSE WFP_100608_LCD 2" xfId="0"/>
    <cellStyle name="_Others_VSE WFP_100608_LCD 3" xfId="0"/>
    <cellStyle name="_Others_VSE WFP_100608_LCD 4" xfId="0"/>
    <cellStyle name="_Others_VSE WFP_100608_LCD_By Region" xfId="0"/>
    <cellStyle name="_Others_VSE WFP_100608_LCD_CORP SG&amp;A" xfId="0"/>
    <cellStyle name="_Others_VSE WFP_100608_LCD_LCD" xfId="0"/>
    <cellStyle name="_Others_VSE WFP_100608_LCD_PJ" xfId="0"/>
    <cellStyle name="_Others_VSE WFP_100608_PC Products" xfId="0"/>
    <cellStyle name="_Others_VSE WFP_100608_PC Products 2" xfId="0"/>
    <cellStyle name="_Others_VSE WFP_100608_PC Products 3" xfId="0"/>
    <cellStyle name="_Others_VSE WFP_100608_PC Products 4" xfId="0"/>
    <cellStyle name="_Others_VSE WFP_100608_PC Products 4 2" xfId="0"/>
    <cellStyle name="_Others_VSE WFP_100608_PC Products_By Region" xfId="0"/>
    <cellStyle name="_Others_VSE WFP_100608_PC Products_CORP SG&amp;A" xfId="0"/>
    <cellStyle name="_Others_VSE WFP_100608_PC Products_LCD" xfId="0"/>
    <cellStyle name="_Others_VSE WFP_100608_PC Products_PJ" xfId="0"/>
    <cellStyle name="_Others_VSE WFP_100608_VSA 111014" xfId="0"/>
    <cellStyle name="_Others_VSE WFP_100608_VSA 111014 2" xfId="0"/>
    <cellStyle name="_Others_VSE WFP_100608_VSA 111014 3" xfId="0"/>
    <cellStyle name="_Others_VSE WFP_100608_VSA 111014 4" xfId="0"/>
    <cellStyle name="_Others_VSE WFP_100608_VSA 111014 4 2" xfId="0"/>
    <cellStyle name="_Others_VSE WFP_100608_VSA 111014_By Region" xfId="0"/>
    <cellStyle name="_Others_VSE WFP_100608_VSA 111014_CORP SG&amp;A" xfId="0"/>
    <cellStyle name="_Others_VSE WFP_100608_VSA 111014_LCD" xfId="0"/>
    <cellStyle name="_Others_VSE WFP_100608_VSA 111014_PJ" xfId="0"/>
    <cellStyle name="_Others_VSE WFP_100608_VSA Roll-Up (LW)" xfId="0"/>
    <cellStyle name="_Others_VSE WFP_100608_VSA Roll-Up (LW) 2" xfId="0"/>
    <cellStyle name="_Others_VSE WFP_100608_VSA Roll-Up (LW) 3" xfId="0"/>
    <cellStyle name="_Others_VSE WFP_100608_VSA Roll-Up (LW) 4" xfId="0"/>
    <cellStyle name="_Others_VSE WFP_100608_VSA Roll-Up (LW) 4 2" xfId="0"/>
    <cellStyle name="_Others_VSE WFP_100608_VSA Roll-Up (LW)_By Region" xfId="0"/>
    <cellStyle name="_Others_VSE WFP_100608_VSA Roll-Up (LW)_CORP SG&amp;A" xfId="0"/>
    <cellStyle name="_Others_VSE WFP_100608_VSA Roll-Up (LW)_LCD" xfId="0"/>
    <cellStyle name="_Others_VSE WFP_100608_VSA Roll-Up (LW)_PJ" xfId="0"/>
    <cellStyle name="_Others_VSE WFP_100625" xfId="0"/>
    <cellStyle name="_Others_VSE WFP_100625 2" xfId="0"/>
    <cellStyle name="_Others_VSE WFP_100625 3" xfId="0"/>
    <cellStyle name="_Others_VSE WFP_100625 4" xfId="0"/>
    <cellStyle name="_Others_VSE WFP_100625_By Region" xfId="0"/>
    <cellStyle name="_Others_VSE WFP_100625_CORP SG&amp;A" xfId="0"/>
    <cellStyle name="_Others_VSE WFP_100625_GPS OTHER" xfId="0"/>
    <cellStyle name="_Others_VSE WFP_100625_GPS OTHER 2" xfId="0"/>
    <cellStyle name="_Others_VSE WFP_100625_GPS OTHER 3" xfId="0"/>
    <cellStyle name="_Others_VSE WFP_100625_GPS OTHER 4" xfId="0"/>
    <cellStyle name="_Others_VSE WFP_100625_GPS OTHER 4 2" xfId="0"/>
    <cellStyle name="_Others_VSE WFP_100625_GPS OTHER_By Region" xfId="0"/>
    <cellStyle name="_Others_VSE WFP_100625_GPS OTHER_CORP SG&amp;A" xfId="0"/>
    <cellStyle name="_Others_VSE WFP_100625_GPS OTHER_LCD" xfId="0"/>
    <cellStyle name="_Others_VSE WFP_100625_GPS OTHER_PJ" xfId="0"/>
    <cellStyle name="_Others_VSE WFP_100625_LCD" xfId="0"/>
    <cellStyle name="_Others_VSE WFP_100625_LCD 2" xfId="0"/>
    <cellStyle name="_Others_VSE WFP_100625_LCD 3" xfId="0"/>
    <cellStyle name="_Others_VSE WFP_100625_LCD 4" xfId="0"/>
    <cellStyle name="_Others_VSE WFP_100625_LCD_By Region" xfId="0"/>
    <cellStyle name="_Others_VSE WFP_100625_LCD_CORP SG&amp;A" xfId="0"/>
    <cellStyle name="_Others_VSE WFP_100625_LCD_LCD" xfId="0"/>
    <cellStyle name="_Others_VSE WFP_100625_LCD_PJ" xfId="0"/>
    <cellStyle name="_Others_VSE WFP_100625_PC Products" xfId="0"/>
    <cellStyle name="_Others_VSE WFP_100625_PC Products 2" xfId="0"/>
    <cellStyle name="_Others_VSE WFP_100625_PC Products 3" xfId="0"/>
    <cellStyle name="_Others_VSE WFP_100625_PC Products 4" xfId="0"/>
    <cellStyle name="_Others_VSE WFP_100625_PC Products 4 2" xfId="0"/>
    <cellStyle name="_Others_VSE WFP_100625_PC Products_By Region" xfId="0"/>
    <cellStyle name="_Others_VSE WFP_100625_PC Products_CORP SG&amp;A" xfId="0"/>
    <cellStyle name="_Others_VSE WFP_100625_PC Products_LCD" xfId="0"/>
    <cellStyle name="_Others_VSE WFP_100625_PC Products_PJ" xfId="0"/>
    <cellStyle name="_Others_VSE WFP_100625_VSA 111014" xfId="0"/>
    <cellStyle name="_Others_VSE WFP_100625_VSA 111014 2" xfId="0"/>
    <cellStyle name="_Others_VSE WFP_100625_VSA 111014 3" xfId="0"/>
    <cellStyle name="_Others_VSE WFP_100625_VSA 111014 4" xfId="0"/>
    <cellStyle name="_Others_VSE WFP_100625_VSA 111014 4 2" xfId="0"/>
    <cellStyle name="_Others_VSE WFP_100625_VSA 111014_By Region" xfId="0"/>
    <cellStyle name="_Others_VSE WFP_100625_VSA 111014_CORP SG&amp;A" xfId="0"/>
    <cellStyle name="_Others_VSE WFP_100625_VSA 111014_LCD" xfId="0"/>
    <cellStyle name="_Others_VSE WFP_100625_VSA 111014_PJ" xfId="0"/>
    <cellStyle name="_Others_VSE WFP_100625_VSA Roll-Up (LW)" xfId="0"/>
    <cellStyle name="_Others_VSE WFP_100625_VSA Roll-Up (LW) 2" xfId="0"/>
    <cellStyle name="_Others_VSE WFP_100625_VSA Roll-Up (LW) 3" xfId="0"/>
    <cellStyle name="_Others_VSE WFP_100625_VSA Roll-Up (LW) 4" xfId="0"/>
    <cellStyle name="_Others_VSE WFP_100625_VSA Roll-Up (LW) 4 2" xfId="0"/>
    <cellStyle name="_Others_VSE WFP_100625_VSA Roll-Up (LW)_By Region" xfId="0"/>
    <cellStyle name="_Others_VSE WFP_100625_VSA Roll-Up (LW)_CORP SG&amp;A" xfId="0"/>
    <cellStyle name="_Others_VSE WFP_100625_VSA Roll-Up (LW)_LCD" xfId="0"/>
    <cellStyle name="_Others_VSE WFP_100625_VSA Roll-Up (LW)_PJ" xfId="0"/>
    <cellStyle name="_Others_VSE WFP_100708_3rd" xfId="0"/>
    <cellStyle name="_Others_VSE WFP_100708_3rd 2" xfId="0"/>
    <cellStyle name="_Others_VSE WFP_100708_3rd 3" xfId="0"/>
    <cellStyle name="_Others_VSE WFP_100708_3rd 4" xfId="0"/>
    <cellStyle name="_Others_VSE WFP_100708_3rd_By Region" xfId="0"/>
    <cellStyle name="_Others_VSE WFP_100708_3rd_CORP SG&amp;A" xfId="0"/>
    <cellStyle name="_Others_VSE WFP_100708_3rd_GPS OTHER" xfId="0"/>
    <cellStyle name="_Others_VSE WFP_100708_3rd_GPS OTHER 2" xfId="0"/>
    <cellStyle name="_Others_VSE WFP_100708_3rd_GPS OTHER 3" xfId="0"/>
    <cellStyle name="_Others_VSE WFP_100708_3rd_GPS OTHER 4" xfId="0"/>
    <cellStyle name="_Others_VSE WFP_100708_3rd_GPS OTHER 4 2" xfId="0"/>
    <cellStyle name="_Others_VSE WFP_100708_3rd_GPS OTHER_By Region" xfId="0"/>
    <cellStyle name="_Others_VSE WFP_100708_3rd_GPS OTHER_CORP SG&amp;A" xfId="0"/>
    <cellStyle name="_Others_VSE WFP_100708_3rd_GPS OTHER_LCD" xfId="0"/>
    <cellStyle name="_Others_VSE WFP_100708_3rd_GPS OTHER_PJ" xfId="0"/>
    <cellStyle name="_Others_VSE WFP_100708_3rd_LCD" xfId="0"/>
    <cellStyle name="_Others_VSE WFP_100708_3rd_LCD 2" xfId="0"/>
    <cellStyle name="_Others_VSE WFP_100708_3rd_LCD 3" xfId="0"/>
    <cellStyle name="_Others_VSE WFP_100708_3rd_LCD 4" xfId="0"/>
    <cellStyle name="_Others_VSE WFP_100708_3rd_LCD_By Region" xfId="0"/>
    <cellStyle name="_Others_VSE WFP_100708_3rd_LCD_CORP SG&amp;A" xfId="0"/>
    <cellStyle name="_Others_VSE WFP_100708_3rd_LCD_LCD" xfId="0"/>
    <cellStyle name="_Others_VSE WFP_100708_3rd_LCD_PJ" xfId="0"/>
    <cellStyle name="_Others_VSE WFP_100708_3rd_PC Products" xfId="0"/>
    <cellStyle name="_Others_VSE WFP_100708_3rd_PC Products 2" xfId="0"/>
    <cellStyle name="_Others_VSE WFP_100708_3rd_PC Products 3" xfId="0"/>
    <cellStyle name="_Others_VSE WFP_100708_3rd_PC Products 4" xfId="0"/>
    <cellStyle name="_Others_VSE WFP_100708_3rd_PC Products 4 2" xfId="0"/>
    <cellStyle name="_Others_VSE WFP_100708_3rd_PC Products_By Region" xfId="0"/>
    <cellStyle name="_Others_VSE WFP_100708_3rd_PC Products_CORP SG&amp;A" xfId="0"/>
    <cellStyle name="_Others_VSE WFP_100708_3rd_PC Products_LCD" xfId="0"/>
    <cellStyle name="_Others_VSE WFP_100708_3rd_PC Products_PJ" xfId="0"/>
    <cellStyle name="_Others_VSE WFP_100708_3rd_VSA 111014" xfId="0"/>
    <cellStyle name="_Others_VSE WFP_100708_3rd_VSA 111014 2" xfId="0"/>
    <cellStyle name="_Others_VSE WFP_100708_3rd_VSA 111014 3" xfId="0"/>
    <cellStyle name="_Others_VSE WFP_100708_3rd_VSA 111014 4" xfId="0"/>
    <cellStyle name="_Others_VSE WFP_100708_3rd_VSA 111014 4 2" xfId="0"/>
    <cellStyle name="_Others_VSE WFP_100708_3rd_VSA 111014_By Region" xfId="0"/>
    <cellStyle name="_Others_VSE WFP_100708_3rd_VSA 111014_CORP SG&amp;A" xfId="0"/>
    <cellStyle name="_Others_VSE WFP_100708_3rd_VSA 111014_LCD" xfId="0"/>
    <cellStyle name="_Others_VSE WFP_100708_3rd_VSA 111014_PJ" xfId="0"/>
    <cellStyle name="_Others_VSE WFP_100708_3rd_VSA Roll-Up (LW)" xfId="0"/>
    <cellStyle name="_Others_VSE WFP_100708_3rd_VSA Roll-Up (LW) 2" xfId="0"/>
    <cellStyle name="_Others_VSE WFP_100708_3rd_VSA Roll-Up (LW) 3" xfId="0"/>
    <cellStyle name="_Others_VSE WFP_100708_3rd_VSA Roll-Up (LW) 4" xfId="0"/>
    <cellStyle name="_Others_VSE WFP_100708_3rd_VSA Roll-Up (LW) 4 2" xfId="0"/>
    <cellStyle name="_Others_VSE WFP_100708_3rd_VSA Roll-Up (LW)_By Region" xfId="0"/>
    <cellStyle name="_Others_VSE WFP_100708_3rd_VSA Roll-Up (LW)_CORP SG&amp;A" xfId="0"/>
    <cellStyle name="_Others_VSE WFP_100708_3rd_VSA Roll-Up (LW)_LCD" xfId="0"/>
    <cellStyle name="_Others_VSE WFP_100708_3rd_VSA Roll-Up (LW)_PJ" xfId="0"/>
    <cellStyle name="_Others_VSE WFP_100726" xfId="0"/>
    <cellStyle name="_Others_VSE WFP_100726 2" xfId="0"/>
    <cellStyle name="_Others_VSE WFP_100726 3" xfId="0"/>
    <cellStyle name="_Others_VSE WFP_100726 4" xfId="0"/>
    <cellStyle name="_Others_VSE WFP_100726-1" xfId="0"/>
    <cellStyle name="_Others_VSE WFP_100726-1 2" xfId="0"/>
    <cellStyle name="_Others_VSE WFP_100726-1 3" xfId="0"/>
    <cellStyle name="_Others_VSE WFP_100726-1 4" xfId="0"/>
    <cellStyle name="_Others_VSE WFP_100726-1_By Region" xfId="0"/>
    <cellStyle name="_Others_VSE WFP_100726-1_CORP SG&amp;A" xfId="0"/>
    <cellStyle name="_Others_VSE WFP_100726-1_GPS OTHER" xfId="0"/>
    <cellStyle name="_Others_VSE WFP_100726-1_GPS OTHER 2" xfId="0"/>
    <cellStyle name="_Others_VSE WFP_100726-1_GPS OTHER 3" xfId="0"/>
    <cellStyle name="_Others_VSE WFP_100726-1_GPS OTHER 4" xfId="0"/>
    <cellStyle name="_Others_VSE WFP_100726-1_GPS OTHER 4 2" xfId="0"/>
    <cellStyle name="_Others_VSE WFP_100726-1_GPS OTHER_By Region" xfId="0"/>
    <cellStyle name="_Others_VSE WFP_100726-1_GPS OTHER_CORP SG&amp;A" xfId="0"/>
    <cellStyle name="_Others_VSE WFP_100726-1_GPS OTHER_LCD" xfId="0"/>
    <cellStyle name="_Others_VSE WFP_100726-1_GPS OTHER_PJ" xfId="0"/>
    <cellStyle name="_Others_VSE WFP_100726-1_LCD" xfId="0"/>
    <cellStyle name="_Others_VSE WFP_100726-1_LCD 2" xfId="0"/>
    <cellStyle name="_Others_VSE WFP_100726-1_LCD 3" xfId="0"/>
    <cellStyle name="_Others_VSE WFP_100726-1_LCD 4" xfId="0"/>
    <cellStyle name="_Others_VSE WFP_100726-1_LCD_By Region" xfId="0"/>
    <cellStyle name="_Others_VSE WFP_100726-1_LCD_CORP SG&amp;A" xfId="0"/>
    <cellStyle name="_Others_VSE WFP_100726-1_LCD_LCD" xfId="0"/>
    <cellStyle name="_Others_VSE WFP_100726-1_LCD_PJ" xfId="0"/>
    <cellStyle name="_Others_VSE WFP_100726-1_PC Products" xfId="0"/>
    <cellStyle name="_Others_VSE WFP_100726-1_PC Products 2" xfId="0"/>
    <cellStyle name="_Others_VSE WFP_100726-1_PC Products 3" xfId="0"/>
    <cellStyle name="_Others_VSE WFP_100726-1_PC Products 4" xfId="0"/>
    <cellStyle name="_Others_VSE WFP_100726-1_PC Products 4 2" xfId="0"/>
    <cellStyle name="_Others_VSE WFP_100726-1_PC Products_By Region" xfId="0"/>
    <cellStyle name="_Others_VSE WFP_100726-1_PC Products_CORP SG&amp;A" xfId="0"/>
    <cellStyle name="_Others_VSE WFP_100726-1_PC Products_LCD" xfId="0"/>
    <cellStyle name="_Others_VSE WFP_100726-1_PC Products_PJ" xfId="0"/>
    <cellStyle name="_Others_VSE WFP_100726-1_VSA 111014" xfId="0"/>
    <cellStyle name="_Others_VSE WFP_100726-1_VSA 111014 2" xfId="0"/>
    <cellStyle name="_Others_VSE WFP_100726-1_VSA 111014 3" xfId="0"/>
    <cellStyle name="_Others_VSE WFP_100726-1_VSA 111014 4" xfId="0"/>
    <cellStyle name="_Others_VSE WFP_100726-1_VSA 111014 4 2" xfId="0"/>
    <cellStyle name="_Others_VSE WFP_100726-1_VSA 111014_By Region" xfId="0"/>
    <cellStyle name="_Others_VSE WFP_100726-1_VSA 111014_CORP SG&amp;A" xfId="0"/>
    <cellStyle name="_Others_VSE WFP_100726-1_VSA 111014_LCD" xfId="0"/>
    <cellStyle name="_Others_VSE WFP_100726-1_VSA 111014_PJ" xfId="0"/>
    <cellStyle name="_Others_VSE WFP_100726-1_VSA Roll-Up (LW)" xfId="0"/>
    <cellStyle name="_Others_VSE WFP_100726-1_VSA Roll-Up (LW) 2" xfId="0"/>
    <cellStyle name="_Others_VSE WFP_100726-1_VSA Roll-Up (LW) 3" xfId="0"/>
    <cellStyle name="_Others_VSE WFP_100726-1_VSA Roll-Up (LW) 4" xfId="0"/>
    <cellStyle name="_Others_VSE WFP_100726-1_VSA Roll-Up (LW) 4 2" xfId="0"/>
    <cellStyle name="_Others_VSE WFP_100726-1_VSA Roll-Up (LW)_By Region" xfId="0"/>
    <cellStyle name="_Others_VSE WFP_100726-1_VSA Roll-Up (LW)_CORP SG&amp;A" xfId="0"/>
    <cellStyle name="_Others_VSE WFP_100726-1_VSA Roll-Up (LW)_LCD" xfId="0"/>
    <cellStyle name="_Others_VSE WFP_100726-1_VSA Roll-Up (LW)_PJ" xfId="0"/>
    <cellStyle name="_Others_VSE WFP_100726-2-yc" xfId="0"/>
    <cellStyle name="_Others_VSE WFP_100726-2-yc 2" xfId="0"/>
    <cellStyle name="_Others_VSE WFP_100726-2-yc 3" xfId="0"/>
    <cellStyle name="_Others_VSE WFP_100726-2-yc 4" xfId="0"/>
    <cellStyle name="_Others_VSE WFP_100726-2-yc_By Region" xfId="0"/>
    <cellStyle name="_Others_VSE WFP_100726-2-yc_CORP SG&amp;A" xfId="0"/>
    <cellStyle name="_Others_VSE WFP_100726-2-yc_GPS OTHER" xfId="0"/>
    <cellStyle name="_Others_VSE WFP_100726-2-yc_GPS OTHER 2" xfId="0"/>
    <cellStyle name="_Others_VSE WFP_100726-2-yc_GPS OTHER 3" xfId="0"/>
    <cellStyle name="_Others_VSE WFP_100726-2-yc_GPS OTHER 4" xfId="0"/>
    <cellStyle name="_Others_VSE WFP_100726-2-yc_GPS OTHER 4 2" xfId="0"/>
    <cellStyle name="_Others_VSE WFP_100726-2-yc_GPS OTHER_By Region" xfId="0"/>
    <cellStyle name="_Others_VSE WFP_100726-2-yc_GPS OTHER_CORP SG&amp;A" xfId="0"/>
    <cellStyle name="_Others_VSE WFP_100726-2-yc_GPS OTHER_LCD" xfId="0"/>
    <cellStyle name="_Others_VSE WFP_100726-2-yc_GPS OTHER_PJ" xfId="0"/>
    <cellStyle name="_Others_VSE WFP_100726-2-yc_LCD" xfId="0"/>
    <cellStyle name="_Others_VSE WFP_100726-2-yc_LCD 2" xfId="0"/>
    <cellStyle name="_Others_VSE WFP_100726-2-yc_LCD 3" xfId="0"/>
    <cellStyle name="_Others_VSE WFP_100726-2-yc_LCD 4" xfId="0"/>
    <cellStyle name="_Others_VSE WFP_100726-2-yc_LCD_By Region" xfId="0"/>
    <cellStyle name="_Others_VSE WFP_100726-2-yc_LCD_CORP SG&amp;A" xfId="0"/>
    <cellStyle name="_Others_VSE WFP_100726-2-yc_LCD_LCD" xfId="0"/>
    <cellStyle name="_Others_VSE WFP_100726-2-yc_LCD_PJ" xfId="0"/>
    <cellStyle name="_Others_VSE WFP_100726-2-yc_PC Products" xfId="0"/>
    <cellStyle name="_Others_VSE WFP_100726-2-yc_PC Products 2" xfId="0"/>
    <cellStyle name="_Others_VSE WFP_100726-2-yc_PC Products 3" xfId="0"/>
    <cellStyle name="_Others_VSE WFP_100726-2-yc_PC Products 4" xfId="0"/>
    <cellStyle name="_Others_VSE WFP_100726-2-yc_PC Products 4 2" xfId="0"/>
    <cellStyle name="_Others_VSE WFP_100726-2-yc_PC Products_By Region" xfId="0"/>
    <cellStyle name="_Others_VSE WFP_100726-2-yc_PC Products_CORP SG&amp;A" xfId="0"/>
    <cellStyle name="_Others_VSE WFP_100726-2-yc_PC Products_LCD" xfId="0"/>
    <cellStyle name="_Others_VSE WFP_100726-2-yc_PC Products_PJ" xfId="0"/>
    <cellStyle name="_Others_VSE WFP_100726-2-yc_VSA 111014" xfId="0"/>
    <cellStyle name="_Others_VSE WFP_100726-2-yc_VSA 111014 2" xfId="0"/>
    <cellStyle name="_Others_VSE WFP_100726-2-yc_VSA 111014 3" xfId="0"/>
    <cellStyle name="_Others_VSE WFP_100726-2-yc_VSA 111014 4" xfId="0"/>
    <cellStyle name="_Others_VSE WFP_100726-2-yc_VSA 111014 4 2" xfId="0"/>
    <cellStyle name="_Others_VSE WFP_100726-2-yc_VSA 111014_By Region" xfId="0"/>
    <cellStyle name="_Others_VSE WFP_100726-2-yc_VSA 111014_CORP SG&amp;A" xfId="0"/>
    <cellStyle name="_Others_VSE WFP_100726-2-yc_VSA 111014_LCD" xfId="0"/>
    <cellStyle name="_Others_VSE WFP_100726-2-yc_VSA 111014_PJ" xfId="0"/>
    <cellStyle name="_Others_VSE WFP_100726-2-yc_VSA Roll-Up (LW)" xfId="0"/>
    <cellStyle name="_Others_VSE WFP_100726-2-yc_VSA Roll-Up (LW) 2" xfId="0"/>
    <cellStyle name="_Others_VSE WFP_100726-2-yc_VSA Roll-Up (LW) 3" xfId="0"/>
    <cellStyle name="_Others_VSE WFP_100726-2-yc_VSA Roll-Up (LW) 4" xfId="0"/>
    <cellStyle name="_Others_VSE WFP_100726-2-yc_VSA Roll-Up (LW) 4 2" xfId="0"/>
    <cellStyle name="_Others_VSE WFP_100726-2-yc_VSA Roll-Up (LW)_By Region" xfId="0"/>
    <cellStyle name="_Others_VSE WFP_100726-2-yc_VSA Roll-Up (LW)_CORP SG&amp;A" xfId="0"/>
    <cellStyle name="_Others_VSE WFP_100726-2-yc_VSA Roll-Up (LW)_LCD" xfId="0"/>
    <cellStyle name="_Others_VSE WFP_100726-2-yc_VSA Roll-Up (LW)_PJ" xfId="0"/>
    <cellStyle name="_Others_VSE WFP_100726_By Region" xfId="0"/>
    <cellStyle name="_Others_VSE WFP_100726_CORP SG&amp;A" xfId="0"/>
    <cellStyle name="_Others_VSE WFP_100726_GPS OTHER" xfId="0"/>
    <cellStyle name="_Others_VSE WFP_100726_GPS OTHER 2" xfId="0"/>
    <cellStyle name="_Others_VSE WFP_100726_GPS OTHER 3" xfId="0"/>
    <cellStyle name="_Others_VSE WFP_100726_GPS OTHER 4" xfId="0"/>
    <cellStyle name="_Others_VSE WFP_100726_GPS OTHER 4 2" xfId="0"/>
    <cellStyle name="_Others_VSE WFP_100726_GPS OTHER_By Region" xfId="0"/>
    <cellStyle name="_Others_VSE WFP_100726_GPS OTHER_CORP SG&amp;A" xfId="0"/>
    <cellStyle name="_Others_VSE WFP_100726_GPS OTHER_LCD" xfId="0"/>
    <cellStyle name="_Others_VSE WFP_100726_GPS OTHER_PJ" xfId="0"/>
    <cellStyle name="_Others_VSE WFP_100726_LCD" xfId="0"/>
    <cellStyle name="_Others_VSE WFP_100726_LCD 2" xfId="0"/>
    <cellStyle name="_Others_VSE WFP_100726_LCD 3" xfId="0"/>
    <cellStyle name="_Others_VSE WFP_100726_LCD 4" xfId="0"/>
    <cellStyle name="_Others_VSE WFP_100726_LCD_By Region" xfId="0"/>
    <cellStyle name="_Others_VSE WFP_100726_LCD_CORP SG&amp;A" xfId="0"/>
    <cellStyle name="_Others_VSE WFP_100726_LCD_LCD" xfId="0"/>
    <cellStyle name="_Others_VSE WFP_100726_LCD_PJ" xfId="0"/>
    <cellStyle name="_Others_VSE WFP_100726_PC Products" xfId="0"/>
    <cellStyle name="_Others_VSE WFP_100726_PC Products 2" xfId="0"/>
    <cellStyle name="_Others_VSE WFP_100726_PC Products 3" xfId="0"/>
    <cellStyle name="_Others_VSE WFP_100726_PC Products 4" xfId="0"/>
    <cellStyle name="_Others_VSE WFP_100726_PC Products 4 2" xfId="0"/>
    <cellStyle name="_Others_VSE WFP_100726_PC Products_By Region" xfId="0"/>
    <cellStyle name="_Others_VSE WFP_100726_PC Products_CORP SG&amp;A" xfId="0"/>
    <cellStyle name="_Others_VSE WFP_100726_PC Products_LCD" xfId="0"/>
    <cellStyle name="_Others_VSE WFP_100726_PC Products_PJ" xfId="0"/>
    <cellStyle name="_Others_VSE WFP_100726_VSA 111014" xfId="0"/>
    <cellStyle name="_Others_VSE WFP_100726_VSA 111014 2" xfId="0"/>
    <cellStyle name="_Others_VSE WFP_100726_VSA 111014 3" xfId="0"/>
    <cellStyle name="_Others_VSE WFP_100726_VSA 111014 4" xfId="0"/>
    <cellStyle name="_Others_VSE WFP_100726_VSA 111014 4 2" xfId="0"/>
    <cellStyle name="_Others_VSE WFP_100726_VSA 111014_By Region" xfId="0"/>
    <cellStyle name="_Others_VSE WFP_100726_VSA 111014_CORP SG&amp;A" xfId="0"/>
    <cellStyle name="_Others_VSE WFP_100726_VSA 111014_LCD" xfId="0"/>
    <cellStyle name="_Others_VSE WFP_100726_VSA 111014_PJ" xfId="0"/>
    <cellStyle name="_Others_VSE WFP_100726_VSA Roll-Up (LW)" xfId="0"/>
    <cellStyle name="_Others_VSE WFP_100726_VSA Roll-Up (LW) 2" xfId="0"/>
    <cellStyle name="_Others_VSE WFP_100726_VSA Roll-Up (LW) 3" xfId="0"/>
    <cellStyle name="_Others_VSE WFP_100726_VSA Roll-Up (LW) 4" xfId="0"/>
    <cellStyle name="_Others_VSE WFP_100726_VSA Roll-Up (LW) 4 2" xfId="0"/>
    <cellStyle name="_Others_VSE WFP_100726_VSA Roll-Up (LW)_By Region" xfId="0"/>
    <cellStyle name="_Others_VSE WFP_100726_VSA Roll-Up (LW)_CORP SG&amp;A" xfId="0"/>
    <cellStyle name="_Others_VSE WFP_100726_VSA Roll-Up (LW)_LCD" xfId="0"/>
    <cellStyle name="_Others_VSE WFP_100726_VSA Roll-Up (LW)_PJ" xfId="0"/>
    <cellStyle name="_Others_VSE WFP_100827-1" xfId="0"/>
    <cellStyle name="_Others_VSE WFP_100827-1 2" xfId="0"/>
    <cellStyle name="_Others_VSE WFP_100827-1 3" xfId="0"/>
    <cellStyle name="_Others_VSE WFP_100827-1 4" xfId="0"/>
    <cellStyle name="_Others_VSE WFP_100827-1_By Region" xfId="0"/>
    <cellStyle name="_Others_VSE WFP_100827-1_CORP SG&amp;A" xfId="0"/>
    <cellStyle name="_Others_VSE WFP_100827-1_GPS OTHER" xfId="0"/>
    <cellStyle name="_Others_VSE WFP_100827-1_GPS OTHER 2" xfId="0"/>
    <cellStyle name="_Others_VSE WFP_100827-1_GPS OTHER 3" xfId="0"/>
    <cellStyle name="_Others_VSE WFP_100827-1_GPS OTHER 4" xfId="0"/>
    <cellStyle name="_Others_VSE WFP_100827-1_GPS OTHER 4 2" xfId="0"/>
    <cellStyle name="_Others_VSE WFP_100827-1_GPS OTHER_By Region" xfId="0"/>
    <cellStyle name="_Others_VSE WFP_100827-1_GPS OTHER_CORP SG&amp;A" xfId="0"/>
    <cellStyle name="_Others_VSE WFP_100827-1_GPS OTHER_LCD" xfId="0"/>
    <cellStyle name="_Others_VSE WFP_100827-1_GPS OTHER_PJ" xfId="0"/>
    <cellStyle name="_Others_VSE WFP_100827-1_LCD" xfId="0"/>
    <cellStyle name="_Others_VSE WFP_100827-1_LCD 2" xfId="0"/>
    <cellStyle name="_Others_VSE WFP_100827-1_LCD 3" xfId="0"/>
    <cellStyle name="_Others_VSE WFP_100827-1_LCD 4" xfId="0"/>
    <cellStyle name="_Others_VSE WFP_100827-1_LCD_By Region" xfId="0"/>
    <cellStyle name="_Others_VSE WFP_100827-1_LCD_CORP SG&amp;A" xfId="0"/>
    <cellStyle name="_Others_VSE WFP_100827-1_LCD_LCD" xfId="0"/>
    <cellStyle name="_Others_VSE WFP_100827-1_LCD_PJ" xfId="0"/>
    <cellStyle name="_Others_VSE WFP_100827-1_PC Products" xfId="0"/>
    <cellStyle name="_Others_VSE WFP_100827-1_PC Products 2" xfId="0"/>
    <cellStyle name="_Others_VSE WFP_100827-1_PC Products 3" xfId="0"/>
    <cellStyle name="_Others_VSE WFP_100827-1_PC Products 4" xfId="0"/>
    <cellStyle name="_Others_VSE WFP_100827-1_PC Products 4 2" xfId="0"/>
    <cellStyle name="_Others_VSE WFP_100827-1_PC Products_By Region" xfId="0"/>
    <cellStyle name="_Others_VSE WFP_100827-1_PC Products_CORP SG&amp;A" xfId="0"/>
    <cellStyle name="_Others_VSE WFP_100827-1_PC Products_LCD" xfId="0"/>
    <cellStyle name="_Others_VSE WFP_100827-1_PC Products_PJ" xfId="0"/>
    <cellStyle name="_Others_VSE WFP_100827-1_VSA 111014" xfId="0"/>
    <cellStyle name="_Others_VSE WFP_100827-1_VSA 111014 2" xfId="0"/>
    <cellStyle name="_Others_VSE WFP_100827-1_VSA 111014 3" xfId="0"/>
    <cellStyle name="_Others_VSE WFP_100827-1_VSA 111014 4" xfId="0"/>
    <cellStyle name="_Others_VSE WFP_100827-1_VSA 111014 4 2" xfId="0"/>
    <cellStyle name="_Others_VSE WFP_100827-1_VSA 111014_By Region" xfId="0"/>
    <cellStyle name="_Others_VSE WFP_100827-1_VSA 111014_CORP SG&amp;A" xfId="0"/>
    <cellStyle name="_Others_VSE WFP_100827-1_VSA 111014_LCD" xfId="0"/>
    <cellStyle name="_Others_VSE WFP_100827-1_VSA 111014_PJ" xfId="0"/>
    <cellStyle name="_Others_VSE WFP_100827-1_VSA Roll-Up (LW)" xfId="0"/>
    <cellStyle name="_Others_VSE WFP_100827-1_VSA Roll-Up (LW) 2" xfId="0"/>
    <cellStyle name="_Others_VSE WFP_100827-1_VSA Roll-Up (LW) 3" xfId="0"/>
    <cellStyle name="_Others_VSE WFP_100827-1_VSA Roll-Up (LW) 4" xfId="0"/>
    <cellStyle name="_Others_VSE WFP_100827-1_VSA Roll-Up (LW) 4 2" xfId="0"/>
    <cellStyle name="_Others_VSE WFP_100827-1_VSA Roll-Up (LW)_By Region" xfId="0"/>
    <cellStyle name="_Others_VSE WFP_100827-1_VSA Roll-Up (LW)_CORP SG&amp;A" xfId="0"/>
    <cellStyle name="_Others_VSE WFP_100827-1_VSA Roll-Up (LW)_LCD" xfId="0"/>
    <cellStyle name="_Others_VSE WFP_100827-1_VSA Roll-Up (LW)_PJ" xfId="0"/>
    <cellStyle name="_Others_VSE WFP_101001" xfId="0"/>
    <cellStyle name="_Others_VSE WFP_101001 2" xfId="0"/>
    <cellStyle name="_Others_VSE WFP_101001 3" xfId="0"/>
    <cellStyle name="_Others_VSE WFP_101001 4" xfId="0"/>
    <cellStyle name="_Others_VSE WFP_101001_By Region" xfId="0"/>
    <cellStyle name="_Others_VSE WFP_101001_CORP SG&amp;A" xfId="0"/>
    <cellStyle name="_Others_VSE WFP_101001_GPS OTHER" xfId="0"/>
    <cellStyle name="_Others_VSE WFP_101001_GPS OTHER 2" xfId="0"/>
    <cellStyle name="_Others_VSE WFP_101001_GPS OTHER 3" xfId="0"/>
    <cellStyle name="_Others_VSE WFP_101001_GPS OTHER 4" xfId="0"/>
    <cellStyle name="_Others_VSE WFP_101001_GPS OTHER 4 2" xfId="0"/>
    <cellStyle name="_Others_VSE WFP_101001_GPS OTHER_By Region" xfId="0"/>
    <cellStyle name="_Others_VSE WFP_101001_GPS OTHER_CORP SG&amp;A" xfId="0"/>
    <cellStyle name="_Others_VSE WFP_101001_GPS OTHER_LCD" xfId="0"/>
    <cellStyle name="_Others_VSE WFP_101001_GPS OTHER_PJ" xfId="0"/>
    <cellStyle name="_Others_VSE WFP_101001_LCD" xfId="0"/>
    <cellStyle name="_Others_VSE WFP_101001_LCD 2" xfId="0"/>
    <cellStyle name="_Others_VSE WFP_101001_LCD 3" xfId="0"/>
    <cellStyle name="_Others_VSE WFP_101001_LCD 4" xfId="0"/>
    <cellStyle name="_Others_VSE WFP_101001_LCD_By Region" xfId="0"/>
    <cellStyle name="_Others_VSE WFP_101001_LCD_CORP SG&amp;A" xfId="0"/>
    <cellStyle name="_Others_VSE WFP_101001_LCD_LCD" xfId="0"/>
    <cellStyle name="_Others_VSE WFP_101001_LCD_PJ" xfId="0"/>
    <cellStyle name="_Others_VSE WFP_101001_PC Products" xfId="0"/>
    <cellStyle name="_Others_VSE WFP_101001_PC Products 2" xfId="0"/>
    <cellStyle name="_Others_VSE WFP_101001_PC Products 3" xfId="0"/>
    <cellStyle name="_Others_VSE WFP_101001_PC Products 4" xfId="0"/>
    <cellStyle name="_Others_VSE WFP_101001_PC Products 4 2" xfId="0"/>
    <cellStyle name="_Others_VSE WFP_101001_PC Products_By Region" xfId="0"/>
    <cellStyle name="_Others_VSE WFP_101001_PC Products_CORP SG&amp;A" xfId="0"/>
    <cellStyle name="_Others_VSE WFP_101001_PC Products_LCD" xfId="0"/>
    <cellStyle name="_Others_VSE WFP_101001_PC Products_PJ" xfId="0"/>
    <cellStyle name="_Others_VSE WFP_101001_VSA 111014" xfId="0"/>
    <cellStyle name="_Others_VSE WFP_101001_VSA 111014 2" xfId="0"/>
    <cellStyle name="_Others_VSE WFP_101001_VSA 111014 3" xfId="0"/>
    <cellStyle name="_Others_VSE WFP_101001_VSA 111014 4" xfId="0"/>
    <cellStyle name="_Others_VSE WFP_101001_VSA 111014 4 2" xfId="0"/>
    <cellStyle name="_Others_VSE WFP_101001_VSA 111014_By Region" xfId="0"/>
    <cellStyle name="_Others_VSE WFP_101001_VSA 111014_CORP SG&amp;A" xfId="0"/>
    <cellStyle name="_Others_VSE WFP_101001_VSA 111014_LCD" xfId="0"/>
    <cellStyle name="_Others_VSE WFP_101001_VSA 111014_PJ" xfId="0"/>
    <cellStyle name="_Others_VSE WFP_101001_VSA Roll-Up (LW)" xfId="0"/>
    <cellStyle name="_Others_VSE WFP_101001_VSA Roll-Up (LW) 2" xfId="0"/>
    <cellStyle name="_Others_VSE WFP_101001_VSA Roll-Up (LW) 3" xfId="0"/>
    <cellStyle name="_Others_VSE WFP_101001_VSA Roll-Up (LW) 4" xfId="0"/>
    <cellStyle name="_Others_VSE WFP_101001_VSA Roll-Up (LW) 4 2" xfId="0"/>
    <cellStyle name="_Others_VSE WFP_101001_VSA Roll-Up (LW)_By Region" xfId="0"/>
    <cellStyle name="_Others_VSE WFP_101001_VSA Roll-Up (LW)_CORP SG&amp;A" xfId="0"/>
    <cellStyle name="_Others_VSE WFP_101001_VSA Roll-Up (LW)_LCD" xfId="0"/>
    <cellStyle name="_Others_VSE WFP_101001_VSA Roll-Up (LW)_PJ" xfId="0"/>
    <cellStyle name="_Others_VSE WFP_101029-with more ViewPad 7" xfId="0"/>
    <cellStyle name="_Others_VSE WFP_101029-with more ViewPad 7 2" xfId="0"/>
    <cellStyle name="_Others_VSE WFP_101029-with more ViewPad 7 3" xfId="0"/>
    <cellStyle name="_Others_VSE WFP_101029-with more ViewPad 7 4" xfId="0"/>
    <cellStyle name="_Others_VSE WFP_101029-with more ViewPad 7_By Region" xfId="0"/>
    <cellStyle name="_Others_VSE WFP_101029-with more ViewPad 7_CORP SG&amp;A" xfId="0"/>
    <cellStyle name="_Others_VSE WFP_101029-with more ViewPad 7_GPS OTHER" xfId="0"/>
    <cellStyle name="_Others_VSE WFP_101029-with more ViewPad 7_GPS OTHER 2" xfId="0"/>
    <cellStyle name="_Others_VSE WFP_101029-with more ViewPad 7_GPS OTHER 3" xfId="0"/>
    <cellStyle name="_Others_VSE WFP_101029-with more ViewPad 7_GPS OTHER 4" xfId="0"/>
    <cellStyle name="_Others_VSE WFP_101029-with more ViewPad 7_GPS OTHER 4 2" xfId="0"/>
    <cellStyle name="_Others_VSE WFP_101029-with more ViewPad 7_GPS OTHER_By Region" xfId="0"/>
    <cellStyle name="_Others_VSE WFP_101029-with more ViewPad 7_GPS OTHER_CORP SG&amp;A" xfId="0"/>
    <cellStyle name="_Others_VSE WFP_101029-with more ViewPad 7_GPS OTHER_LCD" xfId="0"/>
    <cellStyle name="_Others_VSE WFP_101029-with more ViewPad 7_GPS OTHER_PJ" xfId="0"/>
    <cellStyle name="_Others_VSE WFP_101029-with more ViewPad 7_LCD" xfId="0"/>
    <cellStyle name="_Others_VSE WFP_101029-with more ViewPad 7_LCD 2" xfId="0"/>
    <cellStyle name="_Others_VSE WFP_101029-with more ViewPad 7_LCD 3" xfId="0"/>
    <cellStyle name="_Others_VSE WFP_101029-with more ViewPad 7_LCD 4" xfId="0"/>
    <cellStyle name="_Others_VSE WFP_101029-with more ViewPad 7_LCD_By Region" xfId="0"/>
    <cellStyle name="_Others_VSE WFP_101029-with more ViewPad 7_LCD_CORP SG&amp;A" xfId="0"/>
    <cellStyle name="_Others_VSE WFP_101029-with more ViewPad 7_LCD_LCD" xfId="0"/>
    <cellStyle name="_Others_VSE WFP_101029-with more ViewPad 7_LCD_PJ" xfId="0"/>
    <cellStyle name="_Others_VSE WFP_101029-with more ViewPad 7_PC Products" xfId="0"/>
    <cellStyle name="_Others_VSE WFP_101029-with more ViewPad 7_PC Products 2" xfId="0"/>
    <cellStyle name="_Others_VSE WFP_101029-with more ViewPad 7_PC Products 3" xfId="0"/>
    <cellStyle name="_Others_VSE WFP_101029-with more ViewPad 7_PC Products 4" xfId="0"/>
    <cellStyle name="_Others_VSE WFP_101029-with more ViewPad 7_PC Products 4 2" xfId="0"/>
    <cellStyle name="_Others_VSE WFP_101029-with more ViewPad 7_PC Products_By Region" xfId="0"/>
    <cellStyle name="_Others_VSE WFP_101029-with more ViewPad 7_PC Products_CORP SG&amp;A" xfId="0"/>
    <cellStyle name="_Others_VSE WFP_101029-with more ViewPad 7_PC Products_LCD" xfId="0"/>
    <cellStyle name="_Others_VSE WFP_101029-with more ViewPad 7_PC Products_PJ" xfId="0"/>
    <cellStyle name="_Others_VSE WFP_101029-with more ViewPad 7_VSA 111014" xfId="0"/>
    <cellStyle name="_Others_VSE WFP_101029-with more ViewPad 7_VSA 111014 2" xfId="0"/>
    <cellStyle name="_Others_VSE WFP_101029-with more ViewPad 7_VSA 111014 3" xfId="0"/>
    <cellStyle name="_Others_VSE WFP_101029-with more ViewPad 7_VSA 111014 4" xfId="0"/>
    <cellStyle name="_Others_VSE WFP_101029-with more ViewPad 7_VSA 111014 4 2" xfId="0"/>
    <cellStyle name="_Others_VSE WFP_101029-with more ViewPad 7_VSA 111014_By Region" xfId="0"/>
    <cellStyle name="_Others_VSE WFP_101029-with more ViewPad 7_VSA 111014_CORP SG&amp;A" xfId="0"/>
    <cellStyle name="_Others_VSE WFP_101029-with more ViewPad 7_VSA 111014_LCD" xfId="0"/>
    <cellStyle name="_Others_VSE WFP_101029-with more ViewPad 7_VSA 111014_PJ" xfId="0"/>
    <cellStyle name="_Others_VSE WFP_101029-with more ViewPad 7_VSA Roll-Up (LW)" xfId="0"/>
    <cellStyle name="_Others_VSE WFP_101029-with more ViewPad 7_VSA Roll-Up (LW) 2" xfId="0"/>
    <cellStyle name="_Others_VSE WFP_101029-with more ViewPad 7_VSA Roll-Up (LW) 3" xfId="0"/>
    <cellStyle name="_Others_VSE WFP_101029-with more ViewPad 7_VSA Roll-Up (LW) 4" xfId="0"/>
    <cellStyle name="_Others_VSE WFP_101029-with more ViewPad 7_VSA Roll-Up (LW) 4 2" xfId="0"/>
    <cellStyle name="_Others_VSE WFP_101029-with more ViewPad 7_VSA Roll-Up (LW)_By Region" xfId="0"/>
    <cellStyle name="_Others_VSE WFP_101029-with more ViewPad 7_VSA Roll-Up (LW)_CORP SG&amp;A" xfId="0"/>
    <cellStyle name="_Others_VSE WFP_101029-with more ViewPad 7_VSA Roll-Up (LW)_LCD" xfId="0"/>
    <cellStyle name="_Others_VSE WFP_101029-with more ViewPad 7_VSA Roll-Up (LW)_PJ" xfId="0"/>
    <cellStyle name="_Panel Price Comparison LCD 12-31-07(Tom)" xfId="0"/>
    <cellStyle name="_Panel Price Comparison LCD 12-31-07(Tom)_2010 Existing SKU" xfId="0"/>
    <cellStyle name="_Panel Price Comparison LCD 20080403" xfId="0"/>
    <cellStyle name="_Panel Price Comparison LCD 20080403_2010 Existing SKU" xfId="0"/>
    <cellStyle name="_Panel Price Comparsion 10-04-06" xfId="0"/>
    <cellStyle name="_Panel Price Comparsion 10-04-06_2010 Existing SKU" xfId="0"/>
    <cellStyle name="_Payment 15-Oct-2010" xfId="0"/>
    <cellStyle name="_Payment 15-Oct-2010 2" xfId="0"/>
    <cellStyle name="_Payment 22-Oct-2010" xfId="0"/>
    <cellStyle name="_Payment 22-Oct-2010 2" xfId="0"/>
    <cellStyle name="_Payment 29-Oct-2010" xfId="0"/>
    <cellStyle name="_Payment 29-Oct-2010 2" xfId="0"/>
    <cellStyle name="_Payment list 08-Oct-10" xfId="0"/>
    <cellStyle name="_Payment list 08-Oct-10 2" xfId="0"/>
    <cellStyle name="_payment list 21-SEP (2)" xfId="0"/>
    <cellStyle name="_payment list 21-SEP (2) 2" xfId="0"/>
    <cellStyle name="_payment list 21-SEP (2) 2 2" xfId="0"/>
    <cellStyle name="_payment list 21-SEP (2) 2_cash balance" xfId="0"/>
    <cellStyle name="_payment list 21-SEP (2) 2_cash balance 2" xfId="0"/>
    <cellStyle name="_payment list 21-SEP (2) 3" xfId="0"/>
    <cellStyle name="_payment list 21-SEP (2) 3 2" xfId="0"/>
    <cellStyle name="_payment list 21-SEP (2) 3_cash balance" xfId="0"/>
    <cellStyle name="_payment list 21-SEP (2) 3_cash balance 2" xfId="0"/>
    <cellStyle name="_payment list 21-SEP (2) 4" xfId="0"/>
    <cellStyle name="_payment list 21-SEP (2) 4 2" xfId="0"/>
    <cellStyle name="_payment list 21-SEP (2) 4_cash balance" xfId="0"/>
    <cellStyle name="_payment list 21-SEP (2) 4_cash balance 2" xfId="0"/>
    <cellStyle name="_payment list 21-SEP (2) 5" xfId="0"/>
    <cellStyle name="_payment list 21-SEP (2) 5 2" xfId="0"/>
    <cellStyle name="_payment list 21-SEP (2) 6" xfId="0"/>
    <cellStyle name="_payment list 28-SEP" xfId="0"/>
    <cellStyle name="_payment list 28-SEP 2" xfId="0"/>
    <cellStyle name="_payment list 28-SEP 2 2" xfId="0"/>
    <cellStyle name="_payment list 28-SEP 2_cash balance" xfId="0"/>
    <cellStyle name="_payment list 28-SEP 2_cash balance 2" xfId="0"/>
    <cellStyle name="_payment list 28-SEP 3" xfId="0"/>
    <cellStyle name="_payment list 28-SEP 3 2" xfId="0"/>
    <cellStyle name="_payment list 28-SEP 3_cash balance" xfId="0"/>
    <cellStyle name="_payment list 28-SEP 3_cash balance 2" xfId="0"/>
    <cellStyle name="_payment list 28-SEP 4" xfId="0"/>
    <cellStyle name="_payment list 28-SEP 4 2" xfId="0"/>
    <cellStyle name="_payment list 28-SEP 4_cash balance" xfId="0"/>
    <cellStyle name="_payment list 28-SEP 4_cash balance 2" xfId="0"/>
    <cellStyle name="_payment list 28-SEP 5" xfId="0"/>
    <cellStyle name="_payment list 28-SEP 5 2" xfId="0"/>
    <cellStyle name="_payment list 28-SEP 6" xfId="0"/>
    <cellStyle name="_Payment List110211" xfId="0"/>
    <cellStyle name="_Payment List110211 2" xfId="0"/>
    <cellStyle name="_Payment to vendors 04-Feb-2011" xfId="0"/>
    <cellStyle name="_Payment to vendors 04-Feb-2011 2" xfId="0"/>
    <cellStyle name="_Payment to vendors 04-Mar-2011" xfId="0"/>
    <cellStyle name="_Payment to vendors 04-Mar-2011 2" xfId="0"/>
    <cellStyle name="_Payment to vendors 07-Jan-2011" xfId="0"/>
    <cellStyle name="_Payment to vendors 07-Jan-2011 2" xfId="0"/>
    <cellStyle name="_Payment to vendors 08-Apr-2011" xfId="0"/>
    <cellStyle name="_Payment to vendors 08-Apr-2011 2" xfId="0"/>
    <cellStyle name="_Payment to vendors 11-Mar-2011" xfId="0"/>
    <cellStyle name="_Payment to vendors 11-Mar-2011 2" xfId="0"/>
    <cellStyle name="_Payment to vendors 14-Jan-2011" xfId="0"/>
    <cellStyle name="_Payment to vendors 14-Jan-2011 2" xfId="0"/>
    <cellStyle name="_Payment to vendors 18-Feb-2011" xfId="0"/>
    <cellStyle name="_Payment to vendors 18-Feb-2011 2" xfId="0"/>
    <cellStyle name="_Payment to vendors 18-Mar-2011" xfId="0"/>
    <cellStyle name="_Payment to vendors 18-Mar-2011 2" xfId="0"/>
    <cellStyle name="_Payment to vendors 21-Jan-2011" xfId="0"/>
    <cellStyle name="_Payment to vendors 21-Jan-2011 2" xfId="0"/>
    <cellStyle name="_Payment to vendors 25-Feb-2011" xfId="0"/>
    <cellStyle name="_Payment to vendors 25-Feb-2011 2" xfId="0"/>
    <cellStyle name="_Payment to vendors 28-Jan-2011" xfId="0"/>
    <cellStyle name="_Payment to vendors 28-Jan-2011 2" xfId="0"/>
    <cellStyle name="_PC-AIO DCR" xfId="0"/>
    <cellStyle name="_PC-AIO DCR 2" xfId="0"/>
    <cellStyle name="_PC-AIO DCR_13-wk VSI_Revised" xfId="0"/>
    <cellStyle name="_PC-AIO DCR_13-wk VSI_Revised 2" xfId="0"/>
    <cellStyle name="_PC-AIO DCR_DCR" xfId="0"/>
    <cellStyle name="_PC-AIO DCR_DCR 2" xfId="0"/>
    <cellStyle name="_PC-AIO DCR_VSE DCR Planning Model and Trend Charts 20100118" xfId="0"/>
    <cellStyle name="_PC-AIO DCR_VSE DCR Planning Model and Trend Charts 20100118 2" xfId="0"/>
    <cellStyle name="_PC-AIO DCR_VSE DCR Planning Model and Trend Charts 20100315" xfId="0"/>
    <cellStyle name="_PC-AIO DCR_VSE DCR Planning Model and Trend Charts 20100315 2" xfId="0"/>
    <cellStyle name="_PC-AIO DCR_WMR VSI" xfId="0"/>
    <cellStyle name="_PC-AIO DCR_WMR VSI 2" xfId="0"/>
    <cellStyle name="_PC-DT DCR" xfId="0"/>
    <cellStyle name="_PC-DT DCR 2" xfId="0"/>
    <cellStyle name="_PC-DT DCR_VSE DCR Planning Model and Trend Charts 20100118" xfId="0"/>
    <cellStyle name="_PC-DT DCR_VSE DCR Planning Model and Trend Charts 20100118 2" xfId="0"/>
    <cellStyle name="_PC-DT DCR_VSE DCR Planning Model and Trend Charts 20100315" xfId="0"/>
    <cellStyle name="_PC-DT DCR_VSE DCR Planning Model and Trend Charts 20100315 2" xfId="0"/>
    <cellStyle name="_PC-NB DCR" xfId="0"/>
    <cellStyle name="_PC-NB DCR 2" xfId="0"/>
    <cellStyle name="_PC-NB DCR_13-wk VSI_Revised" xfId="0"/>
    <cellStyle name="_PC-NB DCR_13-wk VSI_Revised 2" xfId="0"/>
    <cellStyle name="_PC-NB DCR_DCR" xfId="0"/>
    <cellStyle name="_PC-NB DCR_DCR 2" xfId="0"/>
    <cellStyle name="_PC-NB DCR_VSE DCR Planning Model and Trend Charts 20100118" xfId="0"/>
    <cellStyle name="_PC-NB DCR_VSE DCR Planning Model and Trend Charts 20100118 2" xfId="0"/>
    <cellStyle name="_PC-NB DCR_VSE DCR Planning Model and Trend Charts 20100315" xfId="0"/>
    <cellStyle name="_PC-NB DCR_VSE DCR Planning Model and Trend Charts 20100315 2" xfId="0"/>
    <cellStyle name="_PC-NB DCR_WMR VSI" xfId="0"/>
    <cellStyle name="_PC-NB DCR_WMR VSI 2" xfId="0"/>
    <cellStyle name="_PC_AIO" xfId="0"/>
    <cellStyle name="_PC_AIO 2" xfId="0"/>
    <cellStyle name="_PC_AIO 3" xfId="0"/>
    <cellStyle name="_PC_AIO 4" xfId="0"/>
    <cellStyle name="_PC_AIO 5" xfId="0"/>
    <cellStyle name="_PC_AIO_By Region" xfId="0"/>
    <cellStyle name="_PC_AIO_CIS" xfId="0"/>
    <cellStyle name="_PC_AIO_CIS 2" xfId="0"/>
    <cellStyle name="_PC_AIO_CIS 3" xfId="0"/>
    <cellStyle name="_PC_AIO_CIS 4" xfId="0"/>
    <cellStyle name="_PC_AIO_CIS_By Region" xfId="0"/>
    <cellStyle name="_PC_AIO_CIS_CORP SG&amp;A" xfId="0"/>
    <cellStyle name="_PC_AIO_CIS_GPS OTHER" xfId="0"/>
    <cellStyle name="_PC_AIO_CIS_GPS OTHER 2" xfId="0"/>
    <cellStyle name="_PC_AIO_CIS_GPS OTHER 3" xfId="0"/>
    <cellStyle name="_PC_AIO_CIS_GPS OTHER 4" xfId="0"/>
    <cellStyle name="_PC_AIO_CIS_GPS OTHER 4 2" xfId="0"/>
    <cellStyle name="_PC_AIO_CIS_GPS OTHER_By Region" xfId="0"/>
    <cellStyle name="_PC_AIO_CIS_GPS OTHER_CORP SG&amp;A" xfId="0"/>
    <cellStyle name="_PC_AIO_CIS_GPS OTHER_LCD" xfId="0"/>
    <cellStyle name="_PC_AIO_CIS_GPS OTHER_PJ" xfId="0"/>
    <cellStyle name="_PC_AIO_CIS_LCD" xfId="0"/>
    <cellStyle name="_PC_AIO_CIS_LCD 2" xfId="0"/>
    <cellStyle name="_PC_AIO_CIS_LCD 3" xfId="0"/>
    <cellStyle name="_PC_AIO_CIS_LCD 4" xfId="0"/>
    <cellStyle name="_PC_AIO_CIS_LCD_By Region" xfId="0"/>
    <cellStyle name="_PC_AIO_CIS_LCD_CORP SG&amp;A" xfId="0"/>
    <cellStyle name="_PC_AIO_CIS_LCD_LCD" xfId="0"/>
    <cellStyle name="_PC_AIO_CIS_LCD_PJ" xfId="0"/>
    <cellStyle name="_PC_AIO_CIS_PC Products" xfId="0"/>
    <cellStyle name="_PC_AIO_CIS_PC Products 2" xfId="0"/>
    <cellStyle name="_PC_AIO_CIS_PC Products 3" xfId="0"/>
    <cellStyle name="_PC_AIO_CIS_PC Products 4" xfId="0"/>
    <cellStyle name="_PC_AIO_CIS_PC Products 4 2" xfId="0"/>
    <cellStyle name="_PC_AIO_CIS_PC Products_By Region" xfId="0"/>
    <cellStyle name="_PC_AIO_CIS_PC Products_CORP SG&amp;A" xfId="0"/>
    <cellStyle name="_PC_AIO_CIS_PC Products_LCD" xfId="0"/>
    <cellStyle name="_PC_AIO_CIS_PC Products_PJ" xfId="0"/>
    <cellStyle name="_PC_AIO_CIS_VSA 111014" xfId="0"/>
    <cellStyle name="_PC_AIO_CIS_VSA 111014 2" xfId="0"/>
    <cellStyle name="_PC_AIO_CIS_VSA 111014 3" xfId="0"/>
    <cellStyle name="_PC_AIO_CIS_VSA 111014 4" xfId="0"/>
    <cellStyle name="_PC_AIO_CIS_VSA 111014 4 2" xfId="0"/>
    <cellStyle name="_PC_AIO_CIS_VSA 111014_By Region" xfId="0"/>
    <cellStyle name="_PC_AIO_CIS_VSA 111014_CORP SG&amp;A" xfId="0"/>
    <cellStyle name="_PC_AIO_CIS_VSA 111014_LCD" xfId="0"/>
    <cellStyle name="_PC_AIO_CIS_VSA 111014_PJ" xfId="0"/>
    <cellStyle name="_PC_AIO_CIS_VSA Roll-Up (LW)" xfId="0"/>
    <cellStyle name="_PC_AIO_CIS_VSA Roll-Up (LW) 2" xfId="0"/>
    <cellStyle name="_PC_AIO_CIS_VSA Roll-Up (LW) 3" xfId="0"/>
    <cellStyle name="_PC_AIO_CIS_VSA Roll-Up (LW) 4" xfId="0"/>
    <cellStyle name="_PC_AIO_CIS_VSA Roll-Up (LW) 4 2" xfId="0"/>
    <cellStyle name="_PC_AIO_CIS_VSA Roll-Up (LW)_By Region" xfId="0"/>
    <cellStyle name="_PC_AIO_CIS_VSA Roll-Up (LW)_CORP SG&amp;A" xfId="0"/>
    <cellStyle name="_PC_AIO_CIS_VSA Roll-Up (LW)_LCD" xfId="0"/>
    <cellStyle name="_PC_AIO_CIS_VSA Roll-Up (LW)_PJ" xfId="0"/>
    <cellStyle name="_PC_AIO_CORP SG&amp;A" xfId="0"/>
    <cellStyle name="_PC_AIO_CRT" xfId="0"/>
    <cellStyle name="_PC_AIO_CRT 2" xfId="0"/>
    <cellStyle name="_PC_AIO_CRT 3" xfId="0"/>
    <cellStyle name="_PC_AIO_CRT 4" xfId="0"/>
    <cellStyle name="_PC_AIO_CRT_By Region" xfId="0"/>
    <cellStyle name="_PC_AIO_CRT_CORP SG&amp;A" xfId="0"/>
    <cellStyle name="_PC_AIO_CRT_GPS OTHER" xfId="0"/>
    <cellStyle name="_PC_AIO_CRT_GPS OTHER 2" xfId="0"/>
    <cellStyle name="_PC_AIO_CRT_GPS OTHER 3" xfId="0"/>
    <cellStyle name="_PC_AIO_CRT_GPS OTHER 4" xfId="0"/>
    <cellStyle name="_PC_AIO_CRT_GPS OTHER 4 2" xfId="0"/>
    <cellStyle name="_PC_AIO_CRT_GPS OTHER_By Region" xfId="0"/>
    <cellStyle name="_PC_AIO_CRT_GPS OTHER_CORP SG&amp;A" xfId="0"/>
    <cellStyle name="_PC_AIO_CRT_GPS OTHER_LCD" xfId="0"/>
    <cellStyle name="_PC_AIO_CRT_GPS OTHER_PJ" xfId="0"/>
    <cellStyle name="_PC_AIO_CRT_LCD" xfId="0"/>
    <cellStyle name="_PC_AIO_CRT_LCD 2" xfId="0"/>
    <cellStyle name="_PC_AIO_CRT_LCD 3" xfId="0"/>
    <cellStyle name="_PC_AIO_CRT_LCD 4" xfId="0"/>
    <cellStyle name="_PC_AIO_CRT_LCD_By Region" xfId="0"/>
    <cellStyle name="_PC_AIO_CRT_LCD_CORP SG&amp;A" xfId="0"/>
    <cellStyle name="_PC_AIO_CRT_LCD_LCD" xfId="0"/>
    <cellStyle name="_PC_AIO_CRT_LCD_PJ" xfId="0"/>
    <cellStyle name="_PC_AIO_CRT_PC Products" xfId="0"/>
    <cellStyle name="_PC_AIO_CRT_PC Products 2" xfId="0"/>
    <cellStyle name="_PC_AIO_CRT_PC Products 3" xfId="0"/>
    <cellStyle name="_PC_AIO_CRT_PC Products 4" xfId="0"/>
    <cellStyle name="_PC_AIO_CRT_PC Products 4 2" xfId="0"/>
    <cellStyle name="_PC_AIO_CRT_PC Products_By Region" xfId="0"/>
    <cellStyle name="_PC_AIO_CRT_PC Products_CORP SG&amp;A" xfId="0"/>
    <cellStyle name="_PC_AIO_CRT_PC Products_LCD" xfId="0"/>
    <cellStyle name="_PC_AIO_CRT_PC Products_PJ" xfId="0"/>
    <cellStyle name="_PC_AIO_CRT_VSA 111014" xfId="0"/>
    <cellStyle name="_PC_AIO_CRT_VSA 111014 2" xfId="0"/>
    <cellStyle name="_PC_AIO_CRT_VSA 111014 3" xfId="0"/>
    <cellStyle name="_PC_AIO_CRT_VSA 111014 4" xfId="0"/>
    <cellStyle name="_PC_AIO_CRT_VSA 111014 4 2" xfId="0"/>
    <cellStyle name="_PC_AIO_CRT_VSA 111014_By Region" xfId="0"/>
    <cellStyle name="_PC_AIO_CRT_VSA 111014_CORP SG&amp;A" xfId="0"/>
    <cellStyle name="_PC_AIO_CRT_VSA 111014_LCD" xfId="0"/>
    <cellStyle name="_PC_AIO_CRT_VSA 111014_PJ" xfId="0"/>
    <cellStyle name="_PC_AIO_CRT_VSA Roll-Up (LW)" xfId="0"/>
    <cellStyle name="_PC_AIO_CRT_VSA Roll-Up (LW) 2" xfId="0"/>
    <cellStyle name="_PC_AIO_CRT_VSA Roll-Up (LW) 3" xfId="0"/>
    <cellStyle name="_PC_AIO_CRT_VSA Roll-Up (LW) 4" xfId="0"/>
    <cellStyle name="_PC_AIO_CRT_VSA Roll-Up (LW) 4 2" xfId="0"/>
    <cellStyle name="_PC_AIO_CRT_VSA Roll-Up (LW)_By Region" xfId="0"/>
    <cellStyle name="_PC_AIO_CRT_VSA Roll-Up (LW)_CORP SG&amp;A" xfId="0"/>
    <cellStyle name="_PC_AIO_CRT_VSA Roll-Up (LW)_LCD" xfId="0"/>
    <cellStyle name="_PC_AIO_CRT_VSA Roll-Up (LW)_PJ" xfId="0"/>
    <cellStyle name="_PC_AIO_Diff" xfId="0"/>
    <cellStyle name="_PC_AIO_Diff 2" xfId="0"/>
    <cellStyle name="_PC_AIO_Diff 3" xfId="0"/>
    <cellStyle name="_PC_AIO_Diff 4" xfId="0"/>
    <cellStyle name="_PC_AIO_Diff_By Region" xfId="0"/>
    <cellStyle name="_PC_AIO_Diff_CORP SG&amp;A" xfId="0"/>
    <cellStyle name="_PC_AIO_Diff_GPS OTHER" xfId="0"/>
    <cellStyle name="_PC_AIO_Diff_GPS OTHER 2" xfId="0"/>
    <cellStyle name="_PC_AIO_Diff_GPS OTHER 3" xfId="0"/>
    <cellStyle name="_PC_AIO_Diff_GPS OTHER 4" xfId="0"/>
    <cellStyle name="_PC_AIO_Diff_GPS OTHER 4 2" xfId="0"/>
    <cellStyle name="_PC_AIO_Diff_GPS OTHER_By Region" xfId="0"/>
    <cellStyle name="_PC_AIO_Diff_GPS OTHER_CORP SG&amp;A" xfId="0"/>
    <cellStyle name="_PC_AIO_Diff_GPS OTHER_LCD" xfId="0"/>
    <cellStyle name="_PC_AIO_Diff_GPS OTHER_PJ" xfId="0"/>
    <cellStyle name="_PC_AIO_Diff_LCD" xfId="0"/>
    <cellStyle name="_PC_AIO_Diff_LCD 2" xfId="0"/>
    <cellStyle name="_PC_AIO_Diff_LCD 3" xfId="0"/>
    <cellStyle name="_PC_AIO_Diff_LCD 4" xfId="0"/>
    <cellStyle name="_PC_AIO_Diff_LCD_By Region" xfId="0"/>
    <cellStyle name="_PC_AIO_Diff_LCD_CORP SG&amp;A" xfId="0"/>
    <cellStyle name="_PC_AIO_Diff_LCD_LCD" xfId="0"/>
    <cellStyle name="_PC_AIO_Diff_LCD_PJ" xfId="0"/>
    <cellStyle name="_PC_AIO_Diff_PC Products" xfId="0"/>
    <cellStyle name="_PC_AIO_Diff_PC Products 2" xfId="0"/>
    <cellStyle name="_PC_AIO_Diff_PC Products 3" xfId="0"/>
    <cellStyle name="_PC_AIO_Diff_PC Products 4" xfId="0"/>
    <cellStyle name="_PC_AIO_Diff_PC Products 4 2" xfId="0"/>
    <cellStyle name="_PC_AIO_Diff_PC Products_By Region" xfId="0"/>
    <cellStyle name="_PC_AIO_Diff_PC Products_CORP SG&amp;A" xfId="0"/>
    <cellStyle name="_PC_AIO_Diff_PC Products_LCD" xfId="0"/>
    <cellStyle name="_PC_AIO_Diff_PC Products_PJ" xfId="0"/>
    <cellStyle name="_PC_AIO_Diff_VSA 111014" xfId="0"/>
    <cellStyle name="_PC_AIO_Diff_VSA 111014 2" xfId="0"/>
    <cellStyle name="_PC_AIO_Diff_VSA 111014 3" xfId="0"/>
    <cellStyle name="_PC_AIO_Diff_VSA 111014 4" xfId="0"/>
    <cellStyle name="_PC_AIO_Diff_VSA 111014 4 2" xfId="0"/>
    <cellStyle name="_PC_AIO_Diff_VSA 111014_By Region" xfId="0"/>
    <cellStyle name="_PC_AIO_Diff_VSA 111014_CORP SG&amp;A" xfId="0"/>
    <cellStyle name="_PC_AIO_Diff_VSA 111014_LCD" xfId="0"/>
    <cellStyle name="_PC_AIO_Diff_VSA 111014_PJ" xfId="0"/>
    <cellStyle name="_PC_AIO_Diff_VSA Roll-Up (LW)" xfId="0"/>
    <cellStyle name="_PC_AIO_Diff_VSA Roll-Up (LW) 2" xfId="0"/>
    <cellStyle name="_PC_AIO_Diff_VSA Roll-Up (LW) 3" xfId="0"/>
    <cellStyle name="_PC_AIO_Diff_VSA Roll-Up (LW) 4" xfId="0"/>
    <cellStyle name="_PC_AIO_Diff_VSA Roll-Up (LW) 4 2" xfId="0"/>
    <cellStyle name="_PC_AIO_Diff_VSA Roll-Up (LW)_By Region" xfId="0"/>
    <cellStyle name="_PC_AIO_Diff_VSA Roll-Up (LW)_CORP SG&amp;A" xfId="0"/>
    <cellStyle name="_PC_AIO_Diff_VSA Roll-Up (LW)_LCD" xfId="0"/>
    <cellStyle name="_PC_AIO_Diff_VSA Roll-Up (LW)_PJ" xfId="0"/>
    <cellStyle name="_PC_AIO_Digital Product" xfId="0"/>
    <cellStyle name="_PC_AIO_Digital Product 2" xfId="0"/>
    <cellStyle name="_PC_AIO_Digital Product 3" xfId="0"/>
    <cellStyle name="_PC_AIO_Digital Product 4" xfId="0"/>
    <cellStyle name="_PC_AIO_Digital Product_By Region" xfId="0"/>
    <cellStyle name="_PC_AIO_Digital Product_CORP SG&amp;A" xfId="0"/>
    <cellStyle name="_PC_AIO_Digital Product_GPS OTHER" xfId="0"/>
    <cellStyle name="_PC_AIO_Digital Product_GPS OTHER 2" xfId="0"/>
    <cellStyle name="_PC_AIO_Digital Product_GPS OTHER 3" xfId="0"/>
    <cellStyle name="_PC_AIO_Digital Product_GPS OTHER 4" xfId="0"/>
    <cellStyle name="_PC_AIO_Digital Product_GPS OTHER 4 2" xfId="0"/>
    <cellStyle name="_PC_AIO_Digital Product_GPS OTHER_By Region" xfId="0"/>
    <cellStyle name="_PC_AIO_Digital Product_GPS OTHER_CORP SG&amp;A" xfId="0"/>
    <cellStyle name="_PC_AIO_Digital Product_GPS OTHER_LCD" xfId="0"/>
    <cellStyle name="_PC_AIO_Digital Product_GPS OTHER_PJ" xfId="0"/>
    <cellStyle name="_PC_AIO_Digital Product_LCD" xfId="0"/>
    <cellStyle name="_PC_AIO_Digital Product_LCD 2" xfId="0"/>
    <cellStyle name="_PC_AIO_Digital Product_LCD 3" xfId="0"/>
    <cellStyle name="_PC_AIO_Digital Product_LCD 4" xfId="0"/>
    <cellStyle name="_PC_AIO_Digital Product_LCD_By Region" xfId="0"/>
    <cellStyle name="_PC_AIO_Digital Product_LCD_CORP SG&amp;A" xfId="0"/>
    <cellStyle name="_PC_AIO_Digital Product_LCD_LCD" xfId="0"/>
    <cellStyle name="_PC_AIO_Digital Product_LCD_PJ" xfId="0"/>
    <cellStyle name="_PC_AIO_Digital Product_PC Products" xfId="0"/>
    <cellStyle name="_PC_AIO_Digital Product_PC Products 2" xfId="0"/>
    <cellStyle name="_PC_AIO_Digital Product_PC Products 3" xfId="0"/>
    <cellStyle name="_PC_AIO_Digital Product_PC Products 4" xfId="0"/>
    <cellStyle name="_PC_AIO_Digital Product_PC Products 4 2" xfId="0"/>
    <cellStyle name="_PC_AIO_Digital Product_PC Products_By Region" xfId="0"/>
    <cellStyle name="_PC_AIO_Digital Product_PC Products_CORP SG&amp;A" xfId="0"/>
    <cellStyle name="_PC_AIO_Digital Product_PC Products_LCD" xfId="0"/>
    <cellStyle name="_PC_AIO_Digital Product_PC Products_PJ" xfId="0"/>
    <cellStyle name="_PC_AIO_Digital Product_VSA 111014" xfId="0"/>
    <cellStyle name="_PC_AIO_Digital Product_VSA 111014 2" xfId="0"/>
    <cellStyle name="_PC_AIO_Digital Product_VSA 111014 3" xfId="0"/>
    <cellStyle name="_PC_AIO_Digital Product_VSA 111014 4" xfId="0"/>
    <cellStyle name="_PC_AIO_Digital Product_VSA 111014 4 2" xfId="0"/>
    <cellStyle name="_PC_AIO_Digital Product_VSA 111014_By Region" xfId="0"/>
    <cellStyle name="_PC_AIO_Digital Product_VSA 111014_CORP SG&amp;A" xfId="0"/>
    <cellStyle name="_PC_AIO_Digital Product_VSA 111014_LCD" xfId="0"/>
    <cellStyle name="_PC_AIO_Digital Product_VSA 111014_PJ" xfId="0"/>
    <cellStyle name="_PC_AIO_Digital Product_VSA Roll-Up (LW)" xfId="0"/>
    <cellStyle name="_PC_AIO_Digital Product_VSA Roll-Up (LW) 2" xfId="0"/>
    <cellStyle name="_PC_AIO_Digital Product_VSA Roll-Up (LW) 3" xfId="0"/>
    <cellStyle name="_PC_AIO_Digital Product_VSA Roll-Up (LW) 4" xfId="0"/>
    <cellStyle name="_PC_AIO_Digital Product_VSA Roll-Up (LW) 4 2" xfId="0"/>
    <cellStyle name="_PC_AIO_Digital Product_VSA Roll-Up (LW)_By Region" xfId="0"/>
    <cellStyle name="_PC_AIO_Digital Product_VSA Roll-Up (LW)_CORP SG&amp;A" xfId="0"/>
    <cellStyle name="_PC_AIO_Digital Product_VSA Roll-Up (LW)_LCD" xfId="0"/>
    <cellStyle name="_PC_AIO_Digital Product_VSA Roll-Up (LW)_PJ" xfId="0"/>
    <cellStyle name="_PC_AIO_Digital Signage" xfId="0"/>
    <cellStyle name="_PC_AIO_Digital Signage 2" xfId="0"/>
    <cellStyle name="_PC_AIO_Digital Signage 3" xfId="0"/>
    <cellStyle name="_PC_AIO_Digital Signage 4" xfId="0"/>
    <cellStyle name="_PC_AIO_Digital Signage_By Region" xfId="0"/>
    <cellStyle name="_PC_AIO_Digital Signage_CORP SG&amp;A" xfId="0"/>
    <cellStyle name="_PC_AIO_Digital Signage_GPS OTHER" xfId="0"/>
    <cellStyle name="_PC_AIO_Digital Signage_GPS OTHER 2" xfId="0"/>
    <cellStyle name="_PC_AIO_Digital Signage_GPS OTHER 3" xfId="0"/>
    <cellStyle name="_PC_AIO_Digital Signage_GPS OTHER 4" xfId="0"/>
    <cellStyle name="_PC_AIO_Digital Signage_GPS OTHER 4 2" xfId="0"/>
    <cellStyle name="_PC_AIO_Digital Signage_GPS OTHER_By Region" xfId="0"/>
    <cellStyle name="_PC_AIO_Digital Signage_GPS OTHER_CORP SG&amp;A" xfId="0"/>
    <cellStyle name="_PC_AIO_Digital Signage_GPS OTHER_LCD" xfId="0"/>
    <cellStyle name="_PC_AIO_Digital Signage_GPS OTHER_PJ" xfId="0"/>
    <cellStyle name="_PC_AIO_Digital Signage_LCD" xfId="0"/>
    <cellStyle name="_PC_AIO_Digital Signage_LCD 2" xfId="0"/>
    <cellStyle name="_PC_AIO_Digital Signage_LCD 3" xfId="0"/>
    <cellStyle name="_PC_AIO_Digital Signage_LCD 4" xfId="0"/>
    <cellStyle name="_PC_AIO_Digital Signage_LCD_By Region" xfId="0"/>
    <cellStyle name="_PC_AIO_Digital Signage_LCD_CORP SG&amp;A" xfId="0"/>
    <cellStyle name="_PC_AIO_Digital Signage_LCD_LCD" xfId="0"/>
    <cellStyle name="_PC_AIO_Digital Signage_LCD_PJ" xfId="0"/>
    <cellStyle name="_PC_AIO_Digital Signage_PC Products" xfId="0"/>
    <cellStyle name="_PC_AIO_Digital Signage_PC Products 2" xfId="0"/>
    <cellStyle name="_PC_AIO_Digital Signage_PC Products 3" xfId="0"/>
    <cellStyle name="_PC_AIO_Digital Signage_PC Products 4" xfId="0"/>
    <cellStyle name="_PC_AIO_Digital Signage_PC Products 4 2" xfId="0"/>
    <cellStyle name="_PC_AIO_Digital Signage_PC Products_By Region" xfId="0"/>
    <cellStyle name="_PC_AIO_Digital Signage_PC Products_CORP SG&amp;A" xfId="0"/>
    <cellStyle name="_PC_AIO_Digital Signage_PC Products_LCD" xfId="0"/>
    <cellStyle name="_PC_AIO_Digital Signage_PC Products_PJ" xfId="0"/>
    <cellStyle name="_PC_AIO_Digital Signage_VSA 111014" xfId="0"/>
    <cellStyle name="_PC_AIO_Digital Signage_VSA 111014 2" xfId="0"/>
    <cellStyle name="_PC_AIO_Digital Signage_VSA 111014 3" xfId="0"/>
    <cellStyle name="_PC_AIO_Digital Signage_VSA 111014 4" xfId="0"/>
    <cellStyle name="_PC_AIO_Digital Signage_VSA 111014 4 2" xfId="0"/>
    <cellStyle name="_PC_AIO_Digital Signage_VSA 111014_By Region" xfId="0"/>
    <cellStyle name="_PC_AIO_Digital Signage_VSA 111014_CORP SG&amp;A" xfId="0"/>
    <cellStyle name="_PC_AIO_Digital Signage_VSA 111014_LCD" xfId="0"/>
    <cellStyle name="_PC_AIO_Digital Signage_VSA 111014_PJ" xfId="0"/>
    <cellStyle name="_PC_AIO_Digital Signage_VSA Roll-Up (LW)" xfId="0"/>
    <cellStyle name="_PC_AIO_Digital Signage_VSA Roll-Up (LW) 2" xfId="0"/>
    <cellStyle name="_PC_AIO_Digital Signage_VSA Roll-Up (LW) 3" xfId="0"/>
    <cellStyle name="_PC_AIO_Digital Signage_VSA Roll-Up (LW) 4" xfId="0"/>
    <cellStyle name="_PC_AIO_Digital Signage_VSA Roll-Up (LW) 4 2" xfId="0"/>
    <cellStyle name="_PC_AIO_Digital Signage_VSA Roll-Up (LW)_By Region" xfId="0"/>
    <cellStyle name="_PC_AIO_Digital Signage_VSA Roll-Up (LW)_CORP SG&amp;A" xfId="0"/>
    <cellStyle name="_PC_AIO_Digital Signage_VSA Roll-Up (LW)_LCD" xfId="0"/>
    <cellStyle name="_PC_AIO_Digital Signage_VSA Roll-Up (LW)_PJ" xfId="0"/>
    <cellStyle name="_PC_AIO_DMA(VMP)" xfId="0"/>
    <cellStyle name="_PC_AIO_DMA(VMP) 2" xfId="0"/>
    <cellStyle name="_PC_AIO_DMA(VMP) 3" xfId="0"/>
    <cellStyle name="_PC_AIO_DMA(VMP) 4" xfId="0"/>
    <cellStyle name="_PC_AIO_DMA(VMP)_By Region" xfId="0"/>
    <cellStyle name="_PC_AIO_DMA(VMP)_CORP SG&amp;A" xfId="0"/>
    <cellStyle name="_PC_AIO_DMA(VMP)_GPS OTHER" xfId="0"/>
    <cellStyle name="_PC_AIO_DMA(VMP)_GPS OTHER 2" xfId="0"/>
    <cellStyle name="_PC_AIO_DMA(VMP)_GPS OTHER 3" xfId="0"/>
    <cellStyle name="_PC_AIO_DMA(VMP)_GPS OTHER 4" xfId="0"/>
    <cellStyle name="_PC_AIO_DMA(VMP)_GPS OTHER 4 2" xfId="0"/>
    <cellStyle name="_PC_AIO_DMA(VMP)_GPS OTHER_By Region" xfId="0"/>
    <cellStyle name="_PC_AIO_DMA(VMP)_GPS OTHER_CORP SG&amp;A" xfId="0"/>
    <cellStyle name="_PC_AIO_DMA(VMP)_GPS OTHER_LCD" xfId="0"/>
    <cellStyle name="_PC_AIO_DMA(VMP)_GPS OTHER_PJ" xfId="0"/>
    <cellStyle name="_PC_AIO_DMA(VMP)_LCD" xfId="0"/>
    <cellStyle name="_PC_AIO_DMA(VMP)_LCD 2" xfId="0"/>
    <cellStyle name="_PC_AIO_DMA(VMP)_LCD 3" xfId="0"/>
    <cellStyle name="_PC_AIO_DMA(VMP)_LCD 4" xfId="0"/>
    <cellStyle name="_PC_AIO_DMA(VMP)_LCD_By Region" xfId="0"/>
    <cellStyle name="_PC_AIO_DMA(VMP)_LCD_CORP SG&amp;A" xfId="0"/>
    <cellStyle name="_PC_AIO_DMA(VMP)_LCD_LCD" xfId="0"/>
    <cellStyle name="_PC_AIO_DMA(VMP)_LCD_PJ" xfId="0"/>
    <cellStyle name="_PC_AIO_DMA(VMP)_PC Products" xfId="0"/>
    <cellStyle name="_PC_AIO_DMA(VMP)_PC Products 2" xfId="0"/>
    <cellStyle name="_PC_AIO_DMA(VMP)_PC Products 3" xfId="0"/>
    <cellStyle name="_PC_AIO_DMA(VMP)_PC Products 4" xfId="0"/>
    <cellStyle name="_PC_AIO_DMA(VMP)_PC Products 4 2" xfId="0"/>
    <cellStyle name="_PC_AIO_DMA(VMP)_PC Products_By Region" xfId="0"/>
    <cellStyle name="_PC_AIO_DMA(VMP)_PC Products_CORP SG&amp;A" xfId="0"/>
    <cellStyle name="_PC_AIO_DMA(VMP)_PC Products_LCD" xfId="0"/>
    <cellStyle name="_PC_AIO_DMA(VMP)_PC Products_PJ" xfId="0"/>
    <cellStyle name="_PC_AIO_DMA(VMP)_VSA 111014" xfId="0"/>
    <cellStyle name="_PC_AIO_DMA(VMP)_VSA 111014 2" xfId="0"/>
    <cellStyle name="_PC_AIO_DMA(VMP)_VSA 111014 3" xfId="0"/>
    <cellStyle name="_PC_AIO_DMA(VMP)_VSA 111014 4" xfId="0"/>
    <cellStyle name="_PC_AIO_DMA(VMP)_VSA 111014 4 2" xfId="0"/>
    <cellStyle name="_PC_AIO_DMA(VMP)_VSA 111014_By Region" xfId="0"/>
    <cellStyle name="_PC_AIO_DMA(VMP)_VSA 111014_CORP SG&amp;A" xfId="0"/>
    <cellStyle name="_PC_AIO_DMA(VMP)_VSA 111014_LCD" xfId="0"/>
    <cellStyle name="_PC_AIO_DMA(VMP)_VSA 111014_PJ" xfId="0"/>
    <cellStyle name="_PC_AIO_DMA(VMP)_VSA Roll-Up (LW)" xfId="0"/>
    <cellStyle name="_PC_AIO_DMA(VMP)_VSA Roll-Up (LW) 2" xfId="0"/>
    <cellStyle name="_PC_AIO_DMA(VMP)_VSA Roll-Up (LW) 3" xfId="0"/>
    <cellStyle name="_PC_AIO_DMA(VMP)_VSA Roll-Up (LW) 4" xfId="0"/>
    <cellStyle name="_PC_AIO_DMA(VMP)_VSA Roll-Up (LW) 4 2" xfId="0"/>
    <cellStyle name="_PC_AIO_DMA(VMP)_VSA Roll-Up (LW)_By Region" xfId="0"/>
    <cellStyle name="_PC_AIO_DMA(VMP)_VSA Roll-Up (LW)_CORP SG&amp;A" xfId="0"/>
    <cellStyle name="_PC_AIO_DMA(VMP)_VSA Roll-Up (LW)_LCD" xfId="0"/>
    <cellStyle name="_PC_AIO_DMA(VMP)_VSA Roll-Up (LW)_PJ" xfId="0"/>
    <cellStyle name="_PC_AIO_DPF" xfId="0"/>
    <cellStyle name="_PC_AIO_DPF 2" xfId="0"/>
    <cellStyle name="_PC_AIO_DPF 3" xfId="0"/>
    <cellStyle name="_PC_AIO_DPF 4" xfId="0"/>
    <cellStyle name="_PC_AIO_DPF_By Region" xfId="0"/>
    <cellStyle name="_PC_AIO_DPF_CORP SG&amp;A" xfId="0"/>
    <cellStyle name="_PC_AIO_DPF_GPS OTHER" xfId="0"/>
    <cellStyle name="_PC_AIO_DPF_GPS OTHER 2" xfId="0"/>
    <cellStyle name="_PC_AIO_DPF_GPS OTHER 3" xfId="0"/>
    <cellStyle name="_PC_AIO_DPF_GPS OTHER 4" xfId="0"/>
    <cellStyle name="_PC_AIO_DPF_GPS OTHER 4 2" xfId="0"/>
    <cellStyle name="_PC_AIO_DPF_GPS OTHER_By Region" xfId="0"/>
    <cellStyle name="_PC_AIO_DPF_GPS OTHER_CORP SG&amp;A" xfId="0"/>
    <cellStyle name="_PC_AIO_DPF_GPS OTHER_LCD" xfId="0"/>
    <cellStyle name="_PC_AIO_DPF_GPS OTHER_PJ" xfId="0"/>
    <cellStyle name="_PC_AIO_DPF_LCD" xfId="0"/>
    <cellStyle name="_PC_AIO_DPF_LCD 2" xfId="0"/>
    <cellStyle name="_PC_AIO_DPF_LCD 3" xfId="0"/>
    <cellStyle name="_PC_AIO_DPF_LCD 4" xfId="0"/>
    <cellStyle name="_PC_AIO_DPF_LCD_By Region" xfId="0"/>
    <cellStyle name="_PC_AIO_DPF_LCD_CORP SG&amp;A" xfId="0"/>
    <cellStyle name="_PC_AIO_DPF_LCD_LCD" xfId="0"/>
    <cellStyle name="_PC_AIO_DPF_LCD_PJ" xfId="0"/>
    <cellStyle name="_PC_AIO_DPF_PC Products" xfId="0"/>
    <cellStyle name="_PC_AIO_DPF_PC Products 2" xfId="0"/>
    <cellStyle name="_PC_AIO_DPF_PC Products 3" xfId="0"/>
    <cellStyle name="_PC_AIO_DPF_PC Products 4" xfId="0"/>
    <cellStyle name="_PC_AIO_DPF_PC Products 4 2" xfId="0"/>
    <cellStyle name="_PC_AIO_DPF_PC Products_By Region" xfId="0"/>
    <cellStyle name="_PC_AIO_DPF_PC Products_CORP SG&amp;A" xfId="0"/>
    <cellStyle name="_PC_AIO_DPF_PC Products_LCD" xfId="0"/>
    <cellStyle name="_PC_AIO_DPF_PC Products_PJ" xfId="0"/>
    <cellStyle name="_PC_AIO_DPF_VSA 111014" xfId="0"/>
    <cellStyle name="_PC_AIO_DPF_VSA 111014 2" xfId="0"/>
    <cellStyle name="_PC_AIO_DPF_VSA 111014 3" xfId="0"/>
    <cellStyle name="_PC_AIO_DPF_VSA 111014 4" xfId="0"/>
    <cellStyle name="_PC_AIO_DPF_VSA 111014 4 2" xfId="0"/>
    <cellStyle name="_PC_AIO_DPF_VSA 111014_By Region" xfId="0"/>
    <cellStyle name="_PC_AIO_DPF_VSA 111014_CORP SG&amp;A" xfId="0"/>
    <cellStyle name="_PC_AIO_DPF_VSA 111014_LCD" xfId="0"/>
    <cellStyle name="_PC_AIO_DPF_VSA 111014_PJ" xfId="0"/>
    <cellStyle name="_PC_AIO_DPF_VSA Roll-Up (LW)" xfId="0"/>
    <cellStyle name="_PC_AIO_DPF_VSA Roll-Up (LW) 2" xfId="0"/>
    <cellStyle name="_PC_AIO_DPF_VSA Roll-Up (LW) 3" xfId="0"/>
    <cellStyle name="_PC_AIO_DPF_VSA Roll-Up (LW) 4" xfId="0"/>
    <cellStyle name="_PC_AIO_DPF_VSA Roll-Up (LW) 4 2" xfId="0"/>
    <cellStyle name="_PC_AIO_DPF_VSA Roll-Up (LW)_By Region" xfId="0"/>
    <cellStyle name="_PC_AIO_DPF_VSA Roll-Up (LW)_CORP SG&amp;A" xfId="0"/>
    <cellStyle name="_PC_AIO_DPF_VSA Roll-Up (LW)_LCD" xfId="0"/>
    <cellStyle name="_PC_AIO_DPF_VSA Roll-Up (LW)_PJ" xfId="0"/>
    <cellStyle name="_PC_AIO_DS" xfId="0"/>
    <cellStyle name="_PC_AIO_DS 2" xfId="0"/>
    <cellStyle name="_PC_AIO_DS 3" xfId="0"/>
    <cellStyle name="_PC_AIO_DS 4" xfId="0"/>
    <cellStyle name="_PC_AIO_DS_By Region" xfId="0"/>
    <cellStyle name="_PC_AIO_DS_CORP SG&amp;A" xfId="0"/>
    <cellStyle name="_PC_AIO_DS_GPS OTHER" xfId="0"/>
    <cellStyle name="_PC_AIO_DS_GPS OTHER 2" xfId="0"/>
    <cellStyle name="_PC_AIO_DS_GPS OTHER 3" xfId="0"/>
    <cellStyle name="_PC_AIO_DS_GPS OTHER 4" xfId="0"/>
    <cellStyle name="_PC_AIO_DS_GPS OTHER 4 2" xfId="0"/>
    <cellStyle name="_PC_AIO_DS_GPS OTHER_By Region" xfId="0"/>
    <cellStyle name="_PC_AIO_DS_GPS OTHER_CORP SG&amp;A" xfId="0"/>
    <cellStyle name="_PC_AIO_DS_GPS OTHER_LCD" xfId="0"/>
    <cellStyle name="_PC_AIO_DS_GPS OTHER_PJ" xfId="0"/>
    <cellStyle name="_PC_AIO_DS_LCD" xfId="0"/>
    <cellStyle name="_PC_AIO_DS_LCD 2" xfId="0"/>
    <cellStyle name="_PC_AIO_DS_LCD 3" xfId="0"/>
    <cellStyle name="_PC_AIO_DS_LCD 4" xfId="0"/>
    <cellStyle name="_PC_AIO_DS_LCD_By Region" xfId="0"/>
    <cellStyle name="_PC_AIO_DS_LCD_CORP SG&amp;A" xfId="0"/>
    <cellStyle name="_PC_AIO_DS_LCD_LCD" xfId="0"/>
    <cellStyle name="_PC_AIO_DS_LCD_PJ" xfId="0"/>
    <cellStyle name="_PC_AIO_DS_PC Products" xfId="0"/>
    <cellStyle name="_PC_AIO_DS_PC Products 2" xfId="0"/>
    <cellStyle name="_PC_AIO_DS_PC Products 3" xfId="0"/>
    <cellStyle name="_PC_AIO_DS_PC Products 4" xfId="0"/>
    <cellStyle name="_PC_AIO_DS_PC Products 4 2" xfId="0"/>
    <cellStyle name="_PC_AIO_DS_PC Products_By Region" xfId="0"/>
    <cellStyle name="_PC_AIO_DS_PC Products_CORP SG&amp;A" xfId="0"/>
    <cellStyle name="_PC_AIO_DS_PC Products_LCD" xfId="0"/>
    <cellStyle name="_PC_AIO_DS_PC Products_PJ" xfId="0"/>
    <cellStyle name="_PC_AIO_DS_VSA 111014" xfId="0"/>
    <cellStyle name="_PC_AIO_DS_VSA 111014 2" xfId="0"/>
    <cellStyle name="_PC_AIO_DS_VSA 111014 3" xfId="0"/>
    <cellStyle name="_PC_AIO_DS_VSA 111014 4" xfId="0"/>
    <cellStyle name="_PC_AIO_DS_VSA 111014 4 2" xfId="0"/>
    <cellStyle name="_PC_AIO_DS_VSA 111014_By Region" xfId="0"/>
    <cellStyle name="_PC_AIO_DS_VSA 111014_CORP SG&amp;A" xfId="0"/>
    <cellStyle name="_PC_AIO_DS_VSA 111014_LCD" xfId="0"/>
    <cellStyle name="_PC_AIO_DS_VSA 111014_PJ" xfId="0"/>
    <cellStyle name="_PC_AIO_DS_VSA Roll-Up (LW)" xfId="0"/>
    <cellStyle name="_PC_AIO_DS_VSA Roll-Up (LW) 2" xfId="0"/>
    <cellStyle name="_PC_AIO_DS_VSA Roll-Up (LW) 3" xfId="0"/>
    <cellStyle name="_PC_AIO_DS_VSA Roll-Up (LW) 4" xfId="0"/>
    <cellStyle name="_PC_AIO_DS_VSA Roll-Up (LW) 4 2" xfId="0"/>
    <cellStyle name="_PC_AIO_DS_VSA Roll-Up (LW)_By Region" xfId="0"/>
    <cellStyle name="_PC_AIO_DS_VSA Roll-Up (LW)_CORP SG&amp;A" xfId="0"/>
    <cellStyle name="_PC_AIO_DS_VSA Roll-Up (LW)_LCD" xfId="0"/>
    <cellStyle name="_PC_AIO_DS_VSA Roll-Up (LW)_PJ" xfId="0"/>
    <cellStyle name="_PC_AIO_DVD_TV" xfId="0"/>
    <cellStyle name="_PC_AIO_DVD_TV 2" xfId="0"/>
    <cellStyle name="_PC_AIO_DVD_TV 3" xfId="0"/>
    <cellStyle name="_PC_AIO_DVD_TV 4" xfId="0"/>
    <cellStyle name="_PC_AIO_DVD_TV_By Region" xfId="0"/>
    <cellStyle name="_PC_AIO_DVD_TV_CORP SG&amp;A" xfId="0"/>
    <cellStyle name="_PC_AIO_DVD_TV_GPS OTHER" xfId="0"/>
    <cellStyle name="_PC_AIO_DVD_TV_GPS OTHER 2" xfId="0"/>
    <cellStyle name="_PC_AIO_DVD_TV_GPS OTHER 3" xfId="0"/>
    <cellStyle name="_PC_AIO_DVD_TV_GPS OTHER 4" xfId="0"/>
    <cellStyle name="_PC_AIO_DVD_TV_GPS OTHER 4 2" xfId="0"/>
    <cellStyle name="_PC_AIO_DVD_TV_GPS OTHER_By Region" xfId="0"/>
    <cellStyle name="_PC_AIO_DVD_TV_GPS OTHER_CORP SG&amp;A" xfId="0"/>
    <cellStyle name="_PC_AIO_DVD_TV_GPS OTHER_LCD" xfId="0"/>
    <cellStyle name="_PC_AIO_DVD_TV_GPS OTHER_PJ" xfId="0"/>
    <cellStyle name="_PC_AIO_DVD_TV_LCD" xfId="0"/>
    <cellStyle name="_PC_AIO_DVD_TV_LCD 2" xfId="0"/>
    <cellStyle name="_PC_AIO_DVD_TV_LCD 3" xfId="0"/>
    <cellStyle name="_PC_AIO_DVD_TV_LCD 4" xfId="0"/>
    <cellStyle name="_PC_AIO_DVD_TV_LCD_By Region" xfId="0"/>
    <cellStyle name="_PC_AIO_DVD_TV_LCD_CORP SG&amp;A" xfId="0"/>
    <cellStyle name="_PC_AIO_DVD_TV_LCD_LCD" xfId="0"/>
    <cellStyle name="_PC_AIO_DVD_TV_LCD_PJ" xfId="0"/>
    <cellStyle name="_PC_AIO_DVD_TV_PC Products" xfId="0"/>
    <cellStyle name="_PC_AIO_DVD_TV_PC Products 2" xfId="0"/>
    <cellStyle name="_PC_AIO_DVD_TV_PC Products 3" xfId="0"/>
    <cellStyle name="_PC_AIO_DVD_TV_PC Products 4" xfId="0"/>
    <cellStyle name="_PC_AIO_DVD_TV_PC Products 4 2" xfId="0"/>
    <cellStyle name="_PC_AIO_DVD_TV_PC Products_By Region" xfId="0"/>
    <cellStyle name="_PC_AIO_DVD_TV_PC Products_CORP SG&amp;A" xfId="0"/>
    <cellStyle name="_PC_AIO_DVD_TV_PC Products_LCD" xfId="0"/>
    <cellStyle name="_PC_AIO_DVD_TV_PC Products_PJ" xfId="0"/>
    <cellStyle name="_PC_AIO_DVD_TV_VSA 111014" xfId="0"/>
    <cellStyle name="_PC_AIO_DVD_TV_VSA 111014 2" xfId="0"/>
    <cellStyle name="_PC_AIO_DVD_TV_VSA 111014 3" xfId="0"/>
    <cellStyle name="_PC_AIO_DVD_TV_VSA 111014 4" xfId="0"/>
    <cellStyle name="_PC_AIO_DVD_TV_VSA 111014 4 2" xfId="0"/>
    <cellStyle name="_PC_AIO_DVD_TV_VSA 111014_By Region" xfId="0"/>
    <cellStyle name="_PC_AIO_DVD_TV_VSA 111014_CORP SG&amp;A" xfId="0"/>
    <cellStyle name="_PC_AIO_DVD_TV_VSA 111014_LCD" xfId="0"/>
    <cellStyle name="_PC_AIO_DVD_TV_VSA 111014_PJ" xfId="0"/>
    <cellStyle name="_PC_AIO_DVD_TV_VSA Roll-Up (LW)" xfId="0"/>
    <cellStyle name="_PC_AIO_DVD_TV_VSA Roll-Up (LW) 2" xfId="0"/>
    <cellStyle name="_PC_AIO_DVD_TV_VSA Roll-Up (LW) 3" xfId="0"/>
    <cellStyle name="_PC_AIO_DVD_TV_VSA Roll-Up (LW) 4" xfId="0"/>
    <cellStyle name="_PC_AIO_DVD_TV_VSA Roll-Up (LW) 4 2" xfId="0"/>
    <cellStyle name="_PC_AIO_DVD_TV_VSA Roll-Up (LW)_By Region" xfId="0"/>
    <cellStyle name="_PC_AIO_DVD_TV_VSA Roll-Up (LW)_CORP SG&amp;A" xfId="0"/>
    <cellStyle name="_PC_AIO_DVD_TV_VSA Roll-Up (LW)_LCD" xfId="0"/>
    <cellStyle name="_PC_AIO_DVD_TV_VSA Roll-Up (LW)_PJ" xfId="0"/>
    <cellStyle name="_PC_AIO_GPS OTHER" xfId="0"/>
    <cellStyle name="_PC_AIO_GPS OTHER 2" xfId="0"/>
    <cellStyle name="_PC_AIO_GPS OTHER 3" xfId="0"/>
    <cellStyle name="_PC_AIO_GPS OTHER 4" xfId="0"/>
    <cellStyle name="_PC_AIO_GPS OTHER 4 2" xfId="0"/>
    <cellStyle name="_PC_AIO_GPS OTHER_By Region" xfId="0"/>
    <cellStyle name="_PC_AIO_GPS OTHER_CORP SG&amp;A" xfId="0"/>
    <cellStyle name="_PC_AIO_GPS OTHER_LCD" xfId="0"/>
    <cellStyle name="_PC_AIO_GPS OTHER_PJ" xfId="0"/>
    <cellStyle name="_PC_AIO_LCD" xfId="0"/>
    <cellStyle name="_PC_AIO_LCD 2" xfId="0"/>
    <cellStyle name="_PC_AIO_LCD 3" xfId="0"/>
    <cellStyle name="_PC_AIO_LCD 4" xfId="0"/>
    <cellStyle name="_PC_AIO_LCD_1" xfId="0"/>
    <cellStyle name="_PC_AIO_LCD_1 2" xfId="0"/>
    <cellStyle name="_PC_AIO_LCD_1 3" xfId="0"/>
    <cellStyle name="_PC_AIO_LCD_1 4" xfId="0"/>
    <cellStyle name="_PC_AIO_LCD_1_By Region" xfId="0"/>
    <cellStyle name="_PC_AIO_LCD_1_CORP SG&amp;A" xfId="0"/>
    <cellStyle name="_PC_AIO_LCD_1_LCD" xfId="0"/>
    <cellStyle name="_PC_AIO_LCD_1_PJ" xfId="0"/>
    <cellStyle name="_PC_AIO_LCD_By Region" xfId="0"/>
    <cellStyle name="_PC_AIO_LCD_CORP SG&amp;A" xfId="0"/>
    <cellStyle name="_PC_AIO_LCD_GPS OTHER" xfId="0"/>
    <cellStyle name="_PC_AIO_LCD_GPS OTHER 2" xfId="0"/>
    <cellStyle name="_PC_AIO_LCD_GPS OTHER 3" xfId="0"/>
    <cellStyle name="_PC_AIO_LCD_GPS OTHER 4" xfId="0"/>
    <cellStyle name="_PC_AIO_LCD_GPS OTHER 4 2" xfId="0"/>
    <cellStyle name="_PC_AIO_LCD_GPS OTHER_By Region" xfId="0"/>
    <cellStyle name="_PC_AIO_LCD_GPS OTHER_CORP SG&amp;A" xfId="0"/>
    <cellStyle name="_PC_AIO_LCD_GPS OTHER_LCD" xfId="0"/>
    <cellStyle name="_PC_AIO_LCD_GPS OTHER_PJ" xfId="0"/>
    <cellStyle name="_PC_AIO_LCD_LCD" xfId="0"/>
    <cellStyle name="_PC_AIO_LCD_LCD 2" xfId="0"/>
    <cellStyle name="_PC_AIO_LCD_LCD 3" xfId="0"/>
    <cellStyle name="_PC_AIO_LCD_LCD 4" xfId="0"/>
    <cellStyle name="_PC_AIO_LCD_LCD_By Region" xfId="0"/>
    <cellStyle name="_PC_AIO_LCD_LCD_CORP SG&amp;A" xfId="0"/>
    <cellStyle name="_PC_AIO_LCD_LCD_LCD" xfId="0"/>
    <cellStyle name="_PC_AIO_LCD_LCD_PJ" xfId="0"/>
    <cellStyle name="_PC_AIO_LCD_PC Products" xfId="0"/>
    <cellStyle name="_PC_AIO_LCD_PC Products 2" xfId="0"/>
    <cellStyle name="_PC_AIO_LCD_PC Products 3" xfId="0"/>
    <cellStyle name="_PC_AIO_LCD_PC Products 4" xfId="0"/>
    <cellStyle name="_PC_AIO_LCD_PC Products 4 2" xfId="0"/>
    <cellStyle name="_PC_AIO_LCD_PC Products_By Region" xfId="0"/>
    <cellStyle name="_PC_AIO_LCD_PC Products_CORP SG&amp;A" xfId="0"/>
    <cellStyle name="_PC_AIO_LCD_PC Products_LCD" xfId="0"/>
    <cellStyle name="_PC_AIO_LCD_PC Products_PJ" xfId="0"/>
    <cellStyle name="_PC_AIO_LCD_VSA 111014" xfId="0"/>
    <cellStyle name="_PC_AIO_LCD_VSA 111014 2" xfId="0"/>
    <cellStyle name="_PC_AIO_LCD_VSA 111014 3" xfId="0"/>
    <cellStyle name="_PC_AIO_LCD_VSA 111014 4" xfId="0"/>
    <cellStyle name="_PC_AIO_LCD_VSA 111014 4 2" xfId="0"/>
    <cellStyle name="_PC_AIO_LCD_VSA 111014_By Region" xfId="0"/>
    <cellStyle name="_PC_AIO_LCD_VSA 111014_CORP SG&amp;A" xfId="0"/>
    <cellStyle name="_PC_AIO_LCD_VSA 111014_LCD" xfId="0"/>
    <cellStyle name="_PC_AIO_LCD_VSA 111014_PJ" xfId="0"/>
    <cellStyle name="_PC_AIO_LCD_VSA Roll-Up (LW)" xfId="0"/>
    <cellStyle name="_PC_AIO_LCD_VSA Roll-Up (LW) 2" xfId="0"/>
    <cellStyle name="_PC_AIO_LCD_VSA Roll-Up (LW) 3" xfId="0"/>
    <cellStyle name="_PC_AIO_LCD_VSA Roll-Up (LW) 4" xfId="0"/>
    <cellStyle name="_PC_AIO_LCD_VSA Roll-Up (LW) 4 2" xfId="0"/>
    <cellStyle name="_PC_AIO_LCD_VSA Roll-Up (LW)_By Region" xfId="0"/>
    <cellStyle name="_PC_AIO_LCD_VSA Roll-Up (LW)_CORP SG&amp;A" xfId="0"/>
    <cellStyle name="_PC_AIO_LCD_VSA Roll-Up (LW)_LCD" xfId="0"/>
    <cellStyle name="_PC_AIO_LCD_VSA Roll-Up (LW)_PJ" xfId="0"/>
    <cellStyle name="_PC_AIO_LCDTV" xfId="0"/>
    <cellStyle name="_PC_AIO_LCDTV 2" xfId="0"/>
    <cellStyle name="_PC_AIO_LCDTV 3" xfId="0"/>
    <cellStyle name="_PC_AIO_LCDTV 4" xfId="0"/>
    <cellStyle name="_PC_AIO_LCDTV_By Region" xfId="0"/>
    <cellStyle name="_PC_AIO_LCDTV_CORP SG&amp;A" xfId="0"/>
    <cellStyle name="_PC_AIO_LCDTV_GPS OTHER" xfId="0"/>
    <cellStyle name="_PC_AIO_LCDTV_GPS OTHER 2" xfId="0"/>
    <cellStyle name="_PC_AIO_LCDTV_GPS OTHER 3" xfId="0"/>
    <cellStyle name="_PC_AIO_LCDTV_GPS OTHER 4" xfId="0"/>
    <cellStyle name="_PC_AIO_LCDTV_GPS OTHER 4 2" xfId="0"/>
    <cellStyle name="_PC_AIO_LCDTV_GPS OTHER_By Region" xfId="0"/>
    <cellStyle name="_PC_AIO_LCDTV_GPS OTHER_CORP SG&amp;A" xfId="0"/>
    <cellStyle name="_PC_AIO_LCDTV_GPS OTHER_LCD" xfId="0"/>
    <cellStyle name="_PC_AIO_LCDTV_GPS OTHER_PJ" xfId="0"/>
    <cellStyle name="_PC_AIO_LCDTV_LCD" xfId="0"/>
    <cellStyle name="_PC_AIO_LCDTV_LCD 2" xfId="0"/>
    <cellStyle name="_PC_AIO_LCDTV_LCD 3" xfId="0"/>
    <cellStyle name="_PC_AIO_LCDTV_LCD 4" xfId="0"/>
    <cellStyle name="_PC_AIO_LCDTV_LCD_By Region" xfId="0"/>
    <cellStyle name="_PC_AIO_LCDTV_LCD_CORP SG&amp;A" xfId="0"/>
    <cellStyle name="_PC_AIO_LCDTV_LCD_LCD" xfId="0"/>
    <cellStyle name="_PC_AIO_LCDTV_LCD_PJ" xfId="0"/>
    <cellStyle name="_PC_AIO_LCDTV_PC Products" xfId="0"/>
    <cellStyle name="_PC_AIO_LCDTV_PC Products 2" xfId="0"/>
    <cellStyle name="_PC_AIO_LCDTV_PC Products 3" xfId="0"/>
    <cellStyle name="_PC_AIO_LCDTV_PC Products 4" xfId="0"/>
    <cellStyle name="_PC_AIO_LCDTV_PC Products 4 2" xfId="0"/>
    <cellStyle name="_PC_AIO_LCDTV_PC Products_By Region" xfId="0"/>
    <cellStyle name="_PC_AIO_LCDTV_PC Products_CORP SG&amp;A" xfId="0"/>
    <cellStyle name="_PC_AIO_LCDTV_PC Products_LCD" xfId="0"/>
    <cellStyle name="_PC_AIO_LCDTV_PC Products_PJ" xfId="0"/>
    <cellStyle name="_PC_AIO_LCDTV_VSA 111014" xfId="0"/>
    <cellStyle name="_PC_AIO_LCDTV_VSA 111014 2" xfId="0"/>
    <cellStyle name="_PC_AIO_LCDTV_VSA 111014 3" xfId="0"/>
    <cellStyle name="_PC_AIO_LCDTV_VSA 111014 4" xfId="0"/>
    <cellStyle name="_PC_AIO_LCDTV_VSA 111014 4 2" xfId="0"/>
    <cellStyle name="_PC_AIO_LCDTV_VSA 111014_By Region" xfId="0"/>
    <cellStyle name="_PC_AIO_LCDTV_VSA 111014_CORP SG&amp;A" xfId="0"/>
    <cellStyle name="_PC_AIO_LCDTV_VSA 111014_LCD" xfId="0"/>
    <cellStyle name="_PC_AIO_LCDTV_VSA 111014_PJ" xfId="0"/>
    <cellStyle name="_PC_AIO_LCDTV_VSA Roll-Up (LW)" xfId="0"/>
    <cellStyle name="_PC_AIO_LCDTV_VSA Roll-Up (LW) 2" xfId="0"/>
    <cellStyle name="_PC_AIO_LCDTV_VSA Roll-Up (LW) 3" xfId="0"/>
    <cellStyle name="_PC_AIO_LCDTV_VSA Roll-Up (LW) 4" xfId="0"/>
    <cellStyle name="_PC_AIO_LCDTV_VSA Roll-Up (LW) 4 2" xfId="0"/>
    <cellStyle name="_PC_AIO_LCDTV_VSA Roll-Up (LW)_By Region" xfId="0"/>
    <cellStyle name="_PC_AIO_LCDTV_VSA Roll-Up (LW)_CORP SG&amp;A" xfId="0"/>
    <cellStyle name="_PC_AIO_LCDTV_VSA Roll-Up (LW)_LCD" xfId="0"/>
    <cellStyle name="_PC_AIO_LCDTV_VSA Roll-Up (LW)_PJ" xfId="0"/>
    <cellStyle name="_PC_AIO_MNT" xfId="0"/>
    <cellStyle name="_PC_AIO_MNT 2" xfId="0"/>
    <cellStyle name="_PC_AIO_MNT 3" xfId="0"/>
    <cellStyle name="_PC_AIO_MNT 4" xfId="0"/>
    <cellStyle name="_PC_AIO_MNT_By Region" xfId="0"/>
    <cellStyle name="_PC_AIO_MNT_CORP SG&amp;A" xfId="0"/>
    <cellStyle name="_PC_AIO_MNT_GPS OTHER" xfId="0"/>
    <cellStyle name="_PC_AIO_MNT_GPS OTHER 2" xfId="0"/>
    <cellStyle name="_PC_AIO_MNT_GPS OTHER 3" xfId="0"/>
    <cellStyle name="_PC_AIO_MNT_GPS OTHER 4" xfId="0"/>
    <cellStyle name="_PC_AIO_MNT_GPS OTHER 4 2" xfId="0"/>
    <cellStyle name="_PC_AIO_MNT_GPS OTHER_By Region" xfId="0"/>
    <cellStyle name="_PC_AIO_MNT_GPS OTHER_CORP SG&amp;A" xfId="0"/>
    <cellStyle name="_PC_AIO_MNT_GPS OTHER_LCD" xfId="0"/>
    <cellStyle name="_PC_AIO_MNT_GPS OTHER_PJ" xfId="0"/>
    <cellStyle name="_PC_AIO_MNT_LCD" xfId="0"/>
    <cellStyle name="_PC_AIO_MNT_LCD 2" xfId="0"/>
    <cellStyle name="_PC_AIO_MNT_LCD 3" xfId="0"/>
    <cellStyle name="_PC_AIO_MNT_LCD 4" xfId="0"/>
    <cellStyle name="_PC_AIO_MNT_LCD_By Region" xfId="0"/>
    <cellStyle name="_PC_AIO_MNT_LCD_CORP SG&amp;A" xfId="0"/>
    <cellStyle name="_PC_AIO_MNT_LCD_LCD" xfId="0"/>
    <cellStyle name="_PC_AIO_MNT_LCD_PJ" xfId="0"/>
    <cellStyle name="_PC_AIO_MNT_PC Products" xfId="0"/>
    <cellStyle name="_PC_AIO_MNT_PC Products 2" xfId="0"/>
    <cellStyle name="_PC_AIO_MNT_PC Products 3" xfId="0"/>
    <cellStyle name="_PC_AIO_MNT_PC Products 4" xfId="0"/>
    <cellStyle name="_PC_AIO_MNT_PC Products 4 2" xfId="0"/>
    <cellStyle name="_PC_AIO_MNT_PC Products_By Region" xfId="0"/>
    <cellStyle name="_PC_AIO_MNT_PC Products_CORP SG&amp;A" xfId="0"/>
    <cellStyle name="_PC_AIO_MNT_PC Products_LCD" xfId="0"/>
    <cellStyle name="_PC_AIO_MNT_PC Products_PJ" xfId="0"/>
    <cellStyle name="_PC_AIO_MNT_VSA 111014" xfId="0"/>
    <cellStyle name="_PC_AIO_MNT_VSA 111014 2" xfId="0"/>
    <cellStyle name="_PC_AIO_MNT_VSA 111014 3" xfId="0"/>
    <cellStyle name="_PC_AIO_MNT_VSA 111014 4" xfId="0"/>
    <cellStyle name="_PC_AIO_MNT_VSA 111014 4 2" xfId="0"/>
    <cellStyle name="_PC_AIO_MNT_VSA 111014_By Region" xfId="0"/>
    <cellStyle name="_PC_AIO_MNT_VSA 111014_CORP SG&amp;A" xfId="0"/>
    <cellStyle name="_PC_AIO_MNT_VSA 111014_LCD" xfId="0"/>
    <cellStyle name="_PC_AIO_MNT_VSA 111014_PJ" xfId="0"/>
    <cellStyle name="_PC_AIO_MNT_VSA Roll-Up (LW)" xfId="0"/>
    <cellStyle name="_PC_AIO_MNT_VSA Roll-Up (LW) 2" xfId="0"/>
    <cellStyle name="_PC_AIO_MNT_VSA Roll-Up (LW) 3" xfId="0"/>
    <cellStyle name="_PC_AIO_MNT_VSA Roll-Up (LW) 4" xfId="0"/>
    <cellStyle name="_PC_AIO_MNT_VSA Roll-Up (LW) 4 2" xfId="0"/>
    <cellStyle name="_PC_AIO_MNT_VSA Roll-Up (LW)_By Region" xfId="0"/>
    <cellStyle name="_PC_AIO_MNT_VSA Roll-Up (LW)_CORP SG&amp;A" xfId="0"/>
    <cellStyle name="_PC_AIO_MNT_VSA Roll-Up (LW)_LCD" xfId="0"/>
    <cellStyle name="_PC_AIO_MNT_VSA Roll-Up (LW)_PJ" xfId="0"/>
    <cellStyle name="_PC_AIO_Other" xfId="0"/>
    <cellStyle name="_PC_AIO_Other 2" xfId="0"/>
    <cellStyle name="_PC_AIO_Other 3" xfId="0"/>
    <cellStyle name="_PC_AIO_Other 4" xfId="0"/>
    <cellStyle name="_PC_AIO_Other_By Region" xfId="0"/>
    <cellStyle name="_PC_AIO_Other_CORP SG&amp;A" xfId="0"/>
    <cellStyle name="_PC_AIO_Other_GPS OTHER" xfId="0"/>
    <cellStyle name="_PC_AIO_Other_GPS OTHER 2" xfId="0"/>
    <cellStyle name="_PC_AIO_Other_GPS OTHER 3" xfId="0"/>
    <cellStyle name="_PC_AIO_Other_GPS OTHER 4" xfId="0"/>
    <cellStyle name="_PC_AIO_Other_GPS OTHER 4 2" xfId="0"/>
    <cellStyle name="_PC_AIO_Other_GPS OTHER_By Region" xfId="0"/>
    <cellStyle name="_PC_AIO_Other_GPS OTHER_CORP SG&amp;A" xfId="0"/>
    <cellStyle name="_PC_AIO_Other_GPS OTHER_LCD" xfId="0"/>
    <cellStyle name="_PC_AIO_Other_GPS OTHER_PJ" xfId="0"/>
    <cellStyle name="_PC_AIO_Other_LCD" xfId="0"/>
    <cellStyle name="_PC_AIO_Other_LCD 2" xfId="0"/>
    <cellStyle name="_PC_AIO_Other_LCD 3" xfId="0"/>
    <cellStyle name="_PC_AIO_Other_LCD 4" xfId="0"/>
    <cellStyle name="_PC_AIO_Other_LCD_By Region" xfId="0"/>
    <cellStyle name="_PC_AIO_Other_LCD_CORP SG&amp;A" xfId="0"/>
    <cellStyle name="_PC_AIO_Other_LCD_LCD" xfId="0"/>
    <cellStyle name="_PC_AIO_Other_LCD_PJ" xfId="0"/>
    <cellStyle name="_PC_AIO_Other_PC Products" xfId="0"/>
    <cellStyle name="_PC_AIO_Other_PC Products 2" xfId="0"/>
    <cellStyle name="_PC_AIO_Other_PC Products 3" xfId="0"/>
    <cellStyle name="_PC_AIO_Other_PC Products 4" xfId="0"/>
    <cellStyle name="_PC_AIO_Other_PC Products 4 2" xfId="0"/>
    <cellStyle name="_PC_AIO_Other_PC Products_By Region" xfId="0"/>
    <cellStyle name="_PC_AIO_Other_PC Products_CORP SG&amp;A" xfId="0"/>
    <cellStyle name="_PC_AIO_Other_PC Products_LCD" xfId="0"/>
    <cellStyle name="_PC_AIO_Other_PC Products_PJ" xfId="0"/>
    <cellStyle name="_PC_AIO_Other_VSA 111014" xfId="0"/>
    <cellStyle name="_PC_AIO_Other_VSA 111014 2" xfId="0"/>
    <cellStyle name="_PC_AIO_Other_VSA 111014 3" xfId="0"/>
    <cellStyle name="_PC_AIO_Other_VSA 111014 4" xfId="0"/>
    <cellStyle name="_PC_AIO_Other_VSA 111014 4 2" xfId="0"/>
    <cellStyle name="_PC_AIO_Other_VSA 111014_By Region" xfId="0"/>
    <cellStyle name="_PC_AIO_Other_VSA 111014_CORP SG&amp;A" xfId="0"/>
    <cellStyle name="_PC_AIO_Other_VSA 111014_LCD" xfId="0"/>
    <cellStyle name="_PC_AIO_Other_VSA 111014_PJ" xfId="0"/>
    <cellStyle name="_PC_AIO_Other_VSA Roll-Up (LW)" xfId="0"/>
    <cellStyle name="_PC_AIO_Other_VSA Roll-Up (LW) 2" xfId="0"/>
    <cellStyle name="_PC_AIO_Other_VSA Roll-Up (LW) 3" xfId="0"/>
    <cellStyle name="_PC_AIO_Other_VSA Roll-Up (LW) 4" xfId="0"/>
    <cellStyle name="_PC_AIO_Other_VSA Roll-Up (LW) 4 2" xfId="0"/>
    <cellStyle name="_PC_AIO_Other_VSA Roll-Up (LW)_By Region" xfId="0"/>
    <cellStyle name="_PC_AIO_Other_VSA Roll-Up (LW)_CORP SG&amp;A" xfId="0"/>
    <cellStyle name="_PC_AIO_Other_VSA Roll-Up (LW)_LCD" xfId="0"/>
    <cellStyle name="_PC_AIO_Other_VSA Roll-Up (LW)_PJ" xfId="0"/>
    <cellStyle name="_PC_AIO_PC" xfId="0"/>
    <cellStyle name="_PC_AIO_PC 2" xfId="0"/>
    <cellStyle name="_PC_AIO_PC 3" xfId="0"/>
    <cellStyle name="_PC_AIO_PC 4" xfId="0"/>
    <cellStyle name="_PC_AIO_PC Products" xfId="0"/>
    <cellStyle name="_PC_AIO_PC Products 2" xfId="0"/>
    <cellStyle name="_PC_AIO_PC Products 3" xfId="0"/>
    <cellStyle name="_PC_AIO_PC Products 4" xfId="0"/>
    <cellStyle name="_PC_AIO_PC Products 4 2" xfId="0"/>
    <cellStyle name="_PC_AIO_PC Products_By Region" xfId="0"/>
    <cellStyle name="_PC_AIO_PC Products_CORP SG&amp;A" xfId="0"/>
    <cellStyle name="_PC_AIO_PC Products_LCD" xfId="0"/>
    <cellStyle name="_PC_AIO_PC Products_PJ" xfId="0"/>
    <cellStyle name="_PC_AIO_PC_By Region" xfId="0"/>
    <cellStyle name="_PC_AIO_PC_CORP SG&amp;A" xfId="0"/>
    <cellStyle name="_PC_AIO_PC_DT" xfId="0"/>
    <cellStyle name="_PC_AIO_PC_DT 2" xfId="0"/>
    <cellStyle name="_PC_AIO_PC_DT 3" xfId="0"/>
    <cellStyle name="_PC_AIO_PC_DT_By Region" xfId="0"/>
    <cellStyle name="_PC_AIO_PC_GPS OTHER" xfId="0"/>
    <cellStyle name="_PC_AIO_PC_GPS OTHER 2" xfId="0"/>
    <cellStyle name="_PC_AIO_PC_GPS OTHER 3" xfId="0"/>
    <cellStyle name="_PC_AIO_PC_GPS OTHER 4" xfId="0"/>
    <cellStyle name="_PC_AIO_PC_GPS OTHER 4 2" xfId="0"/>
    <cellStyle name="_PC_AIO_PC_GPS OTHER_By Region" xfId="0"/>
    <cellStyle name="_PC_AIO_PC_GPS OTHER_CORP SG&amp;A" xfId="0"/>
    <cellStyle name="_PC_AIO_PC_GPS OTHER_LCD" xfId="0"/>
    <cellStyle name="_PC_AIO_PC_GPS OTHER_PJ" xfId="0"/>
    <cellStyle name="_PC_AIO_PC_LCD" xfId="0"/>
    <cellStyle name="_PC_AIO_PC_LCD 2" xfId="0"/>
    <cellStyle name="_PC_AIO_PC_LCD 3" xfId="0"/>
    <cellStyle name="_PC_AIO_PC_LCD 4" xfId="0"/>
    <cellStyle name="_PC_AIO_PC_LCD_By Region" xfId="0"/>
    <cellStyle name="_PC_AIO_PC_LCD_CORP SG&amp;A" xfId="0"/>
    <cellStyle name="_PC_AIO_PC_LCD_LCD" xfId="0"/>
    <cellStyle name="_PC_AIO_PC_LCD_PJ" xfId="0"/>
    <cellStyle name="_PC_AIO_PC_PC Products" xfId="0"/>
    <cellStyle name="_PC_AIO_PC_PC Products 2" xfId="0"/>
    <cellStyle name="_PC_AIO_PC_PC Products 3" xfId="0"/>
    <cellStyle name="_PC_AIO_PC_PC Products 4" xfId="0"/>
    <cellStyle name="_PC_AIO_PC_PC Products 4 2" xfId="0"/>
    <cellStyle name="_PC_AIO_PC_PC Products_By Region" xfId="0"/>
    <cellStyle name="_PC_AIO_PC_PC Products_CORP SG&amp;A" xfId="0"/>
    <cellStyle name="_PC_AIO_PC_PC Products_LCD" xfId="0"/>
    <cellStyle name="_PC_AIO_PC_PC Products_PJ" xfId="0"/>
    <cellStyle name="_PC_AIO_PC_TV" xfId="0"/>
    <cellStyle name="_PC_AIO_PC_TV 2" xfId="0"/>
    <cellStyle name="_PC_AIO_PC_TV 3" xfId="0"/>
    <cellStyle name="_PC_AIO_PC_TV 4" xfId="0"/>
    <cellStyle name="_PC_AIO_PC_TV_By Region" xfId="0"/>
    <cellStyle name="_PC_AIO_PC_TV_CORP SG&amp;A" xfId="0"/>
    <cellStyle name="_PC_AIO_PC_TV_GPS OTHER" xfId="0"/>
    <cellStyle name="_PC_AIO_PC_TV_GPS OTHER 2" xfId="0"/>
    <cellStyle name="_PC_AIO_PC_TV_GPS OTHER 3" xfId="0"/>
    <cellStyle name="_PC_AIO_PC_TV_GPS OTHER 4" xfId="0"/>
    <cellStyle name="_PC_AIO_PC_TV_GPS OTHER 4 2" xfId="0"/>
    <cellStyle name="_PC_AIO_PC_TV_GPS OTHER_By Region" xfId="0"/>
    <cellStyle name="_PC_AIO_PC_TV_GPS OTHER_CORP SG&amp;A" xfId="0"/>
    <cellStyle name="_PC_AIO_PC_TV_GPS OTHER_LCD" xfId="0"/>
    <cellStyle name="_PC_AIO_PC_TV_GPS OTHER_PJ" xfId="0"/>
    <cellStyle name="_PC_AIO_PC_TV_LCD" xfId="0"/>
    <cellStyle name="_PC_AIO_PC_TV_LCD 2" xfId="0"/>
    <cellStyle name="_PC_AIO_PC_TV_LCD 3" xfId="0"/>
    <cellStyle name="_PC_AIO_PC_TV_LCD 4" xfId="0"/>
    <cellStyle name="_PC_AIO_PC_TV_LCD_By Region" xfId="0"/>
    <cellStyle name="_PC_AIO_PC_TV_LCD_CORP SG&amp;A" xfId="0"/>
    <cellStyle name="_PC_AIO_PC_TV_LCD_LCD" xfId="0"/>
    <cellStyle name="_PC_AIO_PC_TV_LCD_PJ" xfId="0"/>
    <cellStyle name="_PC_AIO_PC_TV_PC Products" xfId="0"/>
    <cellStyle name="_PC_AIO_PC_TV_PC Products 2" xfId="0"/>
    <cellStyle name="_PC_AIO_PC_TV_PC Products 3" xfId="0"/>
    <cellStyle name="_PC_AIO_PC_TV_PC Products 4" xfId="0"/>
    <cellStyle name="_PC_AIO_PC_TV_PC Products 4 2" xfId="0"/>
    <cellStyle name="_PC_AIO_PC_TV_PC Products_By Region" xfId="0"/>
    <cellStyle name="_PC_AIO_PC_TV_PC Products_CORP SG&amp;A" xfId="0"/>
    <cellStyle name="_PC_AIO_PC_TV_PC Products_LCD" xfId="0"/>
    <cellStyle name="_PC_AIO_PC_TV_PC Products_PJ" xfId="0"/>
    <cellStyle name="_PC_AIO_PC_TV_VSA 111014" xfId="0"/>
    <cellStyle name="_PC_AIO_PC_TV_VSA 111014 2" xfId="0"/>
    <cellStyle name="_PC_AIO_PC_TV_VSA 111014 3" xfId="0"/>
    <cellStyle name="_PC_AIO_PC_TV_VSA 111014 4" xfId="0"/>
    <cellStyle name="_PC_AIO_PC_TV_VSA 111014 4 2" xfId="0"/>
    <cellStyle name="_PC_AIO_PC_TV_VSA 111014_By Region" xfId="0"/>
    <cellStyle name="_PC_AIO_PC_TV_VSA 111014_CORP SG&amp;A" xfId="0"/>
    <cellStyle name="_PC_AIO_PC_TV_VSA 111014_LCD" xfId="0"/>
    <cellStyle name="_PC_AIO_PC_TV_VSA 111014_PJ" xfId="0"/>
    <cellStyle name="_PC_AIO_PC_TV_VSA Roll-Up (LW)" xfId="0"/>
    <cellStyle name="_PC_AIO_PC_TV_VSA Roll-Up (LW) 2" xfId="0"/>
    <cellStyle name="_PC_AIO_PC_TV_VSA Roll-Up (LW) 3" xfId="0"/>
    <cellStyle name="_PC_AIO_PC_TV_VSA Roll-Up (LW) 4" xfId="0"/>
    <cellStyle name="_PC_AIO_PC_TV_VSA Roll-Up (LW) 4 2" xfId="0"/>
    <cellStyle name="_PC_AIO_PC_TV_VSA Roll-Up (LW)_By Region" xfId="0"/>
    <cellStyle name="_PC_AIO_PC_TV_VSA Roll-Up (LW)_CORP SG&amp;A" xfId="0"/>
    <cellStyle name="_PC_AIO_PC_TV_VSA Roll-Up (LW)_LCD" xfId="0"/>
    <cellStyle name="_PC_AIO_PC_TV_VSA Roll-Up (LW)_PJ" xfId="0"/>
    <cellStyle name="_PC_AIO_PC_VSA 111014" xfId="0"/>
    <cellStyle name="_PC_AIO_PC_VSA 111014 2" xfId="0"/>
    <cellStyle name="_PC_AIO_PC_VSA 111014 3" xfId="0"/>
    <cellStyle name="_PC_AIO_PC_VSA 111014 4" xfId="0"/>
    <cellStyle name="_PC_AIO_PC_VSA 111014 4 2" xfId="0"/>
    <cellStyle name="_PC_AIO_PC_VSA 111014_By Region" xfId="0"/>
    <cellStyle name="_PC_AIO_PC_VSA 111014_CORP SG&amp;A" xfId="0"/>
    <cellStyle name="_PC_AIO_PC_VSA 111014_LCD" xfId="0"/>
    <cellStyle name="_PC_AIO_PC_VSA 111014_PJ" xfId="0"/>
    <cellStyle name="_PC_AIO_PC_VSA Roll-Up (LW)" xfId="0"/>
    <cellStyle name="_PC_AIO_PC_VSA Roll-Up (LW) 2" xfId="0"/>
    <cellStyle name="_PC_AIO_PC_VSA Roll-Up (LW) 3" xfId="0"/>
    <cellStyle name="_PC_AIO_PC_VSA Roll-Up (LW) 4" xfId="0"/>
    <cellStyle name="_PC_AIO_PC_VSA Roll-Up (LW) 4 2" xfId="0"/>
    <cellStyle name="_PC_AIO_PC_VSA Roll-Up (LW)_By Region" xfId="0"/>
    <cellStyle name="_PC_AIO_PC_VSA Roll-Up (LW)_CORP SG&amp;A" xfId="0"/>
    <cellStyle name="_PC_AIO_PC_VSA Roll-Up (LW)_LCD" xfId="0"/>
    <cellStyle name="_PC_AIO_PC_VSA Roll-Up (LW)_PJ" xfId="0"/>
    <cellStyle name="_PC_AIO_PJ" xfId="0"/>
    <cellStyle name="_PC_AIO_PJ 2" xfId="0"/>
    <cellStyle name="_PC_AIO_PJ 3" xfId="0"/>
    <cellStyle name="_PC_AIO_PJ 4" xfId="0"/>
    <cellStyle name="_PC_AIO_PJ_By Region" xfId="0"/>
    <cellStyle name="_PC_AIO_PJ_CORP SG&amp;A" xfId="0"/>
    <cellStyle name="_PC_AIO_PJ_GPS OTHER" xfId="0"/>
    <cellStyle name="_PC_AIO_PJ_GPS OTHER 2" xfId="0"/>
    <cellStyle name="_PC_AIO_PJ_GPS OTHER 3" xfId="0"/>
    <cellStyle name="_PC_AIO_PJ_GPS OTHER 4" xfId="0"/>
    <cellStyle name="_PC_AIO_PJ_GPS OTHER 4 2" xfId="0"/>
    <cellStyle name="_PC_AIO_PJ_GPS OTHER_By Region" xfId="0"/>
    <cellStyle name="_PC_AIO_PJ_GPS OTHER_CORP SG&amp;A" xfId="0"/>
    <cellStyle name="_PC_AIO_PJ_GPS OTHER_LCD" xfId="0"/>
    <cellStyle name="_PC_AIO_PJ_GPS OTHER_PJ" xfId="0"/>
    <cellStyle name="_PC_AIO_PJ_LCD" xfId="0"/>
    <cellStyle name="_PC_AIO_PJ_LCD 2" xfId="0"/>
    <cellStyle name="_PC_AIO_PJ_LCD 3" xfId="0"/>
    <cellStyle name="_PC_AIO_PJ_LCD 4" xfId="0"/>
    <cellStyle name="_PC_AIO_PJ_LCD_By Region" xfId="0"/>
    <cellStyle name="_PC_AIO_PJ_LCD_CORP SG&amp;A" xfId="0"/>
    <cellStyle name="_PC_AIO_PJ_LCD_LCD" xfId="0"/>
    <cellStyle name="_PC_AIO_PJ_LCD_PJ" xfId="0"/>
    <cellStyle name="_PC_AIO_PJ_PC Products" xfId="0"/>
    <cellStyle name="_PC_AIO_PJ_PC Products 2" xfId="0"/>
    <cellStyle name="_PC_AIO_PJ_PC Products 3" xfId="0"/>
    <cellStyle name="_PC_AIO_PJ_PC Products 4" xfId="0"/>
    <cellStyle name="_PC_AIO_PJ_PC Products 4 2" xfId="0"/>
    <cellStyle name="_PC_AIO_PJ_PC Products_By Region" xfId="0"/>
    <cellStyle name="_PC_AIO_PJ_PC Products_CORP SG&amp;A" xfId="0"/>
    <cellStyle name="_PC_AIO_PJ_PC Products_LCD" xfId="0"/>
    <cellStyle name="_PC_AIO_PJ_PC Products_PJ" xfId="0"/>
    <cellStyle name="_PC_AIO_PJ_VSA 111014" xfId="0"/>
    <cellStyle name="_PC_AIO_PJ_VSA 111014 2" xfId="0"/>
    <cellStyle name="_PC_AIO_PJ_VSA 111014 3" xfId="0"/>
    <cellStyle name="_PC_AIO_PJ_VSA 111014 4" xfId="0"/>
    <cellStyle name="_PC_AIO_PJ_VSA 111014 4 2" xfId="0"/>
    <cellStyle name="_PC_AIO_PJ_VSA 111014_By Region" xfId="0"/>
    <cellStyle name="_PC_AIO_PJ_VSA 111014_CORP SG&amp;A" xfId="0"/>
    <cellStyle name="_PC_AIO_PJ_VSA 111014_LCD" xfId="0"/>
    <cellStyle name="_PC_AIO_PJ_VSA 111014_PJ" xfId="0"/>
    <cellStyle name="_PC_AIO_PJ_VSA Roll-Up (LW)" xfId="0"/>
    <cellStyle name="_PC_AIO_PJ_VSA Roll-Up (LW) 2" xfId="0"/>
    <cellStyle name="_PC_AIO_PJ_VSA Roll-Up (LW) 3" xfId="0"/>
    <cellStyle name="_PC_AIO_PJ_VSA Roll-Up (LW) 4" xfId="0"/>
    <cellStyle name="_PC_AIO_PJ_VSA Roll-Up (LW) 4 2" xfId="0"/>
    <cellStyle name="_PC_AIO_PJ_VSA Roll-Up (LW)_By Region" xfId="0"/>
    <cellStyle name="_PC_AIO_PJ_VSA Roll-Up (LW)_CORP SG&amp;A" xfId="0"/>
    <cellStyle name="_PC_AIO_PJ_VSA Roll-Up (LW)_LCD" xfId="0"/>
    <cellStyle name="_PC_AIO_PJ_VSA Roll-Up (LW)_PJ" xfId="0"/>
    <cellStyle name="_PC_AIO_PMP(VPD)" xfId="0"/>
    <cellStyle name="_PC_AIO_PMP(VPD) 2" xfId="0"/>
    <cellStyle name="_PC_AIO_PMP(VPD) 3" xfId="0"/>
    <cellStyle name="_PC_AIO_PMP(VPD) 4" xfId="0"/>
    <cellStyle name="_PC_AIO_PMP(VPD)_By Region" xfId="0"/>
    <cellStyle name="_PC_AIO_PMP(VPD)_CORP SG&amp;A" xfId="0"/>
    <cellStyle name="_PC_AIO_PMP(VPD)_GPS OTHER" xfId="0"/>
    <cellStyle name="_PC_AIO_PMP(VPD)_GPS OTHER 2" xfId="0"/>
    <cellStyle name="_PC_AIO_PMP(VPD)_GPS OTHER 3" xfId="0"/>
    <cellStyle name="_PC_AIO_PMP(VPD)_GPS OTHER 4" xfId="0"/>
    <cellStyle name="_PC_AIO_PMP(VPD)_GPS OTHER 4 2" xfId="0"/>
    <cellStyle name="_PC_AIO_PMP(VPD)_GPS OTHER_By Region" xfId="0"/>
    <cellStyle name="_PC_AIO_PMP(VPD)_GPS OTHER_CORP SG&amp;A" xfId="0"/>
    <cellStyle name="_PC_AIO_PMP(VPD)_GPS OTHER_LCD" xfId="0"/>
    <cellStyle name="_PC_AIO_PMP(VPD)_GPS OTHER_PJ" xfId="0"/>
    <cellStyle name="_PC_AIO_PMP(VPD)_LCD" xfId="0"/>
    <cellStyle name="_PC_AIO_PMP(VPD)_LCD 2" xfId="0"/>
    <cellStyle name="_PC_AIO_PMP(VPD)_LCD 3" xfId="0"/>
    <cellStyle name="_PC_AIO_PMP(VPD)_LCD 4" xfId="0"/>
    <cellStyle name="_PC_AIO_PMP(VPD)_LCD_By Region" xfId="0"/>
    <cellStyle name="_PC_AIO_PMP(VPD)_LCD_CORP SG&amp;A" xfId="0"/>
    <cellStyle name="_PC_AIO_PMP(VPD)_LCD_LCD" xfId="0"/>
    <cellStyle name="_PC_AIO_PMP(VPD)_LCD_PJ" xfId="0"/>
    <cellStyle name="_PC_AIO_PMP(VPD)_PC Products" xfId="0"/>
    <cellStyle name="_PC_AIO_PMP(VPD)_PC Products 2" xfId="0"/>
    <cellStyle name="_PC_AIO_PMP(VPD)_PC Products 3" xfId="0"/>
    <cellStyle name="_PC_AIO_PMP(VPD)_PC Products 4" xfId="0"/>
    <cellStyle name="_PC_AIO_PMP(VPD)_PC Products 4 2" xfId="0"/>
    <cellStyle name="_PC_AIO_PMP(VPD)_PC Products_By Region" xfId="0"/>
    <cellStyle name="_PC_AIO_PMP(VPD)_PC Products_CORP SG&amp;A" xfId="0"/>
    <cellStyle name="_PC_AIO_PMP(VPD)_PC Products_LCD" xfId="0"/>
    <cellStyle name="_PC_AIO_PMP(VPD)_PC Products_PJ" xfId="0"/>
    <cellStyle name="_PC_AIO_PMP(VPD)_VSA 111014" xfId="0"/>
    <cellStyle name="_PC_AIO_PMP(VPD)_VSA 111014 2" xfId="0"/>
    <cellStyle name="_PC_AIO_PMP(VPD)_VSA 111014 3" xfId="0"/>
    <cellStyle name="_PC_AIO_PMP(VPD)_VSA 111014 4" xfId="0"/>
    <cellStyle name="_PC_AIO_PMP(VPD)_VSA 111014 4 2" xfId="0"/>
    <cellStyle name="_PC_AIO_PMP(VPD)_VSA 111014_By Region" xfId="0"/>
    <cellStyle name="_PC_AIO_PMP(VPD)_VSA 111014_CORP SG&amp;A" xfId="0"/>
    <cellStyle name="_PC_AIO_PMP(VPD)_VSA 111014_LCD" xfId="0"/>
    <cellStyle name="_PC_AIO_PMP(VPD)_VSA 111014_PJ" xfId="0"/>
    <cellStyle name="_PC_AIO_PMP(VPD)_VSA Roll-Up (LW)" xfId="0"/>
    <cellStyle name="_PC_AIO_PMP(VPD)_VSA Roll-Up (LW) 2" xfId="0"/>
    <cellStyle name="_PC_AIO_PMP(VPD)_VSA Roll-Up (LW) 3" xfId="0"/>
    <cellStyle name="_PC_AIO_PMP(VPD)_VSA Roll-Up (LW) 4" xfId="0"/>
    <cellStyle name="_PC_AIO_PMP(VPD)_VSA Roll-Up (LW) 4 2" xfId="0"/>
    <cellStyle name="_PC_AIO_PMP(VPD)_VSA Roll-Up (LW)_By Region" xfId="0"/>
    <cellStyle name="_PC_AIO_PMP(VPD)_VSA Roll-Up (LW)_CORP SG&amp;A" xfId="0"/>
    <cellStyle name="_PC_AIO_PMP(VPD)_VSA Roll-Up (LW)_LCD" xfId="0"/>
    <cellStyle name="_PC_AIO_PMP(VPD)_VSA Roll-Up (LW)_PJ" xfId="0"/>
    <cellStyle name="_PC_AIO_Pocket TV" xfId="0"/>
    <cellStyle name="_PC_AIO_Pocket TV 2" xfId="0"/>
    <cellStyle name="_PC_AIO_Pocket TV 3" xfId="0"/>
    <cellStyle name="_PC_AIO_Pocket TV 4" xfId="0"/>
    <cellStyle name="_PC_AIO_Pocket TV_By Region" xfId="0"/>
    <cellStyle name="_PC_AIO_Pocket TV_CORP SG&amp;A" xfId="0"/>
    <cellStyle name="_PC_AIO_Pocket TV_GPS OTHER" xfId="0"/>
    <cellStyle name="_PC_AIO_Pocket TV_GPS OTHER 2" xfId="0"/>
    <cellStyle name="_PC_AIO_Pocket TV_GPS OTHER 3" xfId="0"/>
    <cellStyle name="_PC_AIO_Pocket TV_GPS OTHER 4" xfId="0"/>
    <cellStyle name="_PC_AIO_Pocket TV_GPS OTHER 4 2" xfId="0"/>
    <cellStyle name="_PC_AIO_Pocket TV_GPS OTHER_By Region" xfId="0"/>
    <cellStyle name="_PC_AIO_Pocket TV_GPS OTHER_CORP SG&amp;A" xfId="0"/>
    <cellStyle name="_PC_AIO_Pocket TV_GPS OTHER_LCD" xfId="0"/>
    <cellStyle name="_PC_AIO_Pocket TV_GPS OTHER_PJ" xfId="0"/>
    <cellStyle name="_PC_AIO_Pocket TV_LCD" xfId="0"/>
    <cellStyle name="_PC_AIO_Pocket TV_LCD 2" xfId="0"/>
    <cellStyle name="_PC_AIO_Pocket TV_LCD 3" xfId="0"/>
    <cellStyle name="_PC_AIO_Pocket TV_LCD 4" xfId="0"/>
    <cellStyle name="_PC_AIO_Pocket TV_LCD_By Region" xfId="0"/>
    <cellStyle name="_PC_AIO_Pocket TV_LCD_CORP SG&amp;A" xfId="0"/>
    <cellStyle name="_PC_AIO_Pocket TV_LCD_LCD" xfId="0"/>
    <cellStyle name="_PC_AIO_Pocket TV_LCD_PJ" xfId="0"/>
    <cellStyle name="_PC_AIO_Pocket TV_PC Products" xfId="0"/>
    <cellStyle name="_PC_AIO_Pocket TV_PC Products 2" xfId="0"/>
    <cellStyle name="_PC_AIO_Pocket TV_PC Products 3" xfId="0"/>
    <cellStyle name="_PC_AIO_Pocket TV_PC Products 4" xfId="0"/>
    <cellStyle name="_PC_AIO_Pocket TV_PC Products 4 2" xfId="0"/>
    <cellStyle name="_PC_AIO_Pocket TV_PC Products_By Region" xfId="0"/>
    <cellStyle name="_PC_AIO_Pocket TV_PC Products_CORP SG&amp;A" xfId="0"/>
    <cellStyle name="_PC_AIO_Pocket TV_PC Products_LCD" xfId="0"/>
    <cellStyle name="_PC_AIO_Pocket TV_PC Products_PJ" xfId="0"/>
    <cellStyle name="_PC_AIO_Pocket TV_VSA 111014" xfId="0"/>
    <cellStyle name="_PC_AIO_Pocket TV_VSA 111014 2" xfId="0"/>
    <cellStyle name="_PC_AIO_Pocket TV_VSA 111014 3" xfId="0"/>
    <cellStyle name="_PC_AIO_Pocket TV_VSA 111014 4" xfId="0"/>
    <cellStyle name="_PC_AIO_Pocket TV_VSA 111014 4 2" xfId="0"/>
    <cellStyle name="_PC_AIO_Pocket TV_VSA 111014_By Region" xfId="0"/>
    <cellStyle name="_PC_AIO_Pocket TV_VSA 111014_CORP SG&amp;A" xfId="0"/>
    <cellStyle name="_PC_AIO_Pocket TV_VSA 111014_LCD" xfId="0"/>
    <cellStyle name="_PC_AIO_Pocket TV_VSA 111014_PJ" xfId="0"/>
    <cellStyle name="_PC_AIO_Pocket TV_VSA Roll-Up (LW)" xfId="0"/>
    <cellStyle name="_PC_AIO_Pocket TV_VSA Roll-Up (LW) 2" xfId="0"/>
    <cellStyle name="_PC_AIO_Pocket TV_VSA Roll-Up (LW) 3" xfId="0"/>
    <cellStyle name="_PC_AIO_Pocket TV_VSA Roll-Up (LW) 4" xfId="0"/>
    <cellStyle name="_PC_AIO_Pocket TV_VSA Roll-Up (LW) 4 2" xfId="0"/>
    <cellStyle name="_PC_AIO_Pocket TV_VSA Roll-Up (LW)_By Region" xfId="0"/>
    <cellStyle name="_PC_AIO_Pocket TV_VSA Roll-Up (LW)_CORP SG&amp;A" xfId="0"/>
    <cellStyle name="_PC_AIO_Pocket TV_VSA Roll-Up (LW)_LCD" xfId="0"/>
    <cellStyle name="_PC_AIO_Pocket TV_VSA Roll-Up (LW)_PJ" xfId="0"/>
    <cellStyle name="_PC_AIO_Pocket_TV" xfId="0"/>
    <cellStyle name="_PC_AIO_Pocket_TV 2" xfId="0"/>
    <cellStyle name="_PC_AIO_Pocket_TV 3" xfId="0"/>
    <cellStyle name="_PC_AIO_Pocket_TV 4" xfId="0"/>
    <cellStyle name="_PC_AIO_Pocket_TV_By Region" xfId="0"/>
    <cellStyle name="_PC_AIO_Pocket_TV_CORP SG&amp;A" xfId="0"/>
    <cellStyle name="_PC_AIO_Pocket_TV_GPS OTHER" xfId="0"/>
    <cellStyle name="_PC_AIO_Pocket_TV_GPS OTHER 2" xfId="0"/>
    <cellStyle name="_PC_AIO_Pocket_TV_GPS OTHER 3" xfId="0"/>
    <cellStyle name="_PC_AIO_Pocket_TV_GPS OTHER 4" xfId="0"/>
    <cellStyle name="_PC_AIO_Pocket_TV_GPS OTHER 4 2" xfId="0"/>
    <cellStyle name="_PC_AIO_Pocket_TV_GPS OTHER_By Region" xfId="0"/>
    <cellStyle name="_PC_AIO_Pocket_TV_GPS OTHER_CORP SG&amp;A" xfId="0"/>
    <cellStyle name="_PC_AIO_Pocket_TV_GPS OTHER_LCD" xfId="0"/>
    <cellStyle name="_PC_AIO_Pocket_TV_GPS OTHER_PJ" xfId="0"/>
    <cellStyle name="_PC_AIO_Pocket_TV_LCD" xfId="0"/>
    <cellStyle name="_PC_AIO_Pocket_TV_LCD 2" xfId="0"/>
    <cellStyle name="_PC_AIO_Pocket_TV_LCD 3" xfId="0"/>
    <cellStyle name="_PC_AIO_Pocket_TV_LCD 4" xfId="0"/>
    <cellStyle name="_PC_AIO_Pocket_TV_LCD_By Region" xfId="0"/>
    <cellStyle name="_PC_AIO_Pocket_TV_LCD_CORP SG&amp;A" xfId="0"/>
    <cellStyle name="_PC_AIO_Pocket_TV_LCD_LCD" xfId="0"/>
    <cellStyle name="_PC_AIO_Pocket_TV_LCD_PJ" xfId="0"/>
    <cellStyle name="_PC_AIO_Pocket_TV_PC Products" xfId="0"/>
    <cellStyle name="_PC_AIO_Pocket_TV_PC Products 2" xfId="0"/>
    <cellStyle name="_PC_AIO_Pocket_TV_PC Products 3" xfId="0"/>
    <cellStyle name="_PC_AIO_Pocket_TV_PC Products 4" xfId="0"/>
    <cellStyle name="_PC_AIO_Pocket_TV_PC Products 4 2" xfId="0"/>
    <cellStyle name="_PC_AIO_Pocket_TV_PC Products_By Region" xfId="0"/>
    <cellStyle name="_PC_AIO_Pocket_TV_PC Products_CORP SG&amp;A" xfId="0"/>
    <cellStyle name="_PC_AIO_Pocket_TV_PC Products_LCD" xfId="0"/>
    <cellStyle name="_PC_AIO_Pocket_TV_PC Products_PJ" xfId="0"/>
    <cellStyle name="_PC_AIO_Pocket_TV_VSA 111014" xfId="0"/>
    <cellStyle name="_PC_AIO_Pocket_TV_VSA 111014 2" xfId="0"/>
    <cellStyle name="_PC_AIO_Pocket_TV_VSA 111014 3" xfId="0"/>
    <cellStyle name="_PC_AIO_Pocket_TV_VSA 111014 4" xfId="0"/>
    <cellStyle name="_PC_AIO_Pocket_TV_VSA 111014 4 2" xfId="0"/>
    <cellStyle name="_PC_AIO_Pocket_TV_VSA 111014_By Region" xfId="0"/>
    <cellStyle name="_PC_AIO_Pocket_TV_VSA 111014_CORP SG&amp;A" xfId="0"/>
    <cellStyle name="_PC_AIO_Pocket_TV_VSA 111014_LCD" xfId="0"/>
    <cellStyle name="_PC_AIO_Pocket_TV_VSA 111014_PJ" xfId="0"/>
    <cellStyle name="_PC_AIO_Pocket_TV_VSA Roll-Up (LW)" xfId="0"/>
    <cellStyle name="_PC_AIO_Pocket_TV_VSA Roll-Up (LW) 2" xfId="0"/>
    <cellStyle name="_PC_AIO_Pocket_TV_VSA Roll-Up (LW) 3" xfId="0"/>
    <cellStyle name="_PC_AIO_Pocket_TV_VSA Roll-Up (LW) 4" xfId="0"/>
    <cellStyle name="_PC_AIO_Pocket_TV_VSA Roll-Up (LW) 4 2" xfId="0"/>
    <cellStyle name="_PC_AIO_Pocket_TV_VSA Roll-Up (LW)_By Region" xfId="0"/>
    <cellStyle name="_PC_AIO_Pocket_TV_VSA Roll-Up (LW)_CORP SG&amp;A" xfId="0"/>
    <cellStyle name="_PC_AIO_Pocket_TV_VSA Roll-Up (LW)_LCD" xfId="0"/>
    <cellStyle name="_PC_AIO_Pocket_TV_VSA Roll-Up (LW)_PJ" xfId="0"/>
    <cellStyle name="_PC_AIO_TV" xfId="0"/>
    <cellStyle name="_PC_AIO_TV 2" xfId="0"/>
    <cellStyle name="_PC_AIO_TV 3" xfId="0"/>
    <cellStyle name="_PC_AIO_TV 4" xfId="0"/>
    <cellStyle name="_PC_AIO_TV_By Region" xfId="0"/>
    <cellStyle name="_PC_AIO_TV_CORP SG&amp;A" xfId="0"/>
    <cellStyle name="_PC_AIO_TV_GPS OTHER" xfId="0"/>
    <cellStyle name="_PC_AIO_TV_GPS OTHER 2" xfId="0"/>
    <cellStyle name="_PC_AIO_TV_GPS OTHER 3" xfId="0"/>
    <cellStyle name="_PC_AIO_TV_GPS OTHER 4" xfId="0"/>
    <cellStyle name="_PC_AIO_TV_GPS OTHER 4 2" xfId="0"/>
    <cellStyle name="_PC_AIO_TV_GPS OTHER_By Region" xfId="0"/>
    <cellStyle name="_PC_AIO_TV_GPS OTHER_CORP SG&amp;A" xfId="0"/>
    <cellStyle name="_PC_AIO_TV_GPS OTHER_LCD" xfId="0"/>
    <cellStyle name="_PC_AIO_TV_GPS OTHER_PJ" xfId="0"/>
    <cellStyle name="_PC_AIO_TV_LCD" xfId="0"/>
    <cellStyle name="_PC_AIO_TV_LCD 2" xfId="0"/>
    <cellStyle name="_PC_AIO_TV_LCD 3" xfId="0"/>
    <cellStyle name="_PC_AIO_TV_LCD 4" xfId="0"/>
    <cellStyle name="_PC_AIO_TV_LCD_By Region" xfId="0"/>
    <cellStyle name="_PC_AIO_TV_LCD_CORP SG&amp;A" xfId="0"/>
    <cellStyle name="_PC_AIO_TV_LCD_LCD" xfId="0"/>
    <cellStyle name="_PC_AIO_TV_LCD_PJ" xfId="0"/>
    <cellStyle name="_PC_AIO_TV_PC Products" xfId="0"/>
    <cellStyle name="_PC_AIO_TV_PC Products 2" xfId="0"/>
    <cellStyle name="_PC_AIO_TV_PC Products 3" xfId="0"/>
    <cellStyle name="_PC_AIO_TV_PC Products 4" xfId="0"/>
    <cellStyle name="_PC_AIO_TV_PC Products 4 2" xfId="0"/>
    <cellStyle name="_PC_AIO_TV_PC Products_By Region" xfId="0"/>
    <cellStyle name="_PC_AIO_TV_PC Products_CORP SG&amp;A" xfId="0"/>
    <cellStyle name="_PC_AIO_TV_PC Products_LCD" xfId="0"/>
    <cellStyle name="_PC_AIO_TV_PC Products_PJ" xfId="0"/>
    <cellStyle name="_PC_AIO_TV_VSA 111014" xfId="0"/>
    <cellStyle name="_PC_AIO_TV_VSA 111014 2" xfId="0"/>
    <cellStyle name="_PC_AIO_TV_VSA 111014 3" xfId="0"/>
    <cellStyle name="_PC_AIO_TV_VSA 111014 4" xfId="0"/>
    <cellStyle name="_PC_AIO_TV_VSA 111014 4 2" xfId="0"/>
    <cellStyle name="_PC_AIO_TV_VSA 111014_By Region" xfId="0"/>
    <cellStyle name="_PC_AIO_TV_VSA 111014_CORP SG&amp;A" xfId="0"/>
    <cellStyle name="_PC_AIO_TV_VSA 111014_LCD" xfId="0"/>
    <cellStyle name="_PC_AIO_TV_VSA 111014_PJ" xfId="0"/>
    <cellStyle name="_PC_AIO_TV_VSA Roll-Up (LW)" xfId="0"/>
    <cellStyle name="_PC_AIO_TV_VSA Roll-Up (LW) 2" xfId="0"/>
    <cellStyle name="_PC_AIO_TV_VSA Roll-Up (LW) 3" xfId="0"/>
    <cellStyle name="_PC_AIO_TV_VSA Roll-Up (LW) 4" xfId="0"/>
    <cellStyle name="_PC_AIO_TV_VSA Roll-Up (LW) 4 2" xfId="0"/>
    <cellStyle name="_PC_AIO_TV_VSA Roll-Up (LW)_By Region" xfId="0"/>
    <cellStyle name="_PC_AIO_TV_VSA Roll-Up (LW)_CORP SG&amp;A" xfId="0"/>
    <cellStyle name="_PC_AIO_TV_VSA Roll-Up (LW)_LCD" xfId="0"/>
    <cellStyle name="_PC_AIO_TV_VSA Roll-Up (LW)_PJ" xfId="0"/>
    <cellStyle name="_PC_AIO_VD" xfId="0"/>
    <cellStyle name="_PC_AIO_VD 2" xfId="0"/>
    <cellStyle name="_PC_AIO_VD 3" xfId="0"/>
    <cellStyle name="_PC_AIO_VD 4" xfId="0"/>
    <cellStyle name="_PC_AIO_VD_By Region" xfId="0"/>
    <cellStyle name="_PC_AIO_VD_CORP SG&amp;A" xfId="0"/>
    <cellStyle name="_PC_AIO_VD_GPS OTHER" xfId="0"/>
    <cellStyle name="_PC_AIO_VD_GPS OTHER 2" xfId="0"/>
    <cellStyle name="_PC_AIO_VD_GPS OTHER 3" xfId="0"/>
    <cellStyle name="_PC_AIO_VD_GPS OTHER 4" xfId="0"/>
    <cellStyle name="_PC_AIO_VD_GPS OTHER 4 2" xfId="0"/>
    <cellStyle name="_PC_AIO_VD_GPS OTHER_By Region" xfId="0"/>
    <cellStyle name="_PC_AIO_VD_GPS OTHER_CORP SG&amp;A" xfId="0"/>
    <cellStyle name="_PC_AIO_VD_GPS OTHER_LCD" xfId="0"/>
    <cellStyle name="_PC_AIO_VD_GPS OTHER_PJ" xfId="0"/>
    <cellStyle name="_PC_AIO_VD_LCD" xfId="0"/>
    <cellStyle name="_PC_AIO_VD_LCD 2" xfId="0"/>
    <cellStyle name="_PC_AIO_VD_LCD 3" xfId="0"/>
    <cellStyle name="_PC_AIO_VD_LCD 4" xfId="0"/>
    <cellStyle name="_PC_AIO_VD_LCD_By Region" xfId="0"/>
    <cellStyle name="_PC_AIO_VD_LCD_CORP SG&amp;A" xfId="0"/>
    <cellStyle name="_PC_AIO_VD_LCD_LCD" xfId="0"/>
    <cellStyle name="_PC_AIO_VD_LCD_PJ" xfId="0"/>
    <cellStyle name="_PC_AIO_VD_PC Products" xfId="0"/>
    <cellStyle name="_PC_AIO_VD_PC Products 2" xfId="0"/>
    <cellStyle name="_PC_AIO_VD_PC Products 3" xfId="0"/>
    <cellStyle name="_PC_AIO_VD_PC Products 4" xfId="0"/>
    <cellStyle name="_PC_AIO_VD_PC Products 4 2" xfId="0"/>
    <cellStyle name="_PC_AIO_VD_PC Products_By Region" xfId="0"/>
    <cellStyle name="_PC_AIO_VD_PC Products_CORP SG&amp;A" xfId="0"/>
    <cellStyle name="_PC_AIO_VD_PC Products_LCD" xfId="0"/>
    <cellStyle name="_PC_AIO_VD_PC Products_PJ" xfId="0"/>
    <cellStyle name="_PC_AIO_VD_VSA 111014" xfId="0"/>
    <cellStyle name="_PC_AIO_VD_VSA 111014 2" xfId="0"/>
    <cellStyle name="_PC_AIO_VD_VSA 111014 3" xfId="0"/>
    <cellStyle name="_PC_AIO_VD_VSA 111014 4" xfId="0"/>
    <cellStyle name="_PC_AIO_VD_VSA 111014 4 2" xfId="0"/>
    <cellStyle name="_PC_AIO_VD_VSA 111014_By Region" xfId="0"/>
    <cellStyle name="_PC_AIO_VD_VSA 111014_CORP SG&amp;A" xfId="0"/>
    <cellStyle name="_PC_AIO_VD_VSA 111014_LCD" xfId="0"/>
    <cellStyle name="_PC_AIO_VD_VSA 111014_PJ" xfId="0"/>
    <cellStyle name="_PC_AIO_VD_VSA Roll-Up (LW)" xfId="0"/>
    <cellStyle name="_PC_AIO_VD_VSA Roll-Up (LW) 2" xfId="0"/>
    <cellStyle name="_PC_AIO_VD_VSA Roll-Up (LW) 3" xfId="0"/>
    <cellStyle name="_PC_AIO_VD_VSA Roll-Up (LW) 4" xfId="0"/>
    <cellStyle name="_PC_AIO_VD_VSA Roll-Up (LW) 4 2" xfId="0"/>
    <cellStyle name="_PC_AIO_VD_VSA Roll-Up (LW)_By Region" xfId="0"/>
    <cellStyle name="_PC_AIO_VD_VSA Roll-Up (LW)_CORP SG&amp;A" xfId="0"/>
    <cellStyle name="_PC_AIO_VD_VSA Roll-Up (LW)_LCD" xfId="0"/>
    <cellStyle name="_PC_AIO_VD_VSA Roll-Up (LW)_PJ" xfId="0"/>
    <cellStyle name="_PC_AIO_VSA 111014" xfId="0"/>
    <cellStyle name="_PC_AIO_VSA 111014 2" xfId="0"/>
    <cellStyle name="_PC_AIO_VSA 111014 3" xfId="0"/>
    <cellStyle name="_PC_AIO_VSA 111014 4" xfId="0"/>
    <cellStyle name="_PC_AIO_VSA 111014 4 2" xfId="0"/>
    <cellStyle name="_PC_AIO_VSA 111014_By Region" xfId="0"/>
    <cellStyle name="_PC_AIO_VSA 111014_CORP SG&amp;A" xfId="0"/>
    <cellStyle name="_PC_AIO_VSA 111014_LCD" xfId="0"/>
    <cellStyle name="_PC_AIO_VSA 111014_PJ" xfId="0"/>
    <cellStyle name="_PC_AIO_VSA Roll-Up (LW)" xfId="0"/>
    <cellStyle name="_PC_AIO_VSA Roll-Up (LW) 2" xfId="0"/>
    <cellStyle name="_PC_AIO_VSA Roll-Up (LW) 3" xfId="0"/>
    <cellStyle name="_PC_AIO_VSA Roll-Up (LW) 4" xfId="0"/>
    <cellStyle name="_PC_AIO_VSA Roll-Up (LW) 4 2" xfId="0"/>
    <cellStyle name="_PC_AIO_VSA Roll-Up (LW)_By Region" xfId="0"/>
    <cellStyle name="_PC_AIO_VSA Roll-Up (LW)_CORP SG&amp;A" xfId="0"/>
    <cellStyle name="_PC_AIO_VSA Roll-Up (LW)_LCD" xfId="0"/>
    <cellStyle name="_PC_AIO_VSA Roll-Up (LW)_PJ" xfId="0"/>
    <cellStyle name="_PC_AIO_VSE 2011 Budget" xfId="0"/>
    <cellStyle name="_PC_AIO_VSE 2011 Budget 2" xfId="0"/>
    <cellStyle name="_PC_AIO_VSE 2011 Budget 3" xfId="0"/>
    <cellStyle name="_PC_AIO_VSE 2011 Budget 4" xfId="0"/>
    <cellStyle name="_PC_AIO_VSE 2011 Budget_By Region" xfId="0"/>
    <cellStyle name="_PC_AIO_VSE 2011 Budget_CORP SG&amp;A" xfId="0"/>
    <cellStyle name="_PC_AIO_VSE 2011 Budget_GPS OTHER" xfId="0"/>
    <cellStyle name="_PC_AIO_VSE 2011 Budget_GPS OTHER 2" xfId="0"/>
    <cellStyle name="_PC_AIO_VSE 2011 Budget_GPS OTHER 3" xfId="0"/>
    <cellStyle name="_PC_AIO_VSE 2011 Budget_GPS OTHER 4" xfId="0"/>
    <cellStyle name="_PC_AIO_VSE 2011 Budget_GPS OTHER 4 2" xfId="0"/>
    <cellStyle name="_PC_AIO_VSE 2011 Budget_GPS OTHER_By Region" xfId="0"/>
    <cellStyle name="_PC_AIO_VSE 2011 Budget_GPS OTHER_CORP SG&amp;A" xfId="0"/>
    <cellStyle name="_PC_AIO_VSE 2011 Budget_GPS OTHER_LCD" xfId="0"/>
    <cellStyle name="_PC_AIO_VSE 2011 Budget_GPS OTHER_PJ" xfId="0"/>
    <cellStyle name="_PC_AIO_VSE 2011 Budget_LCD" xfId="0"/>
    <cellStyle name="_PC_AIO_VSE 2011 Budget_LCD 2" xfId="0"/>
    <cellStyle name="_PC_AIO_VSE 2011 Budget_LCD 3" xfId="0"/>
    <cellStyle name="_PC_AIO_VSE 2011 Budget_LCD 4" xfId="0"/>
    <cellStyle name="_PC_AIO_VSE 2011 Budget_LCD_By Region" xfId="0"/>
    <cellStyle name="_PC_AIO_VSE 2011 Budget_LCD_CORP SG&amp;A" xfId="0"/>
    <cellStyle name="_PC_AIO_VSE 2011 Budget_LCD_LCD" xfId="0"/>
    <cellStyle name="_PC_AIO_VSE 2011 Budget_LCD_PJ" xfId="0"/>
    <cellStyle name="_PC_AIO_VSE 2011 Budget_PC Products" xfId="0"/>
    <cellStyle name="_PC_AIO_VSE 2011 Budget_PC Products 2" xfId="0"/>
    <cellStyle name="_PC_AIO_VSE 2011 Budget_PC Products 3" xfId="0"/>
    <cellStyle name="_PC_AIO_VSE 2011 Budget_PC Products 4" xfId="0"/>
    <cellStyle name="_PC_AIO_VSE 2011 Budget_PC Products 4 2" xfId="0"/>
    <cellStyle name="_PC_AIO_VSE 2011 Budget_PC Products_By Region" xfId="0"/>
    <cellStyle name="_PC_AIO_VSE 2011 Budget_PC Products_CORP SG&amp;A" xfId="0"/>
    <cellStyle name="_PC_AIO_VSE 2011 Budget_PC Products_LCD" xfId="0"/>
    <cellStyle name="_PC_AIO_VSE 2011 Budget_PC Products_PJ" xfId="0"/>
    <cellStyle name="_PC_AIO_VSE 2011 Budget_VSA 111014" xfId="0"/>
    <cellStyle name="_PC_AIO_VSE 2011 Budget_VSA 111014 2" xfId="0"/>
    <cellStyle name="_PC_AIO_VSE 2011 Budget_VSA 111014 3" xfId="0"/>
    <cellStyle name="_PC_AIO_VSE 2011 Budget_VSA 111014 4" xfId="0"/>
    <cellStyle name="_PC_AIO_VSE 2011 Budget_VSA 111014 4 2" xfId="0"/>
    <cellStyle name="_PC_AIO_VSE 2011 Budget_VSA 111014_By Region" xfId="0"/>
    <cellStyle name="_PC_AIO_VSE 2011 Budget_VSA 111014_CORP SG&amp;A" xfId="0"/>
    <cellStyle name="_PC_AIO_VSE 2011 Budget_VSA 111014_LCD" xfId="0"/>
    <cellStyle name="_PC_AIO_VSE 2011 Budget_VSA 111014_PJ" xfId="0"/>
    <cellStyle name="_PC_AIO_VSE 2011 Budget_VSA Roll-Up (LW)" xfId="0"/>
    <cellStyle name="_PC_AIO_VSE 2011 Budget_VSA Roll-Up (LW) 2" xfId="0"/>
    <cellStyle name="_PC_AIO_VSE 2011 Budget_VSA Roll-Up (LW) 3" xfId="0"/>
    <cellStyle name="_PC_AIO_VSE 2011 Budget_VSA Roll-Up (LW) 4" xfId="0"/>
    <cellStyle name="_PC_AIO_VSE 2011 Budget_VSA Roll-Up (LW) 4 2" xfId="0"/>
    <cellStyle name="_PC_AIO_VSE 2011 Budget_VSA Roll-Up (LW)_By Region" xfId="0"/>
    <cellStyle name="_PC_AIO_VSE 2011 Budget_VSA Roll-Up (LW)_CORP SG&amp;A" xfId="0"/>
    <cellStyle name="_PC_AIO_VSE 2011 Budget_VSA Roll-Up (LW)_LCD" xfId="0"/>
    <cellStyle name="_PC_AIO_VSE 2011 Budget_VSA Roll-Up (LW)_PJ" xfId="0"/>
    <cellStyle name="_PC_AIO_VSE 2H  WFP review (Spring Global meeting)-conservative Adam working v3" xfId="0"/>
    <cellStyle name="_PC_AIO_VSE 2H  WFP review (Spring Global meeting)-conservative Adam working v3 2" xfId="0"/>
    <cellStyle name="_PC_AIO_VSE 2H  WFP review (Spring Global meeting)-conservative Adam working v3 3" xfId="0"/>
    <cellStyle name="_PC_AIO_VSE 2H Rebalance 110712" xfId="0"/>
    <cellStyle name="_PC_AIO_VSE 2H Rebalance 110712 2" xfId="0"/>
    <cellStyle name="_PC_AIO_VSE 2H Rebalance 110712 3" xfId="0"/>
    <cellStyle name="_PC_AIO_VSE 2H Rebalance 110712 4" xfId="0"/>
    <cellStyle name="_PC_AIO_VSE 2H Rebalance 110712_By Region" xfId="0"/>
    <cellStyle name="_PC_AIO_VSE 2H Rebalance 110712_CORP SG&amp;A" xfId="0"/>
    <cellStyle name="_PC_AIO_VSE WFP 101203" xfId="0"/>
    <cellStyle name="_PC_AIO_VSE WFP 101203 2" xfId="0"/>
    <cellStyle name="_PC_AIO_VSE WFP 101203 3" xfId="0"/>
    <cellStyle name="_PC_AIO_VSE WFP 101203 4" xfId="0"/>
    <cellStyle name="_PC_AIO_VSE WFP 101203_By Region" xfId="0"/>
    <cellStyle name="_PC_AIO_VSE WFP 101203_CORP SG&amp;A" xfId="0"/>
    <cellStyle name="_PC_AIO_VSE WFP 110311" xfId="0"/>
    <cellStyle name="_PC_AIO_VSE WFP 110311 2" xfId="0"/>
    <cellStyle name="_PC_AIO_VSE WFP 110311 3" xfId="0"/>
    <cellStyle name="_PC_AIO_VSE WFP 110311 4" xfId="0"/>
    <cellStyle name="_PC_AIO_VSE WFP 110311_By Region" xfId="0"/>
    <cellStyle name="_PC_AIO_VSE WFP 110311_CORP SG&amp;A" xfId="0"/>
    <cellStyle name="_PC_AIO_VSE WFP 110415" xfId="0"/>
    <cellStyle name="_PC_AIO_VSE WFP 110415 2" xfId="0"/>
    <cellStyle name="_PC_AIO_VSE WFP 110415 3" xfId="0"/>
    <cellStyle name="_PC_AIO_VSE WFP 110415 4" xfId="0"/>
    <cellStyle name="_PC_AIO_VSE WFP 110415_By Region" xfId="0"/>
    <cellStyle name="_PC_AIO_VSE WFP 110415_CORP SG&amp;A" xfId="0"/>
    <cellStyle name="_PC_AIO_VSE WFP_100409" xfId="0"/>
    <cellStyle name="_PC_AIO_VSE WFP_100409 2" xfId="0"/>
    <cellStyle name="_PC_AIO_VSE WFP_100409 3" xfId="0"/>
    <cellStyle name="_PC_AIO_VSE WFP_100409 4" xfId="0"/>
    <cellStyle name="_PC_AIO_VSE WFP_100409_By Region" xfId="0"/>
    <cellStyle name="_PC_AIO_VSE WFP_100409_CORP SG&amp;A" xfId="0"/>
    <cellStyle name="_PC_AIO_VSE WFP_100409_GPS OTHER" xfId="0"/>
    <cellStyle name="_PC_AIO_VSE WFP_100409_GPS OTHER 2" xfId="0"/>
    <cellStyle name="_PC_AIO_VSE WFP_100409_GPS OTHER 3" xfId="0"/>
    <cellStyle name="_PC_AIO_VSE WFP_100409_GPS OTHER 4" xfId="0"/>
    <cellStyle name="_PC_AIO_VSE WFP_100409_GPS OTHER 4 2" xfId="0"/>
    <cellStyle name="_PC_AIO_VSE WFP_100409_GPS OTHER_By Region" xfId="0"/>
    <cellStyle name="_PC_AIO_VSE WFP_100409_GPS OTHER_CORP SG&amp;A" xfId="0"/>
    <cellStyle name="_PC_AIO_VSE WFP_100409_GPS OTHER_LCD" xfId="0"/>
    <cellStyle name="_PC_AIO_VSE WFP_100409_GPS OTHER_PJ" xfId="0"/>
    <cellStyle name="_PC_AIO_VSE WFP_100409_LCD" xfId="0"/>
    <cellStyle name="_PC_AIO_VSE WFP_100409_LCD 2" xfId="0"/>
    <cellStyle name="_PC_AIO_VSE WFP_100409_LCD 3" xfId="0"/>
    <cellStyle name="_PC_AIO_VSE WFP_100409_LCD 4" xfId="0"/>
    <cellStyle name="_PC_AIO_VSE WFP_100409_LCD_By Region" xfId="0"/>
    <cellStyle name="_PC_AIO_VSE WFP_100409_LCD_CORP SG&amp;A" xfId="0"/>
    <cellStyle name="_PC_AIO_VSE WFP_100409_LCD_LCD" xfId="0"/>
    <cellStyle name="_PC_AIO_VSE WFP_100409_LCD_PJ" xfId="0"/>
    <cellStyle name="_PC_AIO_VSE WFP_100409_PC Products" xfId="0"/>
    <cellStyle name="_PC_AIO_VSE WFP_100409_PC Products 2" xfId="0"/>
    <cellStyle name="_PC_AIO_VSE WFP_100409_PC Products 3" xfId="0"/>
    <cellStyle name="_PC_AIO_VSE WFP_100409_PC Products 4" xfId="0"/>
    <cellStyle name="_PC_AIO_VSE WFP_100409_PC Products 4 2" xfId="0"/>
    <cellStyle name="_PC_AIO_VSE WFP_100409_PC Products_By Region" xfId="0"/>
    <cellStyle name="_PC_AIO_VSE WFP_100409_PC Products_CORP SG&amp;A" xfId="0"/>
    <cellStyle name="_PC_AIO_VSE WFP_100409_PC Products_LCD" xfId="0"/>
    <cellStyle name="_PC_AIO_VSE WFP_100409_PC Products_PJ" xfId="0"/>
    <cellStyle name="_PC_AIO_VSE WFP_100409_VSA 111014" xfId="0"/>
    <cellStyle name="_PC_AIO_VSE WFP_100409_VSA 111014 2" xfId="0"/>
    <cellStyle name="_PC_AIO_VSE WFP_100409_VSA 111014 3" xfId="0"/>
    <cellStyle name="_PC_AIO_VSE WFP_100409_VSA 111014 4" xfId="0"/>
    <cellStyle name="_PC_AIO_VSE WFP_100409_VSA 111014 4 2" xfId="0"/>
    <cellStyle name="_PC_AIO_VSE WFP_100409_VSA 111014_By Region" xfId="0"/>
    <cellStyle name="_PC_AIO_VSE WFP_100409_VSA 111014_CORP SG&amp;A" xfId="0"/>
    <cellStyle name="_PC_AIO_VSE WFP_100409_VSA 111014_LCD" xfId="0"/>
    <cellStyle name="_PC_AIO_VSE WFP_100409_VSA 111014_PJ" xfId="0"/>
    <cellStyle name="_PC_AIO_VSE WFP_100409_VSA Roll-Up (LW)" xfId="0"/>
    <cellStyle name="_PC_AIO_VSE WFP_100409_VSA Roll-Up (LW) 2" xfId="0"/>
    <cellStyle name="_PC_AIO_VSE WFP_100409_VSA Roll-Up (LW) 3" xfId="0"/>
    <cellStyle name="_PC_AIO_VSE WFP_100409_VSA Roll-Up (LW) 4" xfId="0"/>
    <cellStyle name="_PC_AIO_VSE WFP_100409_VSA Roll-Up (LW) 4 2" xfId="0"/>
    <cellStyle name="_PC_AIO_VSE WFP_100409_VSA Roll-Up (LW)_By Region" xfId="0"/>
    <cellStyle name="_PC_AIO_VSE WFP_100409_VSA Roll-Up (LW)_CORP SG&amp;A" xfId="0"/>
    <cellStyle name="_PC_AIO_VSE WFP_100409_VSA Roll-Up (LW)_LCD" xfId="0"/>
    <cellStyle name="_PC_AIO_VSE WFP_100409_VSA Roll-Up (LW)_PJ" xfId="0"/>
    <cellStyle name="_PC_AIO_VSE WFP_100421 v2" xfId="0"/>
    <cellStyle name="_PC_AIO_VSE WFP_100421 v2 2" xfId="0"/>
    <cellStyle name="_PC_AIO_VSE WFP_100421 v2 3" xfId="0"/>
    <cellStyle name="_PC_AIO_VSE WFP_100421 v2 4" xfId="0"/>
    <cellStyle name="_PC_AIO_VSE WFP_100421 v2_By Region" xfId="0"/>
    <cellStyle name="_PC_AIO_VSE WFP_100421 v2_CORP SG&amp;A" xfId="0"/>
    <cellStyle name="_PC_AIO_VSE WFP_100421 v2_GPS OTHER" xfId="0"/>
    <cellStyle name="_PC_AIO_VSE WFP_100421 v2_GPS OTHER 2" xfId="0"/>
    <cellStyle name="_PC_AIO_VSE WFP_100421 v2_GPS OTHER 3" xfId="0"/>
    <cellStyle name="_PC_AIO_VSE WFP_100421 v2_GPS OTHER 4" xfId="0"/>
    <cellStyle name="_PC_AIO_VSE WFP_100421 v2_GPS OTHER 4 2" xfId="0"/>
    <cellStyle name="_PC_AIO_VSE WFP_100421 v2_GPS OTHER_By Region" xfId="0"/>
    <cellStyle name="_PC_AIO_VSE WFP_100421 v2_GPS OTHER_CORP SG&amp;A" xfId="0"/>
    <cellStyle name="_PC_AIO_VSE WFP_100421 v2_GPS OTHER_LCD" xfId="0"/>
    <cellStyle name="_PC_AIO_VSE WFP_100421 v2_GPS OTHER_PJ" xfId="0"/>
    <cellStyle name="_PC_AIO_VSE WFP_100421 v2_LCD" xfId="0"/>
    <cellStyle name="_PC_AIO_VSE WFP_100421 v2_LCD 2" xfId="0"/>
    <cellStyle name="_PC_AIO_VSE WFP_100421 v2_LCD 3" xfId="0"/>
    <cellStyle name="_PC_AIO_VSE WFP_100421 v2_LCD 4" xfId="0"/>
    <cellStyle name="_PC_AIO_VSE WFP_100421 v2_LCD_By Region" xfId="0"/>
    <cellStyle name="_PC_AIO_VSE WFP_100421 v2_LCD_CORP SG&amp;A" xfId="0"/>
    <cellStyle name="_PC_AIO_VSE WFP_100421 v2_LCD_LCD" xfId="0"/>
    <cellStyle name="_PC_AIO_VSE WFP_100421 v2_LCD_PJ" xfId="0"/>
    <cellStyle name="_PC_AIO_VSE WFP_100421 v2_PC Products" xfId="0"/>
    <cellStyle name="_PC_AIO_VSE WFP_100421 v2_PC Products 2" xfId="0"/>
    <cellStyle name="_PC_AIO_VSE WFP_100421 v2_PC Products 3" xfId="0"/>
    <cellStyle name="_PC_AIO_VSE WFP_100421 v2_PC Products 4" xfId="0"/>
    <cellStyle name="_PC_AIO_VSE WFP_100421 v2_PC Products 4 2" xfId="0"/>
    <cellStyle name="_PC_AIO_VSE WFP_100421 v2_PC Products_By Region" xfId="0"/>
    <cellStyle name="_PC_AIO_VSE WFP_100421 v2_PC Products_CORP SG&amp;A" xfId="0"/>
    <cellStyle name="_PC_AIO_VSE WFP_100421 v2_PC Products_LCD" xfId="0"/>
    <cellStyle name="_PC_AIO_VSE WFP_100421 v2_PC Products_PJ" xfId="0"/>
    <cellStyle name="_PC_AIO_VSE WFP_100421 v2_VSA 111014" xfId="0"/>
    <cellStyle name="_PC_AIO_VSE WFP_100421 v2_VSA 111014 2" xfId="0"/>
    <cellStyle name="_PC_AIO_VSE WFP_100421 v2_VSA 111014 3" xfId="0"/>
    <cellStyle name="_PC_AIO_VSE WFP_100421 v2_VSA 111014 4" xfId="0"/>
    <cellStyle name="_PC_AIO_VSE WFP_100421 v2_VSA 111014 4 2" xfId="0"/>
    <cellStyle name="_PC_AIO_VSE WFP_100421 v2_VSA 111014_By Region" xfId="0"/>
    <cellStyle name="_PC_AIO_VSE WFP_100421 v2_VSA 111014_CORP SG&amp;A" xfId="0"/>
    <cellStyle name="_PC_AIO_VSE WFP_100421 v2_VSA 111014_LCD" xfId="0"/>
    <cellStyle name="_PC_AIO_VSE WFP_100421 v2_VSA 111014_PJ" xfId="0"/>
    <cellStyle name="_PC_AIO_VSE WFP_100421 v2_VSA Roll-Up (LW)" xfId="0"/>
    <cellStyle name="_PC_AIO_VSE WFP_100421 v2_VSA Roll-Up (LW) 2" xfId="0"/>
    <cellStyle name="_PC_AIO_VSE WFP_100421 v2_VSA Roll-Up (LW) 3" xfId="0"/>
    <cellStyle name="_PC_AIO_VSE WFP_100421 v2_VSA Roll-Up (LW) 4" xfId="0"/>
    <cellStyle name="_PC_AIO_VSE WFP_100421 v2_VSA Roll-Up (LW) 4 2" xfId="0"/>
    <cellStyle name="_PC_AIO_VSE WFP_100421 v2_VSA Roll-Up (LW)_By Region" xfId="0"/>
    <cellStyle name="_PC_AIO_VSE WFP_100421 v2_VSA Roll-Up (LW)_CORP SG&amp;A" xfId="0"/>
    <cellStyle name="_PC_AIO_VSE WFP_100421 v2_VSA Roll-Up (LW)_LCD" xfId="0"/>
    <cellStyle name="_PC_AIO_VSE WFP_100421 v2_VSA Roll-Up (LW)_PJ" xfId="0"/>
    <cellStyle name="_PC_AIO_VSE WFP_100507" xfId="0"/>
    <cellStyle name="_PC_AIO_VSE WFP_100507 2" xfId="0"/>
    <cellStyle name="_PC_AIO_VSE WFP_100507 3" xfId="0"/>
    <cellStyle name="_PC_AIO_VSE WFP_100507 4" xfId="0"/>
    <cellStyle name="_PC_AIO_VSE WFP_100507_By Region" xfId="0"/>
    <cellStyle name="_PC_AIO_VSE WFP_100507_CORP SG&amp;A" xfId="0"/>
    <cellStyle name="_PC_AIO_VSE WFP_100507_GPS OTHER" xfId="0"/>
    <cellStyle name="_PC_AIO_VSE WFP_100507_GPS OTHER 2" xfId="0"/>
    <cellStyle name="_PC_AIO_VSE WFP_100507_GPS OTHER 3" xfId="0"/>
    <cellStyle name="_PC_AIO_VSE WFP_100507_GPS OTHER 4" xfId="0"/>
    <cellStyle name="_PC_AIO_VSE WFP_100507_GPS OTHER 4 2" xfId="0"/>
    <cellStyle name="_PC_AIO_VSE WFP_100507_GPS OTHER_By Region" xfId="0"/>
    <cellStyle name="_PC_AIO_VSE WFP_100507_GPS OTHER_CORP SG&amp;A" xfId="0"/>
    <cellStyle name="_PC_AIO_VSE WFP_100507_GPS OTHER_LCD" xfId="0"/>
    <cellStyle name="_PC_AIO_VSE WFP_100507_GPS OTHER_PJ" xfId="0"/>
    <cellStyle name="_PC_AIO_VSE WFP_100507_LCD" xfId="0"/>
    <cellStyle name="_PC_AIO_VSE WFP_100507_LCD 2" xfId="0"/>
    <cellStyle name="_PC_AIO_VSE WFP_100507_LCD 3" xfId="0"/>
    <cellStyle name="_PC_AIO_VSE WFP_100507_LCD 4" xfId="0"/>
    <cellStyle name="_PC_AIO_VSE WFP_100507_LCD_By Region" xfId="0"/>
    <cellStyle name="_PC_AIO_VSE WFP_100507_LCD_CORP SG&amp;A" xfId="0"/>
    <cellStyle name="_PC_AIO_VSE WFP_100507_LCD_LCD" xfId="0"/>
    <cellStyle name="_PC_AIO_VSE WFP_100507_LCD_PJ" xfId="0"/>
    <cellStyle name="_PC_AIO_VSE WFP_100507_PC Products" xfId="0"/>
    <cellStyle name="_PC_AIO_VSE WFP_100507_PC Products 2" xfId="0"/>
    <cellStyle name="_PC_AIO_VSE WFP_100507_PC Products 3" xfId="0"/>
    <cellStyle name="_PC_AIO_VSE WFP_100507_PC Products 4" xfId="0"/>
    <cellStyle name="_PC_AIO_VSE WFP_100507_PC Products 4 2" xfId="0"/>
    <cellStyle name="_PC_AIO_VSE WFP_100507_PC Products_By Region" xfId="0"/>
    <cellStyle name="_PC_AIO_VSE WFP_100507_PC Products_CORP SG&amp;A" xfId="0"/>
    <cellStyle name="_PC_AIO_VSE WFP_100507_PC Products_LCD" xfId="0"/>
    <cellStyle name="_PC_AIO_VSE WFP_100507_PC Products_PJ" xfId="0"/>
    <cellStyle name="_PC_AIO_VSE WFP_100507_VSA 111014" xfId="0"/>
    <cellStyle name="_PC_AIO_VSE WFP_100507_VSA 111014 2" xfId="0"/>
    <cellStyle name="_PC_AIO_VSE WFP_100507_VSA 111014 3" xfId="0"/>
    <cellStyle name="_PC_AIO_VSE WFP_100507_VSA 111014 4" xfId="0"/>
    <cellStyle name="_PC_AIO_VSE WFP_100507_VSA 111014 4 2" xfId="0"/>
    <cellStyle name="_PC_AIO_VSE WFP_100507_VSA 111014_By Region" xfId="0"/>
    <cellStyle name="_PC_AIO_VSE WFP_100507_VSA 111014_CORP SG&amp;A" xfId="0"/>
    <cellStyle name="_PC_AIO_VSE WFP_100507_VSA 111014_LCD" xfId="0"/>
    <cellStyle name="_PC_AIO_VSE WFP_100507_VSA 111014_PJ" xfId="0"/>
    <cellStyle name="_PC_AIO_VSE WFP_100507_VSA Roll-Up (LW)" xfId="0"/>
    <cellStyle name="_PC_AIO_VSE WFP_100507_VSA Roll-Up (LW) 2" xfId="0"/>
    <cellStyle name="_PC_AIO_VSE WFP_100507_VSA Roll-Up (LW) 3" xfId="0"/>
    <cellStyle name="_PC_AIO_VSE WFP_100507_VSA Roll-Up (LW) 4" xfId="0"/>
    <cellStyle name="_PC_AIO_VSE WFP_100507_VSA Roll-Up (LW) 4 2" xfId="0"/>
    <cellStyle name="_PC_AIO_VSE WFP_100507_VSA Roll-Up (LW)_By Region" xfId="0"/>
    <cellStyle name="_PC_AIO_VSE WFP_100507_VSA Roll-Up (LW)_CORP SG&amp;A" xfId="0"/>
    <cellStyle name="_PC_AIO_VSE WFP_100507_VSA Roll-Up (LW)_LCD" xfId="0"/>
    <cellStyle name="_PC_AIO_VSE WFP_100507_VSA Roll-Up (LW)_PJ" xfId="0"/>
    <cellStyle name="_PC_AIO_VSE WFP_100608" xfId="0"/>
    <cellStyle name="_PC_AIO_VSE WFP_100608 2" xfId="0"/>
    <cellStyle name="_PC_AIO_VSE WFP_100608 3" xfId="0"/>
    <cellStyle name="_PC_AIO_VSE WFP_100608 4" xfId="0"/>
    <cellStyle name="_PC_AIO_VSE WFP_100608_By Region" xfId="0"/>
    <cellStyle name="_PC_AIO_VSE WFP_100608_CORP SG&amp;A" xfId="0"/>
    <cellStyle name="_PC_AIO_VSE WFP_100608_GPS OTHER" xfId="0"/>
    <cellStyle name="_PC_AIO_VSE WFP_100608_GPS OTHER 2" xfId="0"/>
    <cellStyle name="_PC_AIO_VSE WFP_100608_GPS OTHER 3" xfId="0"/>
    <cellStyle name="_PC_AIO_VSE WFP_100608_GPS OTHER 4" xfId="0"/>
    <cellStyle name="_PC_AIO_VSE WFP_100608_GPS OTHER 4 2" xfId="0"/>
    <cellStyle name="_PC_AIO_VSE WFP_100608_GPS OTHER_By Region" xfId="0"/>
    <cellStyle name="_PC_AIO_VSE WFP_100608_GPS OTHER_CORP SG&amp;A" xfId="0"/>
    <cellStyle name="_PC_AIO_VSE WFP_100608_GPS OTHER_LCD" xfId="0"/>
    <cellStyle name="_PC_AIO_VSE WFP_100608_GPS OTHER_PJ" xfId="0"/>
    <cellStyle name="_PC_AIO_VSE WFP_100608_LCD" xfId="0"/>
    <cellStyle name="_PC_AIO_VSE WFP_100608_LCD 2" xfId="0"/>
    <cellStyle name="_PC_AIO_VSE WFP_100608_LCD 3" xfId="0"/>
    <cellStyle name="_PC_AIO_VSE WFP_100608_LCD 4" xfId="0"/>
    <cellStyle name="_PC_AIO_VSE WFP_100608_LCD_By Region" xfId="0"/>
    <cellStyle name="_PC_AIO_VSE WFP_100608_LCD_CORP SG&amp;A" xfId="0"/>
    <cellStyle name="_PC_AIO_VSE WFP_100608_LCD_LCD" xfId="0"/>
    <cellStyle name="_PC_AIO_VSE WFP_100608_LCD_PJ" xfId="0"/>
    <cellStyle name="_PC_AIO_VSE WFP_100608_PC Products" xfId="0"/>
    <cellStyle name="_PC_AIO_VSE WFP_100608_PC Products 2" xfId="0"/>
    <cellStyle name="_PC_AIO_VSE WFP_100608_PC Products 3" xfId="0"/>
    <cellStyle name="_PC_AIO_VSE WFP_100608_PC Products 4" xfId="0"/>
    <cellStyle name="_PC_AIO_VSE WFP_100608_PC Products 4 2" xfId="0"/>
    <cellStyle name="_PC_AIO_VSE WFP_100608_PC Products_By Region" xfId="0"/>
    <cellStyle name="_PC_AIO_VSE WFP_100608_PC Products_CORP SG&amp;A" xfId="0"/>
    <cellStyle name="_PC_AIO_VSE WFP_100608_PC Products_LCD" xfId="0"/>
    <cellStyle name="_PC_AIO_VSE WFP_100608_PC Products_PJ" xfId="0"/>
    <cellStyle name="_PC_AIO_VSE WFP_100608_VSA 111014" xfId="0"/>
    <cellStyle name="_PC_AIO_VSE WFP_100608_VSA 111014 2" xfId="0"/>
    <cellStyle name="_PC_AIO_VSE WFP_100608_VSA 111014 3" xfId="0"/>
    <cellStyle name="_PC_AIO_VSE WFP_100608_VSA 111014 4" xfId="0"/>
    <cellStyle name="_PC_AIO_VSE WFP_100608_VSA 111014 4 2" xfId="0"/>
    <cellStyle name="_PC_AIO_VSE WFP_100608_VSA 111014_By Region" xfId="0"/>
    <cellStyle name="_PC_AIO_VSE WFP_100608_VSA 111014_CORP SG&amp;A" xfId="0"/>
    <cellStyle name="_PC_AIO_VSE WFP_100608_VSA 111014_LCD" xfId="0"/>
    <cellStyle name="_PC_AIO_VSE WFP_100608_VSA 111014_PJ" xfId="0"/>
    <cellStyle name="_PC_AIO_VSE WFP_100608_VSA Roll-Up (LW)" xfId="0"/>
    <cellStyle name="_PC_AIO_VSE WFP_100608_VSA Roll-Up (LW) 2" xfId="0"/>
    <cellStyle name="_PC_AIO_VSE WFP_100608_VSA Roll-Up (LW) 3" xfId="0"/>
    <cellStyle name="_PC_AIO_VSE WFP_100608_VSA Roll-Up (LW) 4" xfId="0"/>
    <cellStyle name="_PC_AIO_VSE WFP_100608_VSA Roll-Up (LW) 4 2" xfId="0"/>
    <cellStyle name="_PC_AIO_VSE WFP_100608_VSA Roll-Up (LW)_By Region" xfId="0"/>
    <cellStyle name="_PC_AIO_VSE WFP_100608_VSA Roll-Up (LW)_CORP SG&amp;A" xfId="0"/>
    <cellStyle name="_PC_AIO_VSE WFP_100608_VSA Roll-Up (LW)_LCD" xfId="0"/>
    <cellStyle name="_PC_AIO_VSE WFP_100608_VSA Roll-Up (LW)_PJ" xfId="0"/>
    <cellStyle name="_PC_AIO_VSE WFP_100625" xfId="0"/>
    <cellStyle name="_PC_AIO_VSE WFP_100625 2" xfId="0"/>
    <cellStyle name="_PC_AIO_VSE WFP_100625 3" xfId="0"/>
    <cellStyle name="_PC_AIO_VSE WFP_100625 4" xfId="0"/>
    <cellStyle name="_PC_AIO_VSE WFP_100625_By Region" xfId="0"/>
    <cellStyle name="_PC_AIO_VSE WFP_100625_CORP SG&amp;A" xfId="0"/>
    <cellStyle name="_PC_AIO_VSE WFP_100625_GPS OTHER" xfId="0"/>
    <cellStyle name="_PC_AIO_VSE WFP_100625_GPS OTHER 2" xfId="0"/>
    <cellStyle name="_PC_AIO_VSE WFP_100625_GPS OTHER 3" xfId="0"/>
    <cellStyle name="_PC_AIO_VSE WFP_100625_GPS OTHER 4" xfId="0"/>
    <cellStyle name="_PC_AIO_VSE WFP_100625_GPS OTHER 4 2" xfId="0"/>
    <cellStyle name="_PC_AIO_VSE WFP_100625_GPS OTHER_By Region" xfId="0"/>
    <cellStyle name="_PC_AIO_VSE WFP_100625_GPS OTHER_CORP SG&amp;A" xfId="0"/>
    <cellStyle name="_PC_AIO_VSE WFP_100625_GPS OTHER_LCD" xfId="0"/>
    <cellStyle name="_PC_AIO_VSE WFP_100625_GPS OTHER_PJ" xfId="0"/>
    <cellStyle name="_PC_AIO_VSE WFP_100625_LCD" xfId="0"/>
    <cellStyle name="_PC_AIO_VSE WFP_100625_LCD 2" xfId="0"/>
    <cellStyle name="_PC_AIO_VSE WFP_100625_LCD 3" xfId="0"/>
    <cellStyle name="_PC_AIO_VSE WFP_100625_LCD 4" xfId="0"/>
    <cellStyle name="_PC_AIO_VSE WFP_100625_LCD_By Region" xfId="0"/>
    <cellStyle name="_PC_AIO_VSE WFP_100625_LCD_CORP SG&amp;A" xfId="0"/>
    <cellStyle name="_PC_AIO_VSE WFP_100625_LCD_LCD" xfId="0"/>
    <cellStyle name="_PC_AIO_VSE WFP_100625_LCD_PJ" xfId="0"/>
    <cellStyle name="_PC_AIO_VSE WFP_100625_PC Products" xfId="0"/>
    <cellStyle name="_PC_AIO_VSE WFP_100625_PC Products 2" xfId="0"/>
    <cellStyle name="_PC_AIO_VSE WFP_100625_PC Products 3" xfId="0"/>
    <cellStyle name="_PC_AIO_VSE WFP_100625_PC Products 4" xfId="0"/>
    <cellStyle name="_PC_AIO_VSE WFP_100625_PC Products 4 2" xfId="0"/>
    <cellStyle name="_PC_AIO_VSE WFP_100625_PC Products_By Region" xfId="0"/>
    <cellStyle name="_PC_AIO_VSE WFP_100625_PC Products_CORP SG&amp;A" xfId="0"/>
    <cellStyle name="_PC_AIO_VSE WFP_100625_PC Products_LCD" xfId="0"/>
    <cellStyle name="_PC_AIO_VSE WFP_100625_PC Products_PJ" xfId="0"/>
    <cellStyle name="_PC_AIO_VSE WFP_100625_VSA 111014" xfId="0"/>
    <cellStyle name="_PC_AIO_VSE WFP_100625_VSA 111014 2" xfId="0"/>
    <cellStyle name="_PC_AIO_VSE WFP_100625_VSA 111014 3" xfId="0"/>
    <cellStyle name="_PC_AIO_VSE WFP_100625_VSA 111014 4" xfId="0"/>
    <cellStyle name="_PC_AIO_VSE WFP_100625_VSA 111014 4 2" xfId="0"/>
    <cellStyle name="_PC_AIO_VSE WFP_100625_VSA 111014_By Region" xfId="0"/>
    <cellStyle name="_PC_AIO_VSE WFP_100625_VSA 111014_CORP SG&amp;A" xfId="0"/>
    <cellStyle name="_PC_AIO_VSE WFP_100625_VSA 111014_LCD" xfId="0"/>
    <cellStyle name="_PC_AIO_VSE WFP_100625_VSA 111014_PJ" xfId="0"/>
    <cellStyle name="_PC_AIO_VSE WFP_100625_VSA Roll-Up (LW)" xfId="0"/>
    <cellStyle name="_PC_AIO_VSE WFP_100625_VSA Roll-Up (LW) 2" xfId="0"/>
    <cellStyle name="_PC_AIO_VSE WFP_100625_VSA Roll-Up (LW) 3" xfId="0"/>
    <cellStyle name="_PC_AIO_VSE WFP_100625_VSA Roll-Up (LW) 4" xfId="0"/>
    <cellStyle name="_PC_AIO_VSE WFP_100625_VSA Roll-Up (LW) 4 2" xfId="0"/>
    <cellStyle name="_PC_AIO_VSE WFP_100625_VSA Roll-Up (LW)_By Region" xfId="0"/>
    <cellStyle name="_PC_AIO_VSE WFP_100625_VSA Roll-Up (LW)_CORP SG&amp;A" xfId="0"/>
    <cellStyle name="_PC_AIO_VSE WFP_100625_VSA Roll-Up (LW)_LCD" xfId="0"/>
    <cellStyle name="_PC_AIO_VSE WFP_100625_VSA Roll-Up (LW)_PJ" xfId="0"/>
    <cellStyle name="_PC_AIO_VSE WFP_100708_3rd" xfId="0"/>
    <cellStyle name="_PC_AIO_VSE WFP_100708_3rd 2" xfId="0"/>
    <cellStyle name="_PC_AIO_VSE WFP_100708_3rd 3" xfId="0"/>
    <cellStyle name="_PC_AIO_VSE WFP_100708_3rd 4" xfId="0"/>
    <cellStyle name="_PC_AIO_VSE WFP_100708_3rd_By Region" xfId="0"/>
    <cellStyle name="_PC_AIO_VSE WFP_100708_3rd_CORP SG&amp;A" xfId="0"/>
    <cellStyle name="_PC_AIO_VSE WFP_100708_3rd_GPS OTHER" xfId="0"/>
    <cellStyle name="_PC_AIO_VSE WFP_100708_3rd_GPS OTHER 2" xfId="0"/>
    <cellStyle name="_PC_AIO_VSE WFP_100708_3rd_GPS OTHER 3" xfId="0"/>
    <cellStyle name="_PC_AIO_VSE WFP_100708_3rd_GPS OTHER 4" xfId="0"/>
    <cellStyle name="_PC_AIO_VSE WFP_100708_3rd_GPS OTHER 4 2" xfId="0"/>
    <cellStyle name="_PC_AIO_VSE WFP_100708_3rd_GPS OTHER_By Region" xfId="0"/>
    <cellStyle name="_PC_AIO_VSE WFP_100708_3rd_GPS OTHER_CORP SG&amp;A" xfId="0"/>
    <cellStyle name="_PC_AIO_VSE WFP_100708_3rd_GPS OTHER_LCD" xfId="0"/>
    <cellStyle name="_PC_AIO_VSE WFP_100708_3rd_GPS OTHER_PJ" xfId="0"/>
    <cellStyle name="_PC_AIO_VSE WFP_100708_3rd_LCD" xfId="0"/>
    <cellStyle name="_PC_AIO_VSE WFP_100708_3rd_LCD 2" xfId="0"/>
    <cellStyle name="_PC_AIO_VSE WFP_100708_3rd_LCD 3" xfId="0"/>
    <cellStyle name="_PC_AIO_VSE WFP_100708_3rd_LCD 4" xfId="0"/>
    <cellStyle name="_PC_AIO_VSE WFP_100708_3rd_LCD_By Region" xfId="0"/>
    <cellStyle name="_PC_AIO_VSE WFP_100708_3rd_LCD_CORP SG&amp;A" xfId="0"/>
    <cellStyle name="_PC_AIO_VSE WFP_100708_3rd_LCD_LCD" xfId="0"/>
    <cellStyle name="_PC_AIO_VSE WFP_100708_3rd_LCD_PJ" xfId="0"/>
    <cellStyle name="_PC_AIO_VSE WFP_100708_3rd_PC Products" xfId="0"/>
    <cellStyle name="_PC_AIO_VSE WFP_100708_3rd_PC Products 2" xfId="0"/>
    <cellStyle name="_PC_AIO_VSE WFP_100708_3rd_PC Products 3" xfId="0"/>
    <cellStyle name="_PC_AIO_VSE WFP_100708_3rd_PC Products 4" xfId="0"/>
    <cellStyle name="_PC_AIO_VSE WFP_100708_3rd_PC Products 4 2" xfId="0"/>
    <cellStyle name="_PC_AIO_VSE WFP_100708_3rd_PC Products_By Region" xfId="0"/>
    <cellStyle name="_PC_AIO_VSE WFP_100708_3rd_PC Products_CORP SG&amp;A" xfId="0"/>
    <cellStyle name="_PC_AIO_VSE WFP_100708_3rd_PC Products_LCD" xfId="0"/>
    <cellStyle name="_PC_AIO_VSE WFP_100708_3rd_PC Products_PJ" xfId="0"/>
    <cellStyle name="_PC_AIO_VSE WFP_100708_3rd_VSA 111014" xfId="0"/>
    <cellStyle name="_PC_AIO_VSE WFP_100708_3rd_VSA 111014 2" xfId="0"/>
    <cellStyle name="_PC_AIO_VSE WFP_100708_3rd_VSA 111014 3" xfId="0"/>
    <cellStyle name="_PC_AIO_VSE WFP_100708_3rd_VSA 111014 4" xfId="0"/>
    <cellStyle name="_PC_AIO_VSE WFP_100708_3rd_VSA 111014 4 2" xfId="0"/>
    <cellStyle name="_PC_AIO_VSE WFP_100708_3rd_VSA 111014_By Region" xfId="0"/>
    <cellStyle name="_PC_AIO_VSE WFP_100708_3rd_VSA 111014_CORP SG&amp;A" xfId="0"/>
    <cellStyle name="_PC_AIO_VSE WFP_100708_3rd_VSA 111014_LCD" xfId="0"/>
    <cellStyle name="_PC_AIO_VSE WFP_100708_3rd_VSA 111014_PJ" xfId="0"/>
    <cellStyle name="_PC_AIO_VSE WFP_100708_3rd_VSA Roll-Up (LW)" xfId="0"/>
    <cellStyle name="_PC_AIO_VSE WFP_100708_3rd_VSA Roll-Up (LW) 2" xfId="0"/>
    <cellStyle name="_PC_AIO_VSE WFP_100708_3rd_VSA Roll-Up (LW) 3" xfId="0"/>
    <cellStyle name="_PC_AIO_VSE WFP_100708_3rd_VSA Roll-Up (LW) 4" xfId="0"/>
    <cellStyle name="_PC_AIO_VSE WFP_100708_3rd_VSA Roll-Up (LW) 4 2" xfId="0"/>
    <cellStyle name="_PC_AIO_VSE WFP_100708_3rd_VSA Roll-Up (LW)_By Region" xfId="0"/>
    <cellStyle name="_PC_AIO_VSE WFP_100708_3rd_VSA Roll-Up (LW)_CORP SG&amp;A" xfId="0"/>
    <cellStyle name="_PC_AIO_VSE WFP_100708_3rd_VSA Roll-Up (LW)_LCD" xfId="0"/>
    <cellStyle name="_PC_AIO_VSE WFP_100708_3rd_VSA Roll-Up (LW)_PJ" xfId="0"/>
    <cellStyle name="_PC_AIO_VSE WFP_100726" xfId="0"/>
    <cellStyle name="_PC_AIO_VSE WFP_100726 2" xfId="0"/>
    <cellStyle name="_PC_AIO_VSE WFP_100726 3" xfId="0"/>
    <cellStyle name="_PC_AIO_VSE WFP_100726 4" xfId="0"/>
    <cellStyle name="_PC_AIO_VSE WFP_100726-1" xfId="0"/>
    <cellStyle name="_PC_AIO_VSE WFP_100726-1 2" xfId="0"/>
    <cellStyle name="_PC_AIO_VSE WFP_100726-1 3" xfId="0"/>
    <cellStyle name="_PC_AIO_VSE WFP_100726-1 4" xfId="0"/>
    <cellStyle name="_PC_AIO_VSE WFP_100726-1_By Region" xfId="0"/>
    <cellStyle name="_PC_AIO_VSE WFP_100726-1_CORP SG&amp;A" xfId="0"/>
    <cellStyle name="_PC_AIO_VSE WFP_100726-1_GPS OTHER" xfId="0"/>
    <cellStyle name="_PC_AIO_VSE WFP_100726-1_GPS OTHER 2" xfId="0"/>
    <cellStyle name="_PC_AIO_VSE WFP_100726-1_GPS OTHER 3" xfId="0"/>
    <cellStyle name="_PC_AIO_VSE WFP_100726-1_GPS OTHER 4" xfId="0"/>
    <cellStyle name="_PC_AIO_VSE WFP_100726-1_GPS OTHER 4 2" xfId="0"/>
    <cellStyle name="_PC_AIO_VSE WFP_100726-1_GPS OTHER_By Region" xfId="0"/>
    <cellStyle name="_PC_AIO_VSE WFP_100726-1_GPS OTHER_CORP SG&amp;A" xfId="0"/>
    <cellStyle name="_PC_AIO_VSE WFP_100726-1_GPS OTHER_LCD" xfId="0"/>
    <cellStyle name="_PC_AIO_VSE WFP_100726-1_GPS OTHER_PJ" xfId="0"/>
    <cellStyle name="_PC_AIO_VSE WFP_100726-1_LCD" xfId="0"/>
    <cellStyle name="_PC_AIO_VSE WFP_100726-1_LCD 2" xfId="0"/>
    <cellStyle name="_PC_AIO_VSE WFP_100726-1_LCD 3" xfId="0"/>
    <cellStyle name="_PC_AIO_VSE WFP_100726-1_LCD 4" xfId="0"/>
    <cellStyle name="_PC_AIO_VSE WFP_100726-1_LCD_By Region" xfId="0"/>
    <cellStyle name="_PC_AIO_VSE WFP_100726-1_LCD_CORP SG&amp;A" xfId="0"/>
    <cellStyle name="_PC_AIO_VSE WFP_100726-1_LCD_LCD" xfId="0"/>
    <cellStyle name="_PC_AIO_VSE WFP_100726-1_LCD_PJ" xfId="0"/>
    <cellStyle name="_PC_AIO_VSE WFP_100726-1_PC Products" xfId="0"/>
    <cellStyle name="_PC_AIO_VSE WFP_100726-1_PC Products 2" xfId="0"/>
    <cellStyle name="_PC_AIO_VSE WFP_100726-1_PC Products 3" xfId="0"/>
    <cellStyle name="_PC_AIO_VSE WFP_100726-1_PC Products 4" xfId="0"/>
    <cellStyle name="_PC_AIO_VSE WFP_100726-1_PC Products 4 2" xfId="0"/>
    <cellStyle name="_PC_AIO_VSE WFP_100726-1_PC Products_By Region" xfId="0"/>
    <cellStyle name="_PC_AIO_VSE WFP_100726-1_PC Products_CORP SG&amp;A" xfId="0"/>
    <cellStyle name="_PC_AIO_VSE WFP_100726-1_PC Products_LCD" xfId="0"/>
    <cellStyle name="_PC_AIO_VSE WFP_100726-1_PC Products_PJ" xfId="0"/>
    <cellStyle name="_PC_AIO_VSE WFP_100726-1_VSA 111014" xfId="0"/>
    <cellStyle name="_PC_AIO_VSE WFP_100726-1_VSA 111014 2" xfId="0"/>
    <cellStyle name="_PC_AIO_VSE WFP_100726-1_VSA 111014 3" xfId="0"/>
    <cellStyle name="_PC_AIO_VSE WFP_100726-1_VSA 111014 4" xfId="0"/>
    <cellStyle name="_PC_AIO_VSE WFP_100726-1_VSA 111014 4 2" xfId="0"/>
    <cellStyle name="_PC_AIO_VSE WFP_100726-1_VSA 111014_By Region" xfId="0"/>
    <cellStyle name="_PC_AIO_VSE WFP_100726-1_VSA 111014_CORP SG&amp;A" xfId="0"/>
    <cellStyle name="_PC_AIO_VSE WFP_100726-1_VSA 111014_LCD" xfId="0"/>
    <cellStyle name="_PC_AIO_VSE WFP_100726-1_VSA 111014_PJ" xfId="0"/>
    <cellStyle name="_PC_AIO_VSE WFP_100726-1_VSA Roll-Up (LW)" xfId="0"/>
    <cellStyle name="_PC_AIO_VSE WFP_100726-1_VSA Roll-Up (LW) 2" xfId="0"/>
    <cellStyle name="_PC_AIO_VSE WFP_100726-1_VSA Roll-Up (LW) 3" xfId="0"/>
    <cellStyle name="_PC_AIO_VSE WFP_100726-1_VSA Roll-Up (LW) 4" xfId="0"/>
    <cellStyle name="_PC_AIO_VSE WFP_100726-1_VSA Roll-Up (LW) 4 2" xfId="0"/>
    <cellStyle name="_PC_AIO_VSE WFP_100726-1_VSA Roll-Up (LW)_By Region" xfId="0"/>
    <cellStyle name="_PC_AIO_VSE WFP_100726-1_VSA Roll-Up (LW)_CORP SG&amp;A" xfId="0"/>
    <cellStyle name="_PC_AIO_VSE WFP_100726-1_VSA Roll-Up (LW)_LCD" xfId="0"/>
    <cellStyle name="_PC_AIO_VSE WFP_100726-1_VSA Roll-Up (LW)_PJ" xfId="0"/>
    <cellStyle name="_PC_AIO_VSE WFP_100726-2-yc" xfId="0"/>
    <cellStyle name="_PC_AIO_VSE WFP_100726-2-yc 2" xfId="0"/>
    <cellStyle name="_PC_AIO_VSE WFP_100726-2-yc 3" xfId="0"/>
    <cellStyle name="_PC_AIO_VSE WFP_100726-2-yc 4" xfId="0"/>
    <cellStyle name="_PC_AIO_VSE WFP_100726-2-yc_By Region" xfId="0"/>
    <cellStyle name="_PC_AIO_VSE WFP_100726-2-yc_CORP SG&amp;A" xfId="0"/>
    <cellStyle name="_PC_AIO_VSE WFP_100726-2-yc_GPS OTHER" xfId="0"/>
    <cellStyle name="_PC_AIO_VSE WFP_100726-2-yc_GPS OTHER 2" xfId="0"/>
    <cellStyle name="_PC_AIO_VSE WFP_100726-2-yc_GPS OTHER 3" xfId="0"/>
    <cellStyle name="_PC_AIO_VSE WFP_100726-2-yc_GPS OTHER 4" xfId="0"/>
    <cellStyle name="_PC_AIO_VSE WFP_100726-2-yc_GPS OTHER 4 2" xfId="0"/>
    <cellStyle name="_PC_AIO_VSE WFP_100726-2-yc_GPS OTHER_By Region" xfId="0"/>
    <cellStyle name="_PC_AIO_VSE WFP_100726-2-yc_GPS OTHER_CORP SG&amp;A" xfId="0"/>
    <cellStyle name="_PC_AIO_VSE WFP_100726-2-yc_GPS OTHER_LCD" xfId="0"/>
    <cellStyle name="_PC_AIO_VSE WFP_100726-2-yc_GPS OTHER_PJ" xfId="0"/>
    <cellStyle name="_PC_AIO_VSE WFP_100726-2-yc_LCD" xfId="0"/>
    <cellStyle name="_PC_AIO_VSE WFP_100726-2-yc_LCD 2" xfId="0"/>
    <cellStyle name="_PC_AIO_VSE WFP_100726-2-yc_LCD 3" xfId="0"/>
    <cellStyle name="_PC_AIO_VSE WFP_100726-2-yc_LCD 4" xfId="0"/>
    <cellStyle name="_PC_AIO_VSE WFP_100726-2-yc_LCD_By Region" xfId="0"/>
    <cellStyle name="_PC_AIO_VSE WFP_100726-2-yc_LCD_CORP SG&amp;A" xfId="0"/>
    <cellStyle name="_PC_AIO_VSE WFP_100726-2-yc_LCD_LCD" xfId="0"/>
    <cellStyle name="_PC_AIO_VSE WFP_100726-2-yc_LCD_PJ" xfId="0"/>
    <cellStyle name="_PC_AIO_VSE WFP_100726-2-yc_PC Products" xfId="0"/>
    <cellStyle name="_PC_AIO_VSE WFP_100726-2-yc_PC Products 2" xfId="0"/>
    <cellStyle name="_PC_AIO_VSE WFP_100726-2-yc_PC Products 3" xfId="0"/>
    <cellStyle name="_PC_AIO_VSE WFP_100726-2-yc_PC Products 4" xfId="0"/>
    <cellStyle name="_PC_AIO_VSE WFP_100726-2-yc_PC Products 4 2" xfId="0"/>
    <cellStyle name="_PC_AIO_VSE WFP_100726-2-yc_PC Products_By Region" xfId="0"/>
    <cellStyle name="_PC_AIO_VSE WFP_100726-2-yc_PC Products_CORP SG&amp;A" xfId="0"/>
    <cellStyle name="_PC_AIO_VSE WFP_100726-2-yc_PC Products_LCD" xfId="0"/>
    <cellStyle name="_PC_AIO_VSE WFP_100726-2-yc_PC Products_PJ" xfId="0"/>
    <cellStyle name="_PC_AIO_VSE WFP_100726-2-yc_VSA 111014" xfId="0"/>
    <cellStyle name="_PC_AIO_VSE WFP_100726-2-yc_VSA 111014 2" xfId="0"/>
    <cellStyle name="_PC_AIO_VSE WFP_100726-2-yc_VSA 111014 3" xfId="0"/>
    <cellStyle name="_PC_AIO_VSE WFP_100726-2-yc_VSA 111014 4" xfId="0"/>
    <cellStyle name="_PC_AIO_VSE WFP_100726-2-yc_VSA 111014 4 2" xfId="0"/>
    <cellStyle name="_PC_AIO_VSE WFP_100726-2-yc_VSA 111014_By Region" xfId="0"/>
    <cellStyle name="_PC_AIO_VSE WFP_100726-2-yc_VSA 111014_CORP SG&amp;A" xfId="0"/>
    <cellStyle name="_PC_AIO_VSE WFP_100726-2-yc_VSA 111014_LCD" xfId="0"/>
    <cellStyle name="_PC_AIO_VSE WFP_100726-2-yc_VSA 111014_PJ" xfId="0"/>
    <cellStyle name="_PC_AIO_VSE WFP_100726-2-yc_VSA Roll-Up (LW)" xfId="0"/>
    <cellStyle name="_PC_AIO_VSE WFP_100726-2-yc_VSA Roll-Up (LW) 2" xfId="0"/>
    <cellStyle name="_PC_AIO_VSE WFP_100726-2-yc_VSA Roll-Up (LW) 3" xfId="0"/>
    <cellStyle name="_PC_AIO_VSE WFP_100726-2-yc_VSA Roll-Up (LW) 4" xfId="0"/>
    <cellStyle name="_PC_AIO_VSE WFP_100726-2-yc_VSA Roll-Up (LW) 4 2" xfId="0"/>
    <cellStyle name="_PC_AIO_VSE WFP_100726-2-yc_VSA Roll-Up (LW)_By Region" xfId="0"/>
    <cellStyle name="_PC_AIO_VSE WFP_100726-2-yc_VSA Roll-Up (LW)_CORP SG&amp;A" xfId="0"/>
    <cellStyle name="_PC_AIO_VSE WFP_100726-2-yc_VSA Roll-Up (LW)_LCD" xfId="0"/>
    <cellStyle name="_PC_AIO_VSE WFP_100726-2-yc_VSA Roll-Up (LW)_PJ" xfId="0"/>
    <cellStyle name="_PC_AIO_VSE WFP_100726_By Region" xfId="0"/>
    <cellStyle name="_PC_AIO_VSE WFP_100726_CORP SG&amp;A" xfId="0"/>
    <cellStyle name="_PC_AIO_VSE WFP_100726_GPS OTHER" xfId="0"/>
    <cellStyle name="_PC_AIO_VSE WFP_100726_GPS OTHER 2" xfId="0"/>
    <cellStyle name="_PC_AIO_VSE WFP_100726_GPS OTHER 3" xfId="0"/>
    <cellStyle name="_PC_AIO_VSE WFP_100726_GPS OTHER 4" xfId="0"/>
    <cellStyle name="_PC_AIO_VSE WFP_100726_GPS OTHER 4 2" xfId="0"/>
    <cellStyle name="_PC_AIO_VSE WFP_100726_GPS OTHER_By Region" xfId="0"/>
    <cellStyle name="_PC_AIO_VSE WFP_100726_GPS OTHER_CORP SG&amp;A" xfId="0"/>
    <cellStyle name="_PC_AIO_VSE WFP_100726_GPS OTHER_LCD" xfId="0"/>
    <cellStyle name="_PC_AIO_VSE WFP_100726_GPS OTHER_PJ" xfId="0"/>
    <cellStyle name="_PC_AIO_VSE WFP_100726_LCD" xfId="0"/>
    <cellStyle name="_PC_AIO_VSE WFP_100726_LCD 2" xfId="0"/>
    <cellStyle name="_PC_AIO_VSE WFP_100726_LCD 3" xfId="0"/>
    <cellStyle name="_PC_AIO_VSE WFP_100726_LCD 4" xfId="0"/>
    <cellStyle name="_PC_AIO_VSE WFP_100726_LCD_By Region" xfId="0"/>
    <cellStyle name="_PC_AIO_VSE WFP_100726_LCD_CORP SG&amp;A" xfId="0"/>
    <cellStyle name="_PC_AIO_VSE WFP_100726_LCD_LCD" xfId="0"/>
    <cellStyle name="_PC_AIO_VSE WFP_100726_LCD_PJ" xfId="0"/>
    <cellStyle name="_PC_AIO_VSE WFP_100726_PC Products" xfId="0"/>
    <cellStyle name="_PC_AIO_VSE WFP_100726_PC Products 2" xfId="0"/>
    <cellStyle name="_PC_AIO_VSE WFP_100726_PC Products 3" xfId="0"/>
    <cellStyle name="_PC_AIO_VSE WFP_100726_PC Products 4" xfId="0"/>
    <cellStyle name="_PC_AIO_VSE WFP_100726_PC Products 4 2" xfId="0"/>
    <cellStyle name="_PC_AIO_VSE WFP_100726_PC Products_By Region" xfId="0"/>
    <cellStyle name="_PC_AIO_VSE WFP_100726_PC Products_CORP SG&amp;A" xfId="0"/>
    <cellStyle name="_PC_AIO_VSE WFP_100726_PC Products_LCD" xfId="0"/>
    <cellStyle name="_PC_AIO_VSE WFP_100726_PC Products_PJ" xfId="0"/>
    <cellStyle name="_PC_AIO_VSE WFP_100726_VSA 111014" xfId="0"/>
    <cellStyle name="_PC_AIO_VSE WFP_100726_VSA 111014 2" xfId="0"/>
    <cellStyle name="_PC_AIO_VSE WFP_100726_VSA 111014 3" xfId="0"/>
    <cellStyle name="_PC_AIO_VSE WFP_100726_VSA 111014 4" xfId="0"/>
    <cellStyle name="_PC_AIO_VSE WFP_100726_VSA 111014 4 2" xfId="0"/>
    <cellStyle name="_PC_AIO_VSE WFP_100726_VSA 111014_By Region" xfId="0"/>
    <cellStyle name="_PC_AIO_VSE WFP_100726_VSA 111014_CORP SG&amp;A" xfId="0"/>
    <cellStyle name="_PC_AIO_VSE WFP_100726_VSA 111014_LCD" xfId="0"/>
    <cellStyle name="_PC_AIO_VSE WFP_100726_VSA 111014_PJ" xfId="0"/>
    <cellStyle name="_PC_AIO_VSE WFP_100726_VSA Roll-Up (LW)" xfId="0"/>
    <cellStyle name="_PC_AIO_VSE WFP_100726_VSA Roll-Up (LW) 2" xfId="0"/>
    <cellStyle name="_PC_AIO_VSE WFP_100726_VSA Roll-Up (LW) 3" xfId="0"/>
    <cellStyle name="_PC_AIO_VSE WFP_100726_VSA Roll-Up (LW) 4" xfId="0"/>
    <cellStyle name="_PC_AIO_VSE WFP_100726_VSA Roll-Up (LW) 4 2" xfId="0"/>
    <cellStyle name="_PC_AIO_VSE WFP_100726_VSA Roll-Up (LW)_By Region" xfId="0"/>
    <cellStyle name="_PC_AIO_VSE WFP_100726_VSA Roll-Up (LW)_CORP SG&amp;A" xfId="0"/>
    <cellStyle name="_PC_AIO_VSE WFP_100726_VSA Roll-Up (LW)_LCD" xfId="0"/>
    <cellStyle name="_PC_AIO_VSE WFP_100726_VSA Roll-Up (LW)_PJ" xfId="0"/>
    <cellStyle name="_PC_AIO_VSE WFP_100827-1" xfId="0"/>
    <cellStyle name="_PC_AIO_VSE WFP_100827-1 2" xfId="0"/>
    <cellStyle name="_PC_AIO_VSE WFP_100827-1 3" xfId="0"/>
    <cellStyle name="_PC_AIO_VSE WFP_100827-1 4" xfId="0"/>
    <cellStyle name="_PC_AIO_VSE WFP_100827-1_By Region" xfId="0"/>
    <cellStyle name="_PC_AIO_VSE WFP_100827-1_CORP SG&amp;A" xfId="0"/>
    <cellStyle name="_PC_AIO_VSE WFP_100827-1_GPS OTHER" xfId="0"/>
    <cellStyle name="_PC_AIO_VSE WFP_100827-1_GPS OTHER 2" xfId="0"/>
    <cellStyle name="_PC_AIO_VSE WFP_100827-1_GPS OTHER 3" xfId="0"/>
    <cellStyle name="_PC_AIO_VSE WFP_100827-1_GPS OTHER 4" xfId="0"/>
    <cellStyle name="_PC_AIO_VSE WFP_100827-1_GPS OTHER 4 2" xfId="0"/>
    <cellStyle name="_PC_AIO_VSE WFP_100827-1_GPS OTHER_By Region" xfId="0"/>
    <cellStyle name="_PC_AIO_VSE WFP_100827-1_GPS OTHER_CORP SG&amp;A" xfId="0"/>
    <cellStyle name="_PC_AIO_VSE WFP_100827-1_GPS OTHER_LCD" xfId="0"/>
    <cellStyle name="_PC_AIO_VSE WFP_100827-1_GPS OTHER_PJ" xfId="0"/>
    <cellStyle name="_PC_AIO_VSE WFP_100827-1_LCD" xfId="0"/>
    <cellStyle name="_PC_AIO_VSE WFP_100827-1_LCD 2" xfId="0"/>
    <cellStyle name="_PC_AIO_VSE WFP_100827-1_LCD 3" xfId="0"/>
    <cellStyle name="_PC_AIO_VSE WFP_100827-1_LCD 4" xfId="0"/>
    <cellStyle name="_PC_AIO_VSE WFP_100827-1_LCD_By Region" xfId="0"/>
    <cellStyle name="_PC_AIO_VSE WFP_100827-1_LCD_CORP SG&amp;A" xfId="0"/>
    <cellStyle name="_PC_AIO_VSE WFP_100827-1_LCD_LCD" xfId="0"/>
    <cellStyle name="_PC_AIO_VSE WFP_100827-1_LCD_PJ" xfId="0"/>
    <cellStyle name="_PC_AIO_VSE WFP_100827-1_PC Products" xfId="0"/>
    <cellStyle name="_PC_AIO_VSE WFP_100827-1_PC Products 2" xfId="0"/>
    <cellStyle name="_PC_AIO_VSE WFP_100827-1_PC Products 3" xfId="0"/>
    <cellStyle name="_PC_AIO_VSE WFP_100827-1_PC Products 4" xfId="0"/>
    <cellStyle name="_PC_AIO_VSE WFP_100827-1_PC Products 4 2" xfId="0"/>
    <cellStyle name="_PC_AIO_VSE WFP_100827-1_PC Products_By Region" xfId="0"/>
    <cellStyle name="_PC_AIO_VSE WFP_100827-1_PC Products_CORP SG&amp;A" xfId="0"/>
    <cellStyle name="_PC_AIO_VSE WFP_100827-1_PC Products_LCD" xfId="0"/>
    <cellStyle name="_PC_AIO_VSE WFP_100827-1_PC Products_PJ" xfId="0"/>
    <cellStyle name="_PC_AIO_VSE WFP_100827-1_VSA 111014" xfId="0"/>
    <cellStyle name="_PC_AIO_VSE WFP_100827-1_VSA 111014 2" xfId="0"/>
    <cellStyle name="_PC_AIO_VSE WFP_100827-1_VSA 111014 3" xfId="0"/>
    <cellStyle name="_PC_AIO_VSE WFP_100827-1_VSA 111014 4" xfId="0"/>
    <cellStyle name="_PC_AIO_VSE WFP_100827-1_VSA 111014 4 2" xfId="0"/>
    <cellStyle name="_PC_AIO_VSE WFP_100827-1_VSA 111014_By Region" xfId="0"/>
    <cellStyle name="_PC_AIO_VSE WFP_100827-1_VSA 111014_CORP SG&amp;A" xfId="0"/>
    <cellStyle name="_PC_AIO_VSE WFP_100827-1_VSA 111014_LCD" xfId="0"/>
    <cellStyle name="_PC_AIO_VSE WFP_100827-1_VSA 111014_PJ" xfId="0"/>
    <cellStyle name="_PC_AIO_VSE WFP_100827-1_VSA Roll-Up (LW)" xfId="0"/>
    <cellStyle name="_PC_AIO_VSE WFP_100827-1_VSA Roll-Up (LW) 2" xfId="0"/>
    <cellStyle name="_PC_AIO_VSE WFP_100827-1_VSA Roll-Up (LW) 3" xfId="0"/>
    <cellStyle name="_PC_AIO_VSE WFP_100827-1_VSA Roll-Up (LW) 4" xfId="0"/>
    <cellStyle name="_PC_AIO_VSE WFP_100827-1_VSA Roll-Up (LW) 4 2" xfId="0"/>
    <cellStyle name="_PC_AIO_VSE WFP_100827-1_VSA Roll-Up (LW)_By Region" xfId="0"/>
    <cellStyle name="_PC_AIO_VSE WFP_100827-1_VSA Roll-Up (LW)_CORP SG&amp;A" xfId="0"/>
    <cellStyle name="_PC_AIO_VSE WFP_100827-1_VSA Roll-Up (LW)_LCD" xfId="0"/>
    <cellStyle name="_PC_AIO_VSE WFP_100827-1_VSA Roll-Up (LW)_PJ" xfId="0"/>
    <cellStyle name="_PC_AIO_VSE WFP_101001" xfId="0"/>
    <cellStyle name="_PC_AIO_VSE WFP_101001 2" xfId="0"/>
    <cellStyle name="_PC_AIO_VSE WFP_101001 3" xfId="0"/>
    <cellStyle name="_PC_AIO_VSE WFP_101001 4" xfId="0"/>
    <cellStyle name="_PC_AIO_VSE WFP_101001_By Region" xfId="0"/>
    <cellStyle name="_PC_AIO_VSE WFP_101001_CORP SG&amp;A" xfId="0"/>
    <cellStyle name="_PC_AIO_VSE WFP_101001_GPS OTHER" xfId="0"/>
    <cellStyle name="_PC_AIO_VSE WFP_101001_GPS OTHER 2" xfId="0"/>
    <cellStyle name="_PC_AIO_VSE WFP_101001_GPS OTHER 3" xfId="0"/>
    <cellStyle name="_PC_AIO_VSE WFP_101001_GPS OTHER 4" xfId="0"/>
    <cellStyle name="_PC_AIO_VSE WFP_101001_GPS OTHER 4 2" xfId="0"/>
    <cellStyle name="_PC_AIO_VSE WFP_101001_GPS OTHER_By Region" xfId="0"/>
    <cellStyle name="_PC_AIO_VSE WFP_101001_GPS OTHER_CORP SG&amp;A" xfId="0"/>
    <cellStyle name="_PC_AIO_VSE WFP_101001_GPS OTHER_LCD" xfId="0"/>
    <cellStyle name="_PC_AIO_VSE WFP_101001_GPS OTHER_PJ" xfId="0"/>
    <cellStyle name="_PC_AIO_VSE WFP_101001_LCD" xfId="0"/>
    <cellStyle name="_PC_AIO_VSE WFP_101001_LCD 2" xfId="0"/>
    <cellStyle name="_PC_AIO_VSE WFP_101001_LCD 3" xfId="0"/>
    <cellStyle name="_PC_AIO_VSE WFP_101001_LCD 4" xfId="0"/>
    <cellStyle name="_PC_AIO_VSE WFP_101001_LCD_By Region" xfId="0"/>
    <cellStyle name="_PC_AIO_VSE WFP_101001_LCD_CORP SG&amp;A" xfId="0"/>
    <cellStyle name="_PC_AIO_VSE WFP_101001_LCD_LCD" xfId="0"/>
    <cellStyle name="_PC_AIO_VSE WFP_101001_LCD_PJ" xfId="0"/>
    <cellStyle name="_PC_AIO_VSE WFP_101001_PC Products" xfId="0"/>
    <cellStyle name="_PC_AIO_VSE WFP_101001_PC Products 2" xfId="0"/>
    <cellStyle name="_PC_AIO_VSE WFP_101001_PC Products 3" xfId="0"/>
    <cellStyle name="_PC_AIO_VSE WFP_101001_PC Products 4" xfId="0"/>
    <cellStyle name="_PC_AIO_VSE WFP_101001_PC Products 4 2" xfId="0"/>
    <cellStyle name="_PC_AIO_VSE WFP_101001_PC Products_By Region" xfId="0"/>
    <cellStyle name="_PC_AIO_VSE WFP_101001_PC Products_CORP SG&amp;A" xfId="0"/>
    <cellStyle name="_PC_AIO_VSE WFP_101001_PC Products_LCD" xfId="0"/>
    <cellStyle name="_PC_AIO_VSE WFP_101001_PC Products_PJ" xfId="0"/>
    <cellStyle name="_PC_AIO_VSE WFP_101001_VSA 111014" xfId="0"/>
    <cellStyle name="_PC_AIO_VSE WFP_101001_VSA 111014 2" xfId="0"/>
    <cellStyle name="_PC_AIO_VSE WFP_101001_VSA 111014 3" xfId="0"/>
    <cellStyle name="_PC_AIO_VSE WFP_101001_VSA 111014 4" xfId="0"/>
    <cellStyle name="_PC_AIO_VSE WFP_101001_VSA 111014 4 2" xfId="0"/>
    <cellStyle name="_PC_AIO_VSE WFP_101001_VSA 111014_By Region" xfId="0"/>
    <cellStyle name="_PC_AIO_VSE WFP_101001_VSA 111014_CORP SG&amp;A" xfId="0"/>
    <cellStyle name="_PC_AIO_VSE WFP_101001_VSA 111014_LCD" xfId="0"/>
    <cellStyle name="_PC_AIO_VSE WFP_101001_VSA 111014_PJ" xfId="0"/>
    <cellStyle name="_PC_AIO_VSE WFP_101001_VSA Roll-Up (LW)" xfId="0"/>
    <cellStyle name="_PC_AIO_VSE WFP_101001_VSA Roll-Up (LW) 2" xfId="0"/>
    <cellStyle name="_PC_AIO_VSE WFP_101001_VSA Roll-Up (LW) 3" xfId="0"/>
    <cellStyle name="_PC_AIO_VSE WFP_101001_VSA Roll-Up (LW) 4" xfId="0"/>
    <cellStyle name="_PC_AIO_VSE WFP_101001_VSA Roll-Up (LW) 4 2" xfId="0"/>
    <cellStyle name="_PC_AIO_VSE WFP_101001_VSA Roll-Up (LW)_By Region" xfId="0"/>
    <cellStyle name="_PC_AIO_VSE WFP_101001_VSA Roll-Up (LW)_CORP SG&amp;A" xfId="0"/>
    <cellStyle name="_PC_AIO_VSE WFP_101001_VSA Roll-Up (LW)_LCD" xfId="0"/>
    <cellStyle name="_PC_AIO_VSE WFP_101001_VSA Roll-Up (LW)_PJ" xfId="0"/>
    <cellStyle name="_PC_AIO_VSE WFP_101029-with more ViewPad 7" xfId="0"/>
    <cellStyle name="_PC_AIO_VSE WFP_101029-with more ViewPad 7 2" xfId="0"/>
    <cellStyle name="_PC_AIO_VSE WFP_101029-with more ViewPad 7 3" xfId="0"/>
    <cellStyle name="_PC_AIO_VSE WFP_101029-with more ViewPad 7 4" xfId="0"/>
    <cellStyle name="_PC_AIO_VSE WFP_101029-with more ViewPad 7_By Region" xfId="0"/>
    <cellStyle name="_PC_AIO_VSE WFP_101029-with more ViewPad 7_CORP SG&amp;A" xfId="0"/>
    <cellStyle name="_PC_AIO_VSE WFP_101029-with more ViewPad 7_GPS OTHER" xfId="0"/>
    <cellStyle name="_PC_AIO_VSE WFP_101029-with more ViewPad 7_GPS OTHER 2" xfId="0"/>
    <cellStyle name="_PC_AIO_VSE WFP_101029-with more ViewPad 7_GPS OTHER 3" xfId="0"/>
    <cellStyle name="_PC_AIO_VSE WFP_101029-with more ViewPad 7_GPS OTHER 4" xfId="0"/>
    <cellStyle name="_PC_AIO_VSE WFP_101029-with more ViewPad 7_GPS OTHER 4 2" xfId="0"/>
    <cellStyle name="_PC_AIO_VSE WFP_101029-with more ViewPad 7_GPS OTHER_By Region" xfId="0"/>
    <cellStyle name="_PC_AIO_VSE WFP_101029-with more ViewPad 7_GPS OTHER_CORP SG&amp;A" xfId="0"/>
    <cellStyle name="_PC_AIO_VSE WFP_101029-with more ViewPad 7_GPS OTHER_LCD" xfId="0"/>
    <cellStyle name="_PC_AIO_VSE WFP_101029-with more ViewPad 7_GPS OTHER_PJ" xfId="0"/>
    <cellStyle name="_PC_AIO_VSE WFP_101029-with more ViewPad 7_LCD" xfId="0"/>
    <cellStyle name="_PC_AIO_VSE WFP_101029-with more ViewPad 7_LCD 2" xfId="0"/>
    <cellStyle name="_PC_AIO_VSE WFP_101029-with more ViewPad 7_LCD 3" xfId="0"/>
    <cellStyle name="_PC_AIO_VSE WFP_101029-with more ViewPad 7_LCD 4" xfId="0"/>
    <cellStyle name="_PC_AIO_VSE WFP_101029-with more ViewPad 7_LCD_By Region" xfId="0"/>
    <cellStyle name="_PC_AIO_VSE WFP_101029-with more ViewPad 7_LCD_CORP SG&amp;A" xfId="0"/>
    <cellStyle name="_PC_AIO_VSE WFP_101029-with more ViewPad 7_LCD_LCD" xfId="0"/>
    <cellStyle name="_PC_AIO_VSE WFP_101029-with more ViewPad 7_LCD_PJ" xfId="0"/>
    <cellStyle name="_PC_AIO_VSE WFP_101029-with more ViewPad 7_PC Products" xfId="0"/>
    <cellStyle name="_PC_AIO_VSE WFP_101029-with more ViewPad 7_PC Products 2" xfId="0"/>
    <cellStyle name="_PC_AIO_VSE WFP_101029-with more ViewPad 7_PC Products 3" xfId="0"/>
    <cellStyle name="_PC_AIO_VSE WFP_101029-with more ViewPad 7_PC Products 4" xfId="0"/>
    <cellStyle name="_PC_AIO_VSE WFP_101029-with more ViewPad 7_PC Products 4 2" xfId="0"/>
    <cellStyle name="_PC_AIO_VSE WFP_101029-with more ViewPad 7_PC Products_By Region" xfId="0"/>
    <cellStyle name="_PC_AIO_VSE WFP_101029-with more ViewPad 7_PC Products_CORP SG&amp;A" xfId="0"/>
    <cellStyle name="_PC_AIO_VSE WFP_101029-with more ViewPad 7_PC Products_LCD" xfId="0"/>
    <cellStyle name="_PC_AIO_VSE WFP_101029-with more ViewPad 7_PC Products_PJ" xfId="0"/>
    <cellStyle name="_PC_AIO_VSE WFP_101029-with more ViewPad 7_VSA 111014" xfId="0"/>
    <cellStyle name="_PC_AIO_VSE WFP_101029-with more ViewPad 7_VSA 111014 2" xfId="0"/>
    <cellStyle name="_PC_AIO_VSE WFP_101029-with more ViewPad 7_VSA 111014 3" xfId="0"/>
    <cellStyle name="_PC_AIO_VSE WFP_101029-with more ViewPad 7_VSA 111014 4" xfId="0"/>
    <cellStyle name="_PC_AIO_VSE WFP_101029-with more ViewPad 7_VSA 111014 4 2" xfId="0"/>
    <cellStyle name="_PC_AIO_VSE WFP_101029-with more ViewPad 7_VSA 111014_By Region" xfId="0"/>
    <cellStyle name="_PC_AIO_VSE WFP_101029-with more ViewPad 7_VSA 111014_CORP SG&amp;A" xfId="0"/>
    <cellStyle name="_PC_AIO_VSE WFP_101029-with more ViewPad 7_VSA 111014_LCD" xfId="0"/>
    <cellStyle name="_PC_AIO_VSE WFP_101029-with more ViewPad 7_VSA 111014_PJ" xfId="0"/>
    <cellStyle name="_PC_AIO_VSE WFP_101029-with more ViewPad 7_VSA Roll-Up (LW)" xfId="0"/>
    <cellStyle name="_PC_AIO_VSE WFP_101029-with more ViewPad 7_VSA Roll-Up (LW) 2" xfId="0"/>
    <cellStyle name="_PC_AIO_VSE WFP_101029-with more ViewPad 7_VSA Roll-Up (LW) 3" xfId="0"/>
    <cellStyle name="_PC_AIO_VSE WFP_101029-with more ViewPad 7_VSA Roll-Up (LW) 4" xfId="0"/>
    <cellStyle name="_PC_AIO_VSE WFP_101029-with more ViewPad 7_VSA Roll-Up (LW) 4 2" xfId="0"/>
    <cellStyle name="_PC_AIO_VSE WFP_101029-with more ViewPad 7_VSA Roll-Up (LW)_By Region" xfId="0"/>
    <cellStyle name="_PC_AIO_VSE WFP_101029-with more ViewPad 7_VSA Roll-Up (LW)_CORP SG&amp;A" xfId="0"/>
    <cellStyle name="_PC_AIO_VSE WFP_101029-with more ViewPad 7_VSA Roll-Up (LW)_LCD" xfId="0"/>
    <cellStyle name="_PC_AIO_VSE WFP_101029-with more ViewPad 7_VSA Roll-Up (LW)_PJ" xfId="0"/>
    <cellStyle name="_PC_NB" xfId="0"/>
    <cellStyle name="_PC_NB 2" xfId="0"/>
    <cellStyle name="_PC_NB 3" xfId="0"/>
    <cellStyle name="_PC_NB 4" xfId="0"/>
    <cellStyle name="_PC_NB 5" xfId="0"/>
    <cellStyle name="_PC_NB_By Region" xfId="0"/>
    <cellStyle name="_PC_NB_CIS" xfId="0"/>
    <cellStyle name="_PC_NB_CIS 2" xfId="0"/>
    <cellStyle name="_PC_NB_CIS 3" xfId="0"/>
    <cellStyle name="_PC_NB_CIS 4" xfId="0"/>
    <cellStyle name="_PC_NB_CIS_By Region" xfId="0"/>
    <cellStyle name="_PC_NB_CIS_CORP SG&amp;A" xfId="0"/>
    <cellStyle name="_PC_NB_CIS_GPS OTHER" xfId="0"/>
    <cellStyle name="_PC_NB_CIS_GPS OTHER 2" xfId="0"/>
    <cellStyle name="_PC_NB_CIS_GPS OTHER 3" xfId="0"/>
    <cellStyle name="_PC_NB_CIS_GPS OTHER 4" xfId="0"/>
    <cellStyle name="_PC_NB_CIS_GPS OTHER 4 2" xfId="0"/>
    <cellStyle name="_PC_NB_CIS_GPS OTHER_By Region" xfId="0"/>
    <cellStyle name="_PC_NB_CIS_GPS OTHER_CORP SG&amp;A" xfId="0"/>
    <cellStyle name="_PC_NB_CIS_GPS OTHER_LCD" xfId="0"/>
    <cellStyle name="_PC_NB_CIS_GPS OTHER_PJ" xfId="0"/>
    <cellStyle name="_PC_NB_CIS_LCD" xfId="0"/>
    <cellStyle name="_PC_NB_CIS_LCD 2" xfId="0"/>
    <cellStyle name="_PC_NB_CIS_LCD 3" xfId="0"/>
    <cellStyle name="_PC_NB_CIS_LCD 4" xfId="0"/>
    <cellStyle name="_PC_NB_CIS_LCD_By Region" xfId="0"/>
    <cellStyle name="_PC_NB_CIS_LCD_CORP SG&amp;A" xfId="0"/>
    <cellStyle name="_PC_NB_CIS_LCD_LCD" xfId="0"/>
    <cellStyle name="_PC_NB_CIS_LCD_PJ" xfId="0"/>
    <cellStyle name="_PC_NB_CIS_PC Products" xfId="0"/>
    <cellStyle name="_PC_NB_CIS_PC Products 2" xfId="0"/>
    <cellStyle name="_PC_NB_CIS_PC Products 3" xfId="0"/>
    <cellStyle name="_PC_NB_CIS_PC Products 4" xfId="0"/>
    <cellStyle name="_PC_NB_CIS_PC Products 4 2" xfId="0"/>
    <cellStyle name="_PC_NB_CIS_PC Products_By Region" xfId="0"/>
    <cellStyle name="_PC_NB_CIS_PC Products_CORP SG&amp;A" xfId="0"/>
    <cellStyle name="_PC_NB_CIS_PC Products_LCD" xfId="0"/>
    <cellStyle name="_PC_NB_CIS_PC Products_PJ" xfId="0"/>
    <cellStyle name="_PC_NB_CIS_VSA 111014" xfId="0"/>
    <cellStyle name="_PC_NB_CIS_VSA 111014 2" xfId="0"/>
    <cellStyle name="_PC_NB_CIS_VSA 111014 3" xfId="0"/>
    <cellStyle name="_PC_NB_CIS_VSA 111014 4" xfId="0"/>
    <cellStyle name="_PC_NB_CIS_VSA 111014 4 2" xfId="0"/>
    <cellStyle name="_PC_NB_CIS_VSA 111014_By Region" xfId="0"/>
    <cellStyle name="_PC_NB_CIS_VSA 111014_CORP SG&amp;A" xfId="0"/>
    <cellStyle name="_PC_NB_CIS_VSA 111014_LCD" xfId="0"/>
    <cellStyle name="_PC_NB_CIS_VSA 111014_PJ" xfId="0"/>
    <cellStyle name="_PC_NB_CIS_VSA Roll-Up (LW)" xfId="0"/>
    <cellStyle name="_PC_NB_CIS_VSA Roll-Up (LW) 2" xfId="0"/>
    <cellStyle name="_PC_NB_CIS_VSA Roll-Up (LW) 3" xfId="0"/>
    <cellStyle name="_PC_NB_CIS_VSA Roll-Up (LW) 4" xfId="0"/>
    <cellStyle name="_PC_NB_CIS_VSA Roll-Up (LW) 4 2" xfId="0"/>
    <cellStyle name="_PC_NB_CIS_VSA Roll-Up (LW)_By Region" xfId="0"/>
    <cellStyle name="_PC_NB_CIS_VSA Roll-Up (LW)_CORP SG&amp;A" xfId="0"/>
    <cellStyle name="_PC_NB_CIS_VSA Roll-Up (LW)_LCD" xfId="0"/>
    <cellStyle name="_PC_NB_CIS_VSA Roll-Up (LW)_PJ" xfId="0"/>
    <cellStyle name="_PC_NB_CORP SG&amp;A" xfId="0"/>
    <cellStyle name="_PC_NB_CRT" xfId="0"/>
    <cellStyle name="_PC_NB_CRT 2" xfId="0"/>
    <cellStyle name="_PC_NB_CRT 3" xfId="0"/>
    <cellStyle name="_PC_NB_CRT 4" xfId="0"/>
    <cellStyle name="_PC_NB_CRT_By Region" xfId="0"/>
    <cellStyle name="_PC_NB_CRT_CORP SG&amp;A" xfId="0"/>
    <cellStyle name="_PC_NB_CRT_GPS OTHER" xfId="0"/>
    <cellStyle name="_PC_NB_CRT_GPS OTHER 2" xfId="0"/>
    <cellStyle name="_PC_NB_CRT_GPS OTHER 3" xfId="0"/>
    <cellStyle name="_PC_NB_CRT_GPS OTHER 4" xfId="0"/>
    <cellStyle name="_PC_NB_CRT_GPS OTHER 4 2" xfId="0"/>
    <cellStyle name="_PC_NB_CRT_GPS OTHER_By Region" xfId="0"/>
    <cellStyle name="_PC_NB_CRT_GPS OTHER_CORP SG&amp;A" xfId="0"/>
    <cellStyle name="_PC_NB_CRT_GPS OTHER_LCD" xfId="0"/>
    <cellStyle name="_PC_NB_CRT_GPS OTHER_PJ" xfId="0"/>
    <cellStyle name="_PC_NB_CRT_LCD" xfId="0"/>
    <cellStyle name="_PC_NB_CRT_LCD 2" xfId="0"/>
    <cellStyle name="_PC_NB_CRT_LCD 3" xfId="0"/>
    <cellStyle name="_PC_NB_CRT_LCD 4" xfId="0"/>
    <cellStyle name="_PC_NB_CRT_LCD_By Region" xfId="0"/>
    <cellStyle name="_PC_NB_CRT_LCD_CORP SG&amp;A" xfId="0"/>
    <cellStyle name="_PC_NB_CRT_LCD_LCD" xfId="0"/>
    <cellStyle name="_PC_NB_CRT_LCD_PJ" xfId="0"/>
    <cellStyle name="_PC_NB_CRT_PC Products" xfId="0"/>
    <cellStyle name="_PC_NB_CRT_PC Products 2" xfId="0"/>
    <cellStyle name="_PC_NB_CRT_PC Products 3" xfId="0"/>
    <cellStyle name="_PC_NB_CRT_PC Products 4" xfId="0"/>
    <cellStyle name="_PC_NB_CRT_PC Products 4 2" xfId="0"/>
    <cellStyle name="_PC_NB_CRT_PC Products_By Region" xfId="0"/>
    <cellStyle name="_PC_NB_CRT_PC Products_CORP SG&amp;A" xfId="0"/>
    <cellStyle name="_PC_NB_CRT_PC Products_LCD" xfId="0"/>
    <cellStyle name="_PC_NB_CRT_PC Products_PJ" xfId="0"/>
    <cellStyle name="_PC_NB_CRT_VSA 111014" xfId="0"/>
    <cellStyle name="_PC_NB_CRT_VSA 111014 2" xfId="0"/>
    <cellStyle name="_PC_NB_CRT_VSA 111014 3" xfId="0"/>
    <cellStyle name="_PC_NB_CRT_VSA 111014 4" xfId="0"/>
    <cellStyle name="_PC_NB_CRT_VSA 111014 4 2" xfId="0"/>
    <cellStyle name="_PC_NB_CRT_VSA 111014_By Region" xfId="0"/>
    <cellStyle name="_PC_NB_CRT_VSA 111014_CORP SG&amp;A" xfId="0"/>
    <cellStyle name="_PC_NB_CRT_VSA 111014_LCD" xfId="0"/>
    <cellStyle name="_PC_NB_CRT_VSA 111014_PJ" xfId="0"/>
    <cellStyle name="_PC_NB_CRT_VSA Roll-Up (LW)" xfId="0"/>
    <cellStyle name="_PC_NB_CRT_VSA Roll-Up (LW) 2" xfId="0"/>
    <cellStyle name="_PC_NB_CRT_VSA Roll-Up (LW) 3" xfId="0"/>
    <cellStyle name="_PC_NB_CRT_VSA Roll-Up (LW) 4" xfId="0"/>
    <cellStyle name="_PC_NB_CRT_VSA Roll-Up (LW) 4 2" xfId="0"/>
    <cellStyle name="_PC_NB_CRT_VSA Roll-Up (LW)_By Region" xfId="0"/>
    <cellStyle name="_PC_NB_CRT_VSA Roll-Up (LW)_CORP SG&amp;A" xfId="0"/>
    <cellStyle name="_PC_NB_CRT_VSA Roll-Up (LW)_LCD" xfId="0"/>
    <cellStyle name="_PC_NB_CRT_VSA Roll-Up (LW)_PJ" xfId="0"/>
    <cellStyle name="_PC_NB_Diff" xfId="0"/>
    <cellStyle name="_PC_NB_Diff 2" xfId="0"/>
    <cellStyle name="_PC_NB_Diff 3" xfId="0"/>
    <cellStyle name="_PC_NB_Diff 4" xfId="0"/>
    <cellStyle name="_PC_NB_Diff_By Region" xfId="0"/>
    <cellStyle name="_PC_NB_Diff_CORP SG&amp;A" xfId="0"/>
    <cellStyle name="_PC_NB_Diff_GPS OTHER" xfId="0"/>
    <cellStyle name="_PC_NB_Diff_GPS OTHER 2" xfId="0"/>
    <cellStyle name="_PC_NB_Diff_GPS OTHER 3" xfId="0"/>
    <cellStyle name="_PC_NB_Diff_GPS OTHER 4" xfId="0"/>
    <cellStyle name="_PC_NB_Diff_GPS OTHER 4 2" xfId="0"/>
    <cellStyle name="_PC_NB_Diff_GPS OTHER_By Region" xfId="0"/>
    <cellStyle name="_PC_NB_Diff_GPS OTHER_CORP SG&amp;A" xfId="0"/>
    <cellStyle name="_PC_NB_Diff_GPS OTHER_LCD" xfId="0"/>
    <cellStyle name="_PC_NB_Diff_GPS OTHER_PJ" xfId="0"/>
    <cellStyle name="_PC_NB_Diff_LCD" xfId="0"/>
    <cellStyle name="_PC_NB_Diff_LCD 2" xfId="0"/>
    <cellStyle name="_PC_NB_Diff_LCD 3" xfId="0"/>
    <cellStyle name="_PC_NB_Diff_LCD 4" xfId="0"/>
    <cellStyle name="_PC_NB_Diff_LCD_By Region" xfId="0"/>
    <cellStyle name="_PC_NB_Diff_LCD_CORP SG&amp;A" xfId="0"/>
    <cellStyle name="_PC_NB_Diff_LCD_LCD" xfId="0"/>
    <cellStyle name="_PC_NB_Diff_LCD_PJ" xfId="0"/>
    <cellStyle name="_PC_NB_Diff_PC Products" xfId="0"/>
    <cellStyle name="_PC_NB_Diff_PC Products 2" xfId="0"/>
    <cellStyle name="_PC_NB_Diff_PC Products 3" xfId="0"/>
    <cellStyle name="_PC_NB_Diff_PC Products 4" xfId="0"/>
    <cellStyle name="_PC_NB_Diff_PC Products 4 2" xfId="0"/>
    <cellStyle name="_PC_NB_Diff_PC Products_By Region" xfId="0"/>
    <cellStyle name="_PC_NB_Diff_PC Products_CORP SG&amp;A" xfId="0"/>
    <cellStyle name="_PC_NB_Diff_PC Products_LCD" xfId="0"/>
    <cellStyle name="_PC_NB_Diff_PC Products_PJ" xfId="0"/>
    <cellStyle name="_PC_NB_Diff_VSA 111014" xfId="0"/>
    <cellStyle name="_PC_NB_Diff_VSA 111014 2" xfId="0"/>
    <cellStyle name="_PC_NB_Diff_VSA 111014 3" xfId="0"/>
    <cellStyle name="_PC_NB_Diff_VSA 111014 4" xfId="0"/>
    <cellStyle name="_PC_NB_Diff_VSA 111014 4 2" xfId="0"/>
    <cellStyle name="_PC_NB_Diff_VSA 111014_By Region" xfId="0"/>
    <cellStyle name="_PC_NB_Diff_VSA 111014_CORP SG&amp;A" xfId="0"/>
    <cellStyle name="_PC_NB_Diff_VSA 111014_LCD" xfId="0"/>
    <cellStyle name="_PC_NB_Diff_VSA 111014_PJ" xfId="0"/>
    <cellStyle name="_PC_NB_Diff_VSA Roll-Up (LW)" xfId="0"/>
    <cellStyle name="_PC_NB_Diff_VSA Roll-Up (LW) 2" xfId="0"/>
    <cellStyle name="_PC_NB_Diff_VSA Roll-Up (LW) 3" xfId="0"/>
    <cellStyle name="_PC_NB_Diff_VSA Roll-Up (LW) 4" xfId="0"/>
    <cellStyle name="_PC_NB_Diff_VSA Roll-Up (LW) 4 2" xfId="0"/>
    <cellStyle name="_PC_NB_Diff_VSA Roll-Up (LW)_By Region" xfId="0"/>
    <cellStyle name="_PC_NB_Diff_VSA Roll-Up (LW)_CORP SG&amp;A" xfId="0"/>
    <cellStyle name="_PC_NB_Diff_VSA Roll-Up (LW)_LCD" xfId="0"/>
    <cellStyle name="_PC_NB_Diff_VSA Roll-Up (LW)_PJ" xfId="0"/>
    <cellStyle name="_PC_NB_Digital Product" xfId="0"/>
    <cellStyle name="_PC_NB_Digital Product 2" xfId="0"/>
    <cellStyle name="_PC_NB_Digital Product 3" xfId="0"/>
    <cellStyle name="_PC_NB_Digital Product 4" xfId="0"/>
    <cellStyle name="_PC_NB_Digital Product_By Region" xfId="0"/>
    <cellStyle name="_PC_NB_Digital Product_CORP SG&amp;A" xfId="0"/>
    <cellStyle name="_PC_NB_Digital Product_GPS OTHER" xfId="0"/>
    <cellStyle name="_PC_NB_Digital Product_GPS OTHER 2" xfId="0"/>
    <cellStyle name="_PC_NB_Digital Product_GPS OTHER 3" xfId="0"/>
    <cellStyle name="_PC_NB_Digital Product_GPS OTHER 4" xfId="0"/>
    <cellStyle name="_PC_NB_Digital Product_GPS OTHER 4 2" xfId="0"/>
    <cellStyle name="_PC_NB_Digital Product_GPS OTHER_By Region" xfId="0"/>
    <cellStyle name="_PC_NB_Digital Product_GPS OTHER_CORP SG&amp;A" xfId="0"/>
    <cellStyle name="_PC_NB_Digital Product_GPS OTHER_LCD" xfId="0"/>
    <cellStyle name="_PC_NB_Digital Product_GPS OTHER_PJ" xfId="0"/>
    <cellStyle name="_PC_NB_Digital Product_LCD" xfId="0"/>
    <cellStyle name="_PC_NB_Digital Product_LCD 2" xfId="0"/>
    <cellStyle name="_PC_NB_Digital Product_LCD 3" xfId="0"/>
    <cellStyle name="_PC_NB_Digital Product_LCD 4" xfId="0"/>
    <cellStyle name="_PC_NB_Digital Product_LCD_By Region" xfId="0"/>
    <cellStyle name="_PC_NB_Digital Product_LCD_CORP SG&amp;A" xfId="0"/>
    <cellStyle name="_PC_NB_Digital Product_LCD_LCD" xfId="0"/>
    <cellStyle name="_PC_NB_Digital Product_LCD_PJ" xfId="0"/>
    <cellStyle name="_PC_NB_Digital Product_PC Products" xfId="0"/>
    <cellStyle name="_PC_NB_Digital Product_PC Products 2" xfId="0"/>
    <cellStyle name="_PC_NB_Digital Product_PC Products 3" xfId="0"/>
    <cellStyle name="_PC_NB_Digital Product_PC Products 4" xfId="0"/>
    <cellStyle name="_PC_NB_Digital Product_PC Products 4 2" xfId="0"/>
    <cellStyle name="_PC_NB_Digital Product_PC Products_By Region" xfId="0"/>
    <cellStyle name="_PC_NB_Digital Product_PC Products_CORP SG&amp;A" xfId="0"/>
    <cellStyle name="_PC_NB_Digital Product_PC Products_LCD" xfId="0"/>
    <cellStyle name="_PC_NB_Digital Product_PC Products_PJ" xfId="0"/>
    <cellStyle name="_PC_NB_Digital Product_VSA 111014" xfId="0"/>
    <cellStyle name="_PC_NB_Digital Product_VSA 111014 2" xfId="0"/>
    <cellStyle name="_PC_NB_Digital Product_VSA 111014 3" xfId="0"/>
    <cellStyle name="_PC_NB_Digital Product_VSA 111014 4" xfId="0"/>
    <cellStyle name="_PC_NB_Digital Product_VSA 111014 4 2" xfId="0"/>
    <cellStyle name="_PC_NB_Digital Product_VSA 111014_By Region" xfId="0"/>
    <cellStyle name="_PC_NB_Digital Product_VSA 111014_CORP SG&amp;A" xfId="0"/>
    <cellStyle name="_PC_NB_Digital Product_VSA 111014_LCD" xfId="0"/>
    <cellStyle name="_PC_NB_Digital Product_VSA 111014_PJ" xfId="0"/>
    <cellStyle name="_PC_NB_Digital Product_VSA Roll-Up (LW)" xfId="0"/>
    <cellStyle name="_PC_NB_Digital Product_VSA Roll-Up (LW) 2" xfId="0"/>
    <cellStyle name="_PC_NB_Digital Product_VSA Roll-Up (LW) 3" xfId="0"/>
    <cellStyle name="_PC_NB_Digital Product_VSA Roll-Up (LW) 4" xfId="0"/>
    <cellStyle name="_PC_NB_Digital Product_VSA Roll-Up (LW) 4 2" xfId="0"/>
    <cellStyle name="_PC_NB_Digital Product_VSA Roll-Up (LW)_By Region" xfId="0"/>
    <cellStyle name="_PC_NB_Digital Product_VSA Roll-Up (LW)_CORP SG&amp;A" xfId="0"/>
    <cellStyle name="_PC_NB_Digital Product_VSA Roll-Up (LW)_LCD" xfId="0"/>
    <cellStyle name="_PC_NB_Digital Product_VSA Roll-Up (LW)_PJ" xfId="0"/>
    <cellStyle name="_PC_NB_Digital Signage" xfId="0"/>
    <cellStyle name="_PC_NB_Digital Signage 2" xfId="0"/>
    <cellStyle name="_PC_NB_Digital Signage 3" xfId="0"/>
    <cellStyle name="_PC_NB_Digital Signage 4" xfId="0"/>
    <cellStyle name="_PC_NB_Digital Signage_By Region" xfId="0"/>
    <cellStyle name="_PC_NB_Digital Signage_CORP SG&amp;A" xfId="0"/>
    <cellStyle name="_PC_NB_Digital Signage_GPS OTHER" xfId="0"/>
    <cellStyle name="_PC_NB_Digital Signage_GPS OTHER 2" xfId="0"/>
    <cellStyle name="_PC_NB_Digital Signage_GPS OTHER 3" xfId="0"/>
    <cellStyle name="_PC_NB_Digital Signage_GPS OTHER 4" xfId="0"/>
    <cellStyle name="_PC_NB_Digital Signage_GPS OTHER 4 2" xfId="0"/>
    <cellStyle name="_PC_NB_Digital Signage_GPS OTHER_By Region" xfId="0"/>
    <cellStyle name="_PC_NB_Digital Signage_GPS OTHER_CORP SG&amp;A" xfId="0"/>
    <cellStyle name="_PC_NB_Digital Signage_GPS OTHER_LCD" xfId="0"/>
    <cellStyle name="_PC_NB_Digital Signage_GPS OTHER_PJ" xfId="0"/>
    <cellStyle name="_PC_NB_Digital Signage_LCD" xfId="0"/>
    <cellStyle name="_PC_NB_Digital Signage_LCD 2" xfId="0"/>
    <cellStyle name="_PC_NB_Digital Signage_LCD 3" xfId="0"/>
    <cellStyle name="_PC_NB_Digital Signage_LCD 4" xfId="0"/>
    <cellStyle name="_PC_NB_Digital Signage_LCD_By Region" xfId="0"/>
    <cellStyle name="_PC_NB_Digital Signage_LCD_CORP SG&amp;A" xfId="0"/>
    <cellStyle name="_PC_NB_Digital Signage_LCD_LCD" xfId="0"/>
    <cellStyle name="_PC_NB_Digital Signage_LCD_PJ" xfId="0"/>
    <cellStyle name="_PC_NB_Digital Signage_PC Products" xfId="0"/>
    <cellStyle name="_PC_NB_Digital Signage_PC Products 2" xfId="0"/>
    <cellStyle name="_PC_NB_Digital Signage_PC Products 3" xfId="0"/>
    <cellStyle name="_PC_NB_Digital Signage_PC Products 4" xfId="0"/>
    <cellStyle name="_PC_NB_Digital Signage_PC Products 4 2" xfId="0"/>
    <cellStyle name="_PC_NB_Digital Signage_PC Products_By Region" xfId="0"/>
    <cellStyle name="_PC_NB_Digital Signage_PC Products_CORP SG&amp;A" xfId="0"/>
    <cellStyle name="_PC_NB_Digital Signage_PC Products_LCD" xfId="0"/>
    <cellStyle name="_PC_NB_Digital Signage_PC Products_PJ" xfId="0"/>
    <cellStyle name="_PC_NB_Digital Signage_VSA 111014" xfId="0"/>
    <cellStyle name="_PC_NB_Digital Signage_VSA 111014 2" xfId="0"/>
    <cellStyle name="_PC_NB_Digital Signage_VSA 111014 3" xfId="0"/>
    <cellStyle name="_PC_NB_Digital Signage_VSA 111014 4" xfId="0"/>
    <cellStyle name="_PC_NB_Digital Signage_VSA 111014 4 2" xfId="0"/>
    <cellStyle name="_PC_NB_Digital Signage_VSA 111014_By Region" xfId="0"/>
    <cellStyle name="_PC_NB_Digital Signage_VSA 111014_CORP SG&amp;A" xfId="0"/>
    <cellStyle name="_PC_NB_Digital Signage_VSA 111014_LCD" xfId="0"/>
    <cellStyle name="_PC_NB_Digital Signage_VSA 111014_PJ" xfId="0"/>
    <cellStyle name="_PC_NB_Digital Signage_VSA Roll-Up (LW)" xfId="0"/>
    <cellStyle name="_PC_NB_Digital Signage_VSA Roll-Up (LW) 2" xfId="0"/>
    <cellStyle name="_PC_NB_Digital Signage_VSA Roll-Up (LW) 3" xfId="0"/>
    <cellStyle name="_PC_NB_Digital Signage_VSA Roll-Up (LW) 4" xfId="0"/>
    <cellStyle name="_PC_NB_Digital Signage_VSA Roll-Up (LW) 4 2" xfId="0"/>
    <cellStyle name="_PC_NB_Digital Signage_VSA Roll-Up (LW)_By Region" xfId="0"/>
    <cellStyle name="_PC_NB_Digital Signage_VSA Roll-Up (LW)_CORP SG&amp;A" xfId="0"/>
    <cellStyle name="_PC_NB_Digital Signage_VSA Roll-Up (LW)_LCD" xfId="0"/>
    <cellStyle name="_PC_NB_Digital Signage_VSA Roll-Up (LW)_PJ" xfId="0"/>
    <cellStyle name="_PC_NB_DMA(VMP)" xfId="0"/>
    <cellStyle name="_PC_NB_DMA(VMP) 2" xfId="0"/>
    <cellStyle name="_PC_NB_DMA(VMP) 3" xfId="0"/>
    <cellStyle name="_PC_NB_DMA(VMP) 4" xfId="0"/>
    <cellStyle name="_PC_NB_DMA(VMP)_By Region" xfId="0"/>
    <cellStyle name="_PC_NB_DMA(VMP)_CORP SG&amp;A" xfId="0"/>
    <cellStyle name="_PC_NB_DMA(VMP)_GPS OTHER" xfId="0"/>
    <cellStyle name="_PC_NB_DMA(VMP)_GPS OTHER 2" xfId="0"/>
    <cellStyle name="_PC_NB_DMA(VMP)_GPS OTHER 3" xfId="0"/>
    <cellStyle name="_PC_NB_DMA(VMP)_GPS OTHER 4" xfId="0"/>
    <cellStyle name="_PC_NB_DMA(VMP)_GPS OTHER 4 2" xfId="0"/>
    <cellStyle name="_PC_NB_DMA(VMP)_GPS OTHER_By Region" xfId="0"/>
    <cellStyle name="_PC_NB_DMA(VMP)_GPS OTHER_CORP SG&amp;A" xfId="0"/>
    <cellStyle name="_PC_NB_DMA(VMP)_GPS OTHER_LCD" xfId="0"/>
    <cellStyle name="_PC_NB_DMA(VMP)_GPS OTHER_PJ" xfId="0"/>
    <cellStyle name="_PC_NB_DMA(VMP)_LCD" xfId="0"/>
    <cellStyle name="_PC_NB_DMA(VMP)_LCD 2" xfId="0"/>
    <cellStyle name="_PC_NB_DMA(VMP)_LCD 3" xfId="0"/>
    <cellStyle name="_PC_NB_DMA(VMP)_LCD 4" xfId="0"/>
    <cellStyle name="_PC_NB_DMA(VMP)_LCD_By Region" xfId="0"/>
    <cellStyle name="_PC_NB_DMA(VMP)_LCD_CORP SG&amp;A" xfId="0"/>
    <cellStyle name="_PC_NB_DMA(VMP)_LCD_LCD" xfId="0"/>
    <cellStyle name="_PC_NB_DMA(VMP)_LCD_PJ" xfId="0"/>
    <cellStyle name="_PC_NB_DMA(VMP)_PC Products" xfId="0"/>
    <cellStyle name="_PC_NB_DMA(VMP)_PC Products 2" xfId="0"/>
    <cellStyle name="_PC_NB_DMA(VMP)_PC Products 3" xfId="0"/>
    <cellStyle name="_PC_NB_DMA(VMP)_PC Products 4" xfId="0"/>
    <cellStyle name="_PC_NB_DMA(VMP)_PC Products 4 2" xfId="0"/>
    <cellStyle name="_PC_NB_DMA(VMP)_PC Products_By Region" xfId="0"/>
    <cellStyle name="_PC_NB_DMA(VMP)_PC Products_CORP SG&amp;A" xfId="0"/>
    <cellStyle name="_PC_NB_DMA(VMP)_PC Products_LCD" xfId="0"/>
    <cellStyle name="_PC_NB_DMA(VMP)_PC Products_PJ" xfId="0"/>
    <cellStyle name="_PC_NB_DMA(VMP)_VSA 111014" xfId="0"/>
    <cellStyle name="_PC_NB_DMA(VMP)_VSA 111014 2" xfId="0"/>
    <cellStyle name="_PC_NB_DMA(VMP)_VSA 111014 3" xfId="0"/>
    <cellStyle name="_PC_NB_DMA(VMP)_VSA 111014 4" xfId="0"/>
    <cellStyle name="_PC_NB_DMA(VMP)_VSA 111014 4 2" xfId="0"/>
    <cellStyle name="_PC_NB_DMA(VMP)_VSA 111014_By Region" xfId="0"/>
    <cellStyle name="_PC_NB_DMA(VMP)_VSA 111014_CORP SG&amp;A" xfId="0"/>
    <cellStyle name="_PC_NB_DMA(VMP)_VSA 111014_LCD" xfId="0"/>
    <cellStyle name="_PC_NB_DMA(VMP)_VSA 111014_PJ" xfId="0"/>
    <cellStyle name="_PC_NB_DMA(VMP)_VSA Roll-Up (LW)" xfId="0"/>
    <cellStyle name="_PC_NB_DMA(VMP)_VSA Roll-Up (LW) 2" xfId="0"/>
    <cellStyle name="_PC_NB_DMA(VMP)_VSA Roll-Up (LW) 3" xfId="0"/>
    <cellStyle name="_PC_NB_DMA(VMP)_VSA Roll-Up (LW) 4" xfId="0"/>
    <cellStyle name="_PC_NB_DMA(VMP)_VSA Roll-Up (LW) 4 2" xfId="0"/>
    <cellStyle name="_PC_NB_DMA(VMP)_VSA Roll-Up (LW)_By Region" xfId="0"/>
    <cellStyle name="_PC_NB_DMA(VMP)_VSA Roll-Up (LW)_CORP SG&amp;A" xfId="0"/>
    <cellStyle name="_PC_NB_DMA(VMP)_VSA Roll-Up (LW)_LCD" xfId="0"/>
    <cellStyle name="_PC_NB_DMA(VMP)_VSA Roll-Up (LW)_PJ" xfId="0"/>
    <cellStyle name="_PC_NB_DPF" xfId="0"/>
    <cellStyle name="_PC_NB_DPF 2" xfId="0"/>
    <cellStyle name="_PC_NB_DPF 3" xfId="0"/>
    <cellStyle name="_PC_NB_DPF 4" xfId="0"/>
    <cellStyle name="_PC_NB_DPF_By Region" xfId="0"/>
    <cellStyle name="_PC_NB_DPF_CORP SG&amp;A" xfId="0"/>
    <cellStyle name="_PC_NB_DPF_GPS OTHER" xfId="0"/>
    <cellStyle name="_PC_NB_DPF_GPS OTHER 2" xfId="0"/>
    <cellStyle name="_PC_NB_DPF_GPS OTHER 3" xfId="0"/>
    <cellStyle name="_PC_NB_DPF_GPS OTHER 4" xfId="0"/>
    <cellStyle name="_PC_NB_DPF_GPS OTHER 4 2" xfId="0"/>
    <cellStyle name="_PC_NB_DPF_GPS OTHER_By Region" xfId="0"/>
    <cellStyle name="_PC_NB_DPF_GPS OTHER_CORP SG&amp;A" xfId="0"/>
    <cellStyle name="_PC_NB_DPF_GPS OTHER_LCD" xfId="0"/>
    <cellStyle name="_PC_NB_DPF_GPS OTHER_PJ" xfId="0"/>
    <cellStyle name="_PC_NB_DPF_LCD" xfId="0"/>
    <cellStyle name="_PC_NB_DPF_LCD 2" xfId="0"/>
    <cellStyle name="_PC_NB_DPF_LCD 3" xfId="0"/>
    <cellStyle name="_PC_NB_DPF_LCD 4" xfId="0"/>
    <cellStyle name="_PC_NB_DPF_LCD_By Region" xfId="0"/>
    <cellStyle name="_PC_NB_DPF_LCD_CORP SG&amp;A" xfId="0"/>
    <cellStyle name="_PC_NB_DPF_LCD_LCD" xfId="0"/>
    <cellStyle name="_PC_NB_DPF_LCD_PJ" xfId="0"/>
    <cellStyle name="_PC_NB_DPF_PC Products" xfId="0"/>
    <cellStyle name="_PC_NB_DPF_PC Products 2" xfId="0"/>
    <cellStyle name="_PC_NB_DPF_PC Products 3" xfId="0"/>
    <cellStyle name="_PC_NB_DPF_PC Products 4" xfId="0"/>
    <cellStyle name="_PC_NB_DPF_PC Products 4 2" xfId="0"/>
    <cellStyle name="_PC_NB_DPF_PC Products_By Region" xfId="0"/>
    <cellStyle name="_PC_NB_DPF_PC Products_CORP SG&amp;A" xfId="0"/>
    <cellStyle name="_PC_NB_DPF_PC Products_LCD" xfId="0"/>
    <cellStyle name="_PC_NB_DPF_PC Products_PJ" xfId="0"/>
    <cellStyle name="_PC_NB_DPF_VSA 111014" xfId="0"/>
    <cellStyle name="_PC_NB_DPF_VSA 111014 2" xfId="0"/>
    <cellStyle name="_PC_NB_DPF_VSA 111014 3" xfId="0"/>
    <cellStyle name="_PC_NB_DPF_VSA 111014 4" xfId="0"/>
    <cellStyle name="_PC_NB_DPF_VSA 111014 4 2" xfId="0"/>
    <cellStyle name="_PC_NB_DPF_VSA 111014_By Region" xfId="0"/>
    <cellStyle name="_PC_NB_DPF_VSA 111014_CORP SG&amp;A" xfId="0"/>
    <cellStyle name="_PC_NB_DPF_VSA 111014_LCD" xfId="0"/>
    <cellStyle name="_PC_NB_DPF_VSA 111014_PJ" xfId="0"/>
    <cellStyle name="_PC_NB_DPF_VSA Roll-Up (LW)" xfId="0"/>
    <cellStyle name="_PC_NB_DPF_VSA Roll-Up (LW) 2" xfId="0"/>
    <cellStyle name="_PC_NB_DPF_VSA Roll-Up (LW) 3" xfId="0"/>
    <cellStyle name="_PC_NB_DPF_VSA Roll-Up (LW) 4" xfId="0"/>
    <cellStyle name="_PC_NB_DPF_VSA Roll-Up (LW) 4 2" xfId="0"/>
    <cellStyle name="_PC_NB_DPF_VSA Roll-Up (LW)_By Region" xfId="0"/>
    <cellStyle name="_PC_NB_DPF_VSA Roll-Up (LW)_CORP SG&amp;A" xfId="0"/>
    <cellStyle name="_PC_NB_DPF_VSA Roll-Up (LW)_LCD" xfId="0"/>
    <cellStyle name="_PC_NB_DPF_VSA Roll-Up (LW)_PJ" xfId="0"/>
    <cellStyle name="_PC_NB_DS" xfId="0"/>
    <cellStyle name="_PC_NB_DS 2" xfId="0"/>
    <cellStyle name="_PC_NB_DS 3" xfId="0"/>
    <cellStyle name="_PC_NB_DS 4" xfId="0"/>
    <cellStyle name="_PC_NB_DS_By Region" xfId="0"/>
    <cellStyle name="_PC_NB_DS_CORP SG&amp;A" xfId="0"/>
    <cellStyle name="_PC_NB_DS_GPS OTHER" xfId="0"/>
    <cellStyle name="_PC_NB_DS_GPS OTHER 2" xfId="0"/>
    <cellStyle name="_PC_NB_DS_GPS OTHER 3" xfId="0"/>
    <cellStyle name="_PC_NB_DS_GPS OTHER 4" xfId="0"/>
    <cellStyle name="_PC_NB_DS_GPS OTHER 4 2" xfId="0"/>
    <cellStyle name="_PC_NB_DS_GPS OTHER_By Region" xfId="0"/>
    <cellStyle name="_PC_NB_DS_GPS OTHER_CORP SG&amp;A" xfId="0"/>
    <cellStyle name="_PC_NB_DS_GPS OTHER_LCD" xfId="0"/>
    <cellStyle name="_PC_NB_DS_GPS OTHER_PJ" xfId="0"/>
    <cellStyle name="_PC_NB_DS_LCD" xfId="0"/>
    <cellStyle name="_PC_NB_DS_LCD 2" xfId="0"/>
    <cellStyle name="_PC_NB_DS_LCD 3" xfId="0"/>
    <cellStyle name="_PC_NB_DS_LCD 4" xfId="0"/>
    <cellStyle name="_PC_NB_DS_LCD_By Region" xfId="0"/>
    <cellStyle name="_PC_NB_DS_LCD_CORP SG&amp;A" xfId="0"/>
    <cellStyle name="_PC_NB_DS_LCD_LCD" xfId="0"/>
    <cellStyle name="_PC_NB_DS_LCD_PJ" xfId="0"/>
    <cellStyle name="_PC_NB_DS_PC Products" xfId="0"/>
    <cellStyle name="_PC_NB_DS_PC Products 2" xfId="0"/>
    <cellStyle name="_PC_NB_DS_PC Products 3" xfId="0"/>
    <cellStyle name="_PC_NB_DS_PC Products 4" xfId="0"/>
    <cellStyle name="_PC_NB_DS_PC Products 4 2" xfId="0"/>
    <cellStyle name="_PC_NB_DS_PC Products_By Region" xfId="0"/>
    <cellStyle name="_PC_NB_DS_PC Products_CORP SG&amp;A" xfId="0"/>
    <cellStyle name="_PC_NB_DS_PC Products_LCD" xfId="0"/>
    <cellStyle name="_PC_NB_DS_PC Products_PJ" xfId="0"/>
    <cellStyle name="_PC_NB_DS_VSA 111014" xfId="0"/>
    <cellStyle name="_PC_NB_DS_VSA 111014 2" xfId="0"/>
    <cellStyle name="_PC_NB_DS_VSA 111014 3" xfId="0"/>
    <cellStyle name="_PC_NB_DS_VSA 111014 4" xfId="0"/>
    <cellStyle name="_PC_NB_DS_VSA 111014 4 2" xfId="0"/>
    <cellStyle name="_PC_NB_DS_VSA 111014_By Region" xfId="0"/>
    <cellStyle name="_PC_NB_DS_VSA 111014_CORP SG&amp;A" xfId="0"/>
    <cellStyle name="_PC_NB_DS_VSA 111014_LCD" xfId="0"/>
    <cellStyle name="_PC_NB_DS_VSA 111014_PJ" xfId="0"/>
    <cellStyle name="_PC_NB_DS_VSA Roll-Up (LW)" xfId="0"/>
    <cellStyle name="_PC_NB_DS_VSA Roll-Up (LW) 2" xfId="0"/>
    <cellStyle name="_PC_NB_DS_VSA Roll-Up (LW) 3" xfId="0"/>
    <cellStyle name="_PC_NB_DS_VSA Roll-Up (LW) 4" xfId="0"/>
    <cellStyle name="_PC_NB_DS_VSA Roll-Up (LW) 4 2" xfId="0"/>
    <cellStyle name="_PC_NB_DS_VSA Roll-Up (LW)_By Region" xfId="0"/>
    <cellStyle name="_PC_NB_DS_VSA Roll-Up (LW)_CORP SG&amp;A" xfId="0"/>
    <cellStyle name="_PC_NB_DS_VSA Roll-Up (LW)_LCD" xfId="0"/>
    <cellStyle name="_PC_NB_DS_VSA Roll-Up (LW)_PJ" xfId="0"/>
    <cellStyle name="_PC_NB_DVD_TV" xfId="0"/>
    <cellStyle name="_PC_NB_DVD_TV 2" xfId="0"/>
    <cellStyle name="_PC_NB_DVD_TV 3" xfId="0"/>
    <cellStyle name="_PC_NB_DVD_TV 4" xfId="0"/>
    <cellStyle name="_PC_NB_DVD_TV_By Region" xfId="0"/>
    <cellStyle name="_PC_NB_DVD_TV_CORP SG&amp;A" xfId="0"/>
    <cellStyle name="_PC_NB_DVD_TV_GPS OTHER" xfId="0"/>
    <cellStyle name="_PC_NB_DVD_TV_GPS OTHER 2" xfId="0"/>
    <cellStyle name="_PC_NB_DVD_TV_GPS OTHER 3" xfId="0"/>
    <cellStyle name="_PC_NB_DVD_TV_GPS OTHER 4" xfId="0"/>
    <cellStyle name="_PC_NB_DVD_TV_GPS OTHER 4 2" xfId="0"/>
    <cellStyle name="_PC_NB_DVD_TV_GPS OTHER_By Region" xfId="0"/>
    <cellStyle name="_PC_NB_DVD_TV_GPS OTHER_CORP SG&amp;A" xfId="0"/>
    <cellStyle name="_PC_NB_DVD_TV_GPS OTHER_LCD" xfId="0"/>
    <cellStyle name="_PC_NB_DVD_TV_GPS OTHER_PJ" xfId="0"/>
    <cellStyle name="_PC_NB_DVD_TV_LCD" xfId="0"/>
    <cellStyle name="_PC_NB_DVD_TV_LCD 2" xfId="0"/>
    <cellStyle name="_PC_NB_DVD_TV_LCD 3" xfId="0"/>
    <cellStyle name="_PC_NB_DVD_TV_LCD 4" xfId="0"/>
    <cellStyle name="_PC_NB_DVD_TV_LCD_By Region" xfId="0"/>
    <cellStyle name="_PC_NB_DVD_TV_LCD_CORP SG&amp;A" xfId="0"/>
    <cellStyle name="_PC_NB_DVD_TV_LCD_LCD" xfId="0"/>
    <cellStyle name="_PC_NB_DVD_TV_LCD_PJ" xfId="0"/>
    <cellStyle name="_PC_NB_DVD_TV_PC Products" xfId="0"/>
    <cellStyle name="_PC_NB_DVD_TV_PC Products 2" xfId="0"/>
    <cellStyle name="_PC_NB_DVD_TV_PC Products 3" xfId="0"/>
    <cellStyle name="_PC_NB_DVD_TV_PC Products 4" xfId="0"/>
    <cellStyle name="_PC_NB_DVD_TV_PC Products 4 2" xfId="0"/>
    <cellStyle name="_PC_NB_DVD_TV_PC Products_By Region" xfId="0"/>
    <cellStyle name="_PC_NB_DVD_TV_PC Products_CORP SG&amp;A" xfId="0"/>
    <cellStyle name="_PC_NB_DVD_TV_PC Products_LCD" xfId="0"/>
    <cellStyle name="_PC_NB_DVD_TV_PC Products_PJ" xfId="0"/>
    <cellStyle name="_PC_NB_DVD_TV_VSA 111014" xfId="0"/>
    <cellStyle name="_PC_NB_DVD_TV_VSA 111014 2" xfId="0"/>
    <cellStyle name="_PC_NB_DVD_TV_VSA 111014 3" xfId="0"/>
    <cellStyle name="_PC_NB_DVD_TV_VSA 111014 4" xfId="0"/>
    <cellStyle name="_PC_NB_DVD_TV_VSA 111014 4 2" xfId="0"/>
    <cellStyle name="_PC_NB_DVD_TV_VSA 111014_By Region" xfId="0"/>
    <cellStyle name="_PC_NB_DVD_TV_VSA 111014_CORP SG&amp;A" xfId="0"/>
    <cellStyle name="_PC_NB_DVD_TV_VSA 111014_LCD" xfId="0"/>
    <cellStyle name="_PC_NB_DVD_TV_VSA 111014_PJ" xfId="0"/>
    <cellStyle name="_PC_NB_DVD_TV_VSA Roll-Up (LW)" xfId="0"/>
    <cellStyle name="_PC_NB_DVD_TV_VSA Roll-Up (LW) 2" xfId="0"/>
    <cellStyle name="_PC_NB_DVD_TV_VSA Roll-Up (LW) 3" xfId="0"/>
    <cellStyle name="_PC_NB_DVD_TV_VSA Roll-Up (LW) 4" xfId="0"/>
    <cellStyle name="_PC_NB_DVD_TV_VSA Roll-Up (LW) 4 2" xfId="0"/>
    <cellStyle name="_PC_NB_DVD_TV_VSA Roll-Up (LW)_By Region" xfId="0"/>
    <cellStyle name="_PC_NB_DVD_TV_VSA Roll-Up (LW)_CORP SG&amp;A" xfId="0"/>
    <cellStyle name="_PC_NB_DVD_TV_VSA Roll-Up (LW)_LCD" xfId="0"/>
    <cellStyle name="_PC_NB_DVD_TV_VSA Roll-Up (LW)_PJ" xfId="0"/>
    <cellStyle name="_PC_NB_GPS OTHER" xfId="0"/>
    <cellStyle name="_PC_NB_GPS OTHER 2" xfId="0"/>
    <cellStyle name="_PC_NB_GPS OTHER 3" xfId="0"/>
    <cellStyle name="_PC_NB_GPS OTHER 4" xfId="0"/>
    <cellStyle name="_PC_NB_GPS OTHER 4 2" xfId="0"/>
    <cellStyle name="_PC_NB_GPS OTHER_By Region" xfId="0"/>
    <cellStyle name="_PC_NB_GPS OTHER_CORP SG&amp;A" xfId="0"/>
    <cellStyle name="_PC_NB_GPS OTHER_LCD" xfId="0"/>
    <cellStyle name="_PC_NB_GPS OTHER_PJ" xfId="0"/>
    <cellStyle name="_PC_NB_LCD" xfId="0"/>
    <cellStyle name="_PC_NB_LCD 2" xfId="0"/>
    <cellStyle name="_PC_NB_LCD 3" xfId="0"/>
    <cellStyle name="_PC_NB_LCD 4" xfId="0"/>
    <cellStyle name="_PC_NB_LCD_1" xfId="0"/>
    <cellStyle name="_PC_NB_LCD_1 2" xfId="0"/>
    <cellStyle name="_PC_NB_LCD_1 3" xfId="0"/>
    <cellStyle name="_PC_NB_LCD_1 4" xfId="0"/>
    <cellStyle name="_PC_NB_LCD_1_By Region" xfId="0"/>
    <cellStyle name="_PC_NB_LCD_1_CORP SG&amp;A" xfId="0"/>
    <cellStyle name="_PC_NB_LCD_1_LCD" xfId="0"/>
    <cellStyle name="_PC_NB_LCD_1_PJ" xfId="0"/>
    <cellStyle name="_PC_NB_LCD_By Region" xfId="0"/>
    <cellStyle name="_PC_NB_LCD_CORP SG&amp;A" xfId="0"/>
    <cellStyle name="_PC_NB_LCD_GPS OTHER" xfId="0"/>
    <cellStyle name="_PC_NB_LCD_GPS OTHER 2" xfId="0"/>
    <cellStyle name="_PC_NB_LCD_GPS OTHER 3" xfId="0"/>
    <cellStyle name="_PC_NB_LCD_GPS OTHER 4" xfId="0"/>
    <cellStyle name="_PC_NB_LCD_GPS OTHER 4 2" xfId="0"/>
    <cellStyle name="_PC_NB_LCD_GPS OTHER_By Region" xfId="0"/>
    <cellStyle name="_PC_NB_LCD_GPS OTHER_CORP SG&amp;A" xfId="0"/>
    <cellStyle name="_PC_NB_LCD_GPS OTHER_LCD" xfId="0"/>
    <cellStyle name="_PC_NB_LCD_GPS OTHER_PJ" xfId="0"/>
    <cellStyle name="_PC_NB_LCD_LCD" xfId="0"/>
    <cellStyle name="_PC_NB_LCD_LCD 2" xfId="0"/>
    <cellStyle name="_PC_NB_LCD_LCD 3" xfId="0"/>
    <cellStyle name="_PC_NB_LCD_LCD 4" xfId="0"/>
    <cellStyle name="_PC_NB_LCD_LCD_By Region" xfId="0"/>
    <cellStyle name="_PC_NB_LCD_LCD_CORP SG&amp;A" xfId="0"/>
    <cellStyle name="_PC_NB_LCD_LCD_LCD" xfId="0"/>
    <cellStyle name="_PC_NB_LCD_LCD_PJ" xfId="0"/>
    <cellStyle name="_PC_NB_LCD_PC Products" xfId="0"/>
    <cellStyle name="_PC_NB_LCD_PC Products 2" xfId="0"/>
    <cellStyle name="_PC_NB_LCD_PC Products 3" xfId="0"/>
    <cellStyle name="_PC_NB_LCD_PC Products 4" xfId="0"/>
    <cellStyle name="_PC_NB_LCD_PC Products 4 2" xfId="0"/>
    <cellStyle name="_PC_NB_LCD_PC Products_By Region" xfId="0"/>
    <cellStyle name="_PC_NB_LCD_PC Products_CORP SG&amp;A" xfId="0"/>
    <cellStyle name="_PC_NB_LCD_PC Products_LCD" xfId="0"/>
    <cellStyle name="_PC_NB_LCD_PC Products_PJ" xfId="0"/>
    <cellStyle name="_PC_NB_LCD_VSA 111014" xfId="0"/>
    <cellStyle name="_PC_NB_LCD_VSA 111014 2" xfId="0"/>
    <cellStyle name="_PC_NB_LCD_VSA 111014 3" xfId="0"/>
    <cellStyle name="_PC_NB_LCD_VSA 111014 4" xfId="0"/>
    <cellStyle name="_PC_NB_LCD_VSA 111014 4 2" xfId="0"/>
    <cellStyle name="_PC_NB_LCD_VSA 111014_By Region" xfId="0"/>
    <cellStyle name="_PC_NB_LCD_VSA 111014_CORP SG&amp;A" xfId="0"/>
    <cellStyle name="_PC_NB_LCD_VSA 111014_LCD" xfId="0"/>
    <cellStyle name="_PC_NB_LCD_VSA 111014_PJ" xfId="0"/>
    <cellStyle name="_PC_NB_LCD_VSA Roll-Up (LW)" xfId="0"/>
    <cellStyle name="_PC_NB_LCD_VSA Roll-Up (LW) 2" xfId="0"/>
    <cellStyle name="_PC_NB_LCD_VSA Roll-Up (LW) 3" xfId="0"/>
    <cellStyle name="_PC_NB_LCD_VSA Roll-Up (LW) 4" xfId="0"/>
    <cellStyle name="_PC_NB_LCD_VSA Roll-Up (LW) 4 2" xfId="0"/>
    <cellStyle name="_PC_NB_LCD_VSA Roll-Up (LW)_By Region" xfId="0"/>
    <cellStyle name="_PC_NB_LCD_VSA Roll-Up (LW)_CORP SG&amp;A" xfId="0"/>
    <cellStyle name="_PC_NB_LCD_VSA Roll-Up (LW)_LCD" xfId="0"/>
    <cellStyle name="_PC_NB_LCD_VSA Roll-Up (LW)_PJ" xfId="0"/>
    <cellStyle name="_PC_NB_LCDTV" xfId="0"/>
    <cellStyle name="_PC_NB_LCDTV 2" xfId="0"/>
    <cellStyle name="_PC_NB_LCDTV 3" xfId="0"/>
    <cellStyle name="_PC_NB_LCDTV 4" xfId="0"/>
    <cellStyle name="_PC_NB_LCDTV_By Region" xfId="0"/>
    <cellStyle name="_PC_NB_LCDTV_CORP SG&amp;A" xfId="0"/>
    <cellStyle name="_PC_NB_LCDTV_GPS OTHER" xfId="0"/>
    <cellStyle name="_PC_NB_LCDTV_GPS OTHER 2" xfId="0"/>
    <cellStyle name="_PC_NB_LCDTV_GPS OTHER 3" xfId="0"/>
    <cellStyle name="_PC_NB_LCDTV_GPS OTHER 4" xfId="0"/>
    <cellStyle name="_PC_NB_LCDTV_GPS OTHER 4 2" xfId="0"/>
    <cellStyle name="_PC_NB_LCDTV_GPS OTHER_By Region" xfId="0"/>
    <cellStyle name="_PC_NB_LCDTV_GPS OTHER_CORP SG&amp;A" xfId="0"/>
    <cellStyle name="_PC_NB_LCDTV_GPS OTHER_LCD" xfId="0"/>
    <cellStyle name="_PC_NB_LCDTV_GPS OTHER_PJ" xfId="0"/>
    <cellStyle name="_PC_NB_LCDTV_LCD" xfId="0"/>
    <cellStyle name="_PC_NB_LCDTV_LCD 2" xfId="0"/>
    <cellStyle name="_PC_NB_LCDTV_LCD 3" xfId="0"/>
    <cellStyle name="_PC_NB_LCDTV_LCD 4" xfId="0"/>
    <cellStyle name="_PC_NB_LCDTV_LCD_By Region" xfId="0"/>
    <cellStyle name="_PC_NB_LCDTV_LCD_CORP SG&amp;A" xfId="0"/>
    <cellStyle name="_PC_NB_LCDTV_LCD_LCD" xfId="0"/>
    <cellStyle name="_PC_NB_LCDTV_LCD_PJ" xfId="0"/>
    <cellStyle name="_PC_NB_LCDTV_PC Products" xfId="0"/>
    <cellStyle name="_PC_NB_LCDTV_PC Products 2" xfId="0"/>
    <cellStyle name="_PC_NB_LCDTV_PC Products 3" xfId="0"/>
    <cellStyle name="_PC_NB_LCDTV_PC Products 4" xfId="0"/>
    <cellStyle name="_PC_NB_LCDTV_PC Products 4 2" xfId="0"/>
    <cellStyle name="_PC_NB_LCDTV_PC Products_By Region" xfId="0"/>
    <cellStyle name="_PC_NB_LCDTV_PC Products_CORP SG&amp;A" xfId="0"/>
    <cellStyle name="_PC_NB_LCDTV_PC Products_LCD" xfId="0"/>
    <cellStyle name="_PC_NB_LCDTV_PC Products_PJ" xfId="0"/>
    <cellStyle name="_PC_NB_LCDTV_VSA 111014" xfId="0"/>
    <cellStyle name="_PC_NB_LCDTV_VSA 111014 2" xfId="0"/>
    <cellStyle name="_PC_NB_LCDTV_VSA 111014 3" xfId="0"/>
    <cellStyle name="_PC_NB_LCDTV_VSA 111014 4" xfId="0"/>
    <cellStyle name="_PC_NB_LCDTV_VSA 111014 4 2" xfId="0"/>
    <cellStyle name="_PC_NB_LCDTV_VSA 111014_By Region" xfId="0"/>
    <cellStyle name="_PC_NB_LCDTV_VSA 111014_CORP SG&amp;A" xfId="0"/>
    <cellStyle name="_PC_NB_LCDTV_VSA 111014_LCD" xfId="0"/>
    <cellStyle name="_PC_NB_LCDTV_VSA 111014_PJ" xfId="0"/>
    <cellStyle name="_PC_NB_LCDTV_VSA Roll-Up (LW)" xfId="0"/>
    <cellStyle name="_PC_NB_LCDTV_VSA Roll-Up (LW) 2" xfId="0"/>
    <cellStyle name="_PC_NB_LCDTV_VSA Roll-Up (LW) 3" xfId="0"/>
    <cellStyle name="_PC_NB_LCDTV_VSA Roll-Up (LW) 4" xfId="0"/>
    <cellStyle name="_PC_NB_LCDTV_VSA Roll-Up (LW) 4 2" xfId="0"/>
    <cellStyle name="_PC_NB_LCDTV_VSA Roll-Up (LW)_By Region" xfId="0"/>
    <cellStyle name="_PC_NB_LCDTV_VSA Roll-Up (LW)_CORP SG&amp;A" xfId="0"/>
    <cellStyle name="_PC_NB_LCDTV_VSA Roll-Up (LW)_LCD" xfId="0"/>
    <cellStyle name="_PC_NB_LCDTV_VSA Roll-Up (LW)_PJ" xfId="0"/>
    <cellStyle name="_PC_NB_MNT" xfId="0"/>
    <cellStyle name="_PC_NB_MNT 2" xfId="0"/>
    <cellStyle name="_PC_NB_MNT 3" xfId="0"/>
    <cellStyle name="_PC_NB_MNT 4" xfId="0"/>
    <cellStyle name="_PC_NB_MNT_By Region" xfId="0"/>
    <cellStyle name="_PC_NB_MNT_CORP SG&amp;A" xfId="0"/>
    <cellStyle name="_PC_NB_MNT_GPS OTHER" xfId="0"/>
    <cellStyle name="_PC_NB_MNT_GPS OTHER 2" xfId="0"/>
    <cellStyle name="_PC_NB_MNT_GPS OTHER 3" xfId="0"/>
    <cellStyle name="_PC_NB_MNT_GPS OTHER 4" xfId="0"/>
    <cellStyle name="_PC_NB_MNT_GPS OTHER 4 2" xfId="0"/>
    <cellStyle name="_PC_NB_MNT_GPS OTHER_By Region" xfId="0"/>
    <cellStyle name="_PC_NB_MNT_GPS OTHER_CORP SG&amp;A" xfId="0"/>
    <cellStyle name="_PC_NB_MNT_GPS OTHER_LCD" xfId="0"/>
    <cellStyle name="_PC_NB_MNT_GPS OTHER_PJ" xfId="0"/>
    <cellStyle name="_PC_NB_MNT_LCD" xfId="0"/>
    <cellStyle name="_PC_NB_MNT_LCD 2" xfId="0"/>
    <cellStyle name="_PC_NB_MNT_LCD 3" xfId="0"/>
    <cellStyle name="_PC_NB_MNT_LCD 4" xfId="0"/>
    <cellStyle name="_PC_NB_MNT_LCD_By Region" xfId="0"/>
    <cellStyle name="_PC_NB_MNT_LCD_CORP SG&amp;A" xfId="0"/>
    <cellStyle name="_PC_NB_MNT_LCD_LCD" xfId="0"/>
    <cellStyle name="_PC_NB_MNT_LCD_PJ" xfId="0"/>
    <cellStyle name="_PC_NB_MNT_PC Products" xfId="0"/>
    <cellStyle name="_PC_NB_MNT_PC Products 2" xfId="0"/>
    <cellStyle name="_PC_NB_MNT_PC Products 3" xfId="0"/>
    <cellStyle name="_PC_NB_MNT_PC Products 4" xfId="0"/>
    <cellStyle name="_PC_NB_MNT_PC Products 4 2" xfId="0"/>
    <cellStyle name="_PC_NB_MNT_PC Products_By Region" xfId="0"/>
    <cellStyle name="_PC_NB_MNT_PC Products_CORP SG&amp;A" xfId="0"/>
    <cellStyle name="_PC_NB_MNT_PC Products_LCD" xfId="0"/>
    <cellStyle name="_PC_NB_MNT_PC Products_PJ" xfId="0"/>
    <cellStyle name="_PC_NB_MNT_VSA 111014" xfId="0"/>
    <cellStyle name="_PC_NB_MNT_VSA 111014 2" xfId="0"/>
    <cellStyle name="_PC_NB_MNT_VSA 111014 3" xfId="0"/>
    <cellStyle name="_PC_NB_MNT_VSA 111014 4" xfId="0"/>
    <cellStyle name="_PC_NB_MNT_VSA 111014 4 2" xfId="0"/>
    <cellStyle name="_PC_NB_MNT_VSA 111014_By Region" xfId="0"/>
    <cellStyle name="_PC_NB_MNT_VSA 111014_CORP SG&amp;A" xfId="0"/>
    <cellStyle name="_PC_NB_MNT_VSA 111014_LCD" xfId="0"/>
    <cellStyle name="_PC_NB_MNT_VSA 111014_PJ" xfId="0"/>
    <cellStyle name="_PC_NB_MNT_VSA Roll-Up (LW)" xfId="0"/>
    <cellStyle name="_PC_NB_MNT_VSA Roll-Up (LW) 2" xfId="0"/>
    <cellStyle name="_PC_NB_MNT_VSA Roll-Up (LW) 3" xfId="0"/>
    <cellStyle name="_PC_NB_MNT_VSA Roll-Up (LW) 4" xfId="0"/>
    <cellStyle name="_PC_NB_MNT_VSA Roll-Up (LW) 4 2" xfId="0"/>
    <cellStyle name="_PC_NB_MNT_VSA Roll-Up (LW)_By Region" xfId="0"/>
    <cellStyle name="_PC_NB_MNT_VSA Roll-Up (LW)_CORP SG&amp;A" xfId="0"/>
    <cellStyle name="_PC_NB_MNT_VSA Roll-Up (LW)_LCD" xfId="0"/>
    <cellStyle name="_PC_NB_MNT_VSA Roll-Up (LW)_PJ" xfId="0"/>
    <cellStyle name="_PC_NB_Other" xfId="0"/>
    <cellStyle name="_PC_NB_Other 2" xfId="0"/>
    <cellStyle name="_PC_NB_Other 3" xfId="0"/>
    <cellStyle name="_PC_NB_Other 4" xfId="0"/>
    <cellStyle name="_PC_NB_Other_By Region" xfId="0"/>
    <cellStyle name="_PC_NB_Other_CORP SG&amp;A" xfId="0"/>
    <cellStyle name="_PC_NB_Other_GPS OTHER" xfId="0"/>
    <cellStyle name="_PC_NB_Other_GPS OTHER 2" xfId="0"/>
    <cellStyle name="_PC_NB_Other_GPS OTHER 3" xfId="0"/>
    <cellStyle name="_PC_NB_Other_GPS OTHER 4" xfId="0"/>
    <cellStyle name="_PC_NB_Other_GPS OTHER 4 2" xfId="0"/>
    <cellStyle name="_PC_NB_Other_GPS OTHER_By Region" xfId="0"/>
    <cellStyle name="_PC_NB_Other_GPS OTHER_CORP SG&amp;A" xfId="0"/>
    <cellStyle name="_PC_NB_Other_GPS OTHER_LCD" xfId="0"/>
    <cellStyle name="_PC_NB_Other_GPS OTHER_PJ" xfId="0"/>
    <cellStyle name="_PC_NB_Other_LCD" xfId="0"/>
    <cellStyle name="_PC_NB_Other_LCD 2" xfId="0"/>
    <cellStyle name="_PC_NB_Other_LCD 3" xfId="0"/>
    <cellStyle name="_PC_NB_Other_LCD 4" xfId="0"/>
    <cellStyle name="_PC_NB_Other_LCD_By Region" xfId="0"/>
    <cellStyle name="_PC_NB_Other_LCD_CORP SG&amp;A" xfId="0"/>
    <cellStyle name="_PC_NB_Other_LCD_LCD" xfId="0"/>
    <cellStyle name="_PC_NB_Other_LCD_PJ" xfId="0"/>
    <cellStyle name="_PC_NB_Other_PC Products" xfId="0"/>
    <cellStyle name="_PC_NB_Other_PC Products 2" xfId="0"/>
    <cellStyle name="_PC_NB_Other_PC Products 3" xfId="0"/>
    <cellStyle name="_PC_NB_Other_PC Products 4" xfId="0"/>
    <cellStyle name="_PC_NB_Other_PC Products 4 2" xfId="0"/>
    <cellStyle name="_PC_NB_Other_PC Products_By Region" xfId="0"/>
    <cellStyle name="_PC_NB_Other_PC Products_CORP SG&amp;A" xfId="0"/>
    <cellStyle name="_PC_NB_Other_PC Products_LCD" xfId="0"/>
    <cellStyle name="_PC_NB_Other_PC Products_PJ" xfId="0"/>
    <cellStyle name="_PC_NB_Other_VSA 111014" xfId="0"/>
    <cellStyle name="_PC_NB_Other_VSA 111014 2" xfId="0"/>
    <cellStyle name="_PC_NB_Other_VSA 111014 3" xfId="0"/>
    <cellStyle name="_PC_NB_Other_VSA 111014 4" xfId="0"/>
    <cellStyle name="_PC_NB_Other_VSA 111014 4 2" xfId="0"/>
    <cellStyle name="_PC_NB_Other_VSA 111014_By Region" xfId="0"/>
    <cellStyle name="_PC_NB_Other_VSA 111014_CORP SG&amp;A" xfId="0"/>
    <cellStyle name="_PC_NB_Other_VSA 111014_LCD" xfId="0"/>
    <cellStyle name="_PC_NB_Other_VSA 111014_PJ" xfId="0"/>
    <cellStyle name="_PC_NB_Other_VSA Roll-Up (LW)" xfId="0"/>
    <cellStyle name="_PC_NB_Other_VSA Roll-Up (LW) 2" xfId="0"/>
    <cellStyle name="_PC_NB_Other_VSA Roll-Up (LW) 3" xfId="0"/>
    <cellStyle name="_PC_NB_Other_VSA Roll-Up (LW) 4" xfId="0"/>
    <cellStyle name="_PC_NB_Other_VSA Roll-Up (LW) 4 2" xfId="0"/>
    <cellStyle name="_PC_NB_Other_VSA Roll-Up (LW)_By Region" xfId="0"/>
    <cellStyle name="_PC_NB_Other_VSA Roll-Up (LW)_CORP SG&amp;A" xfId="0"/>
    <cellStyle name="_PC_NB_Other_VSA Roll-Up (LW)_LCD" xfId="0"/>
    <cellStyle name="_PC_NB_Other_VSA Roll-Up (LW)_PJ" xfId="0"/>
    <cellStyle name="_PC_NB_PC" xfId="0"/>
    <cellStyle name="_PC_NB_PC 2" xfId="0"/>
    <cellStyle name="_PC_NB_PC 3" xfId="0"/>
    <cellStyle name="_PC_NB_PC 4" xfId="0"/>
    <cellStyle name="_PC_NB_PC Products" xfId="0"/>
    <cellStyle name="_PC_NB_PC Products 2" xfId="0"/>
    <cellStyle name="_PC_NB_PC Products 3" xfId="0"/>
    <cellStyle name="_PC_NB_PC Products 4" xfId="0"/>
    <cellStyle name="_PC_NB_PC Products 4 2" xfId="0"/>
    <cellStyle name="_PC_NB_PC Products_By Region" xfId="0"/>
    <cellStyle name="_PC_NB_PC Products_CORP SG&amp;A" xfId="0"/>
    <cellStyle name="_PC_NB_PC Products_LCD" xfId="0"/>
    <cellStyle name="_PC_NB_PC Products_PJ" xfId="0"/>
    <cellStyle name="_PC_NB_PC_By Region" xfId="0"/>
    <cellStyle name="_PC_NB_PC_CORP SG&amp;A" xfId="0"/>
    <cellStyle name="_PC_NB_PC_DT" xfId="0"/>
    <cellStyle name="_PC_NB_PC_DT 2" xfId="0"/>
    <cellStyle name="_PC_NB_PC_DT 3" xfId="0"/>
    <cellStyle name="_PC_NB_PC_DT_By Region" xfId="0"/>
    <cellStyle name="_PC_NB_PC_GPS OTHER" xfId="0"/>
    <cellStyle name="_PC_NB_PC_GPS OTHER 2" xfId="0"/>
    <cellStyle name="_PC_NB_PC_GPS OTHER 3" xfId="0"/>
    <cellStyle name="_PC_NB_PC_GPS OTHER 4" xfId="0"/>
    <cellStyle name="_PC_NB_PC_GPS OTHER 4 2" xfId="0"/>
    <cellStyle name="_PC_NB_PC_GPS OTHER_By Region" xfId="0"/>
    <cellStyle name="_PC_NB_PC_GPS OTHER_CORP SG&amp;A" xfId="0"/>
    <cellStyle name="_PC_NB_PC_GPS OTHER_LCD" xfId="0"/>
    <cellStyle name="_PC_NB_PC_GPS OTHER_PJ" xfId="0"/>
    <cellStyle name="_PC_NB_PC_LCD" xfId="0"/>
    <cellStyle name="_PC_NB_PC_LCD 2" xfId="0"/>
    <cellStyle name="_PC_NB_PC_LCD 3" xfId="0"/>
    <cellStyle name="_PC_NB_PC_LCD 4" xfId="0"/>
    <cellStyle name="_PC_NB_PC_LCD_By Region" xfId="0"/>
    <cellStyle name="_PC_NB_PC_LCD_CORP SG&amp;A" xfId="0"/>
    <cellStyle name="_PC_NB_PC_LCD_LCD" xfId="0"/>
    <cellStyle name="_PC_NB_PC_LCD_PJ" xfId="0"/>
    <cellStyle name="_PC_NB_PC_PC Products" xfId="0"/>
    <cellStyle name="_PC_NB_PC_PC Products 2" xfId="0"/>
    <cellStyle name="_PC_NB_PC_PC Products 3" xfId="0"/>
    <cellStyle name="_PC_NB_PC_PC Products 4" xfId="0"/>
    <cellStyle name="_PC_NB_PC_PC Products 4 2" xfId="0"/>
    <cellStyle name="_PC_NB_PC_PC Products_By Region" xfId="0"/>
    <cellStyle name="_PC_NB_PC_PC Products_CORP SG&amp;A" xfId="0"/>
    <cellStyle name="_PC_NB_PC_PC Products_LCD" xfId="0"/>
    <cellStyle name="_PC_NB_PC_PC Products_PJ" xfId="0"/>
    <cellStyle name="_PC_NB_PC_TV" xfId="0"/>
    <cellStyle name="_PC_NB_PC_TV 2" xfId="0"/>
    <cellStyle name="_PC_NB_PC_TV 3" xfId="0"/>
    <cellStyle name="_PC_NB_PC_TV 4" xfId="0"/>
    <cellStyle name="_PC_NB_PC_TV_By Region" xfId="0"/>
    <cellStyle name="_PC_NB_PC_TV_CORP SG&amp;A" xfId="0"/>
    <cellStyle name="_PC_NB_PC_TV_GPS OTHER" xfId="0"/>
    <cellStyle name="_PC_NB_PC_TV_GPS OTHER 2" xfId="0"/>
    <cellStyle name="_PC_NB_PC_TV_GPS OTHER 3" xfId="0"/>
    <cellStyle name="_PC_NB_PC_TV_GPS OTHER 4" xfId="0"/>
    <cellStyle name="_PC_NB_PC_TV_GPS OTHER 4 2" xfId="0"/>
    <cellStyle name="_PC_NB_PC_TV_GPS OTHER_By Region" xfId="0"/>
    <cellStyle name="_PC_NB_PC_TV_GPS OTHER_CORP SG&amp;A" xfId="0"/>
    <cellStyle name="_PC_NB_PC_TV_GPS OTHER_LCD" xfId="0"/>
    <cellStyle name="_PC_NB_PC_TV_GPS OTHER_PJ" xfId="0"/>
    <cellStyle name="_PC_NB_PC_TV_LCD" xfId="0"/>
    <cellStyle name="_PC_NB_PC_TV_LCD 2" xfId="0"/>
    <cellStyle name="_PC_NB_PC_TV_LCD 3" xfId="0"/>
    <cellStyle name="_PC_NB_PC_TV_LCD 4" xfId="0"/>
    <cellStyle name="_PC_NB_PC_TV_LCD_By Region" xfId="0"/>
    <cellStyle name="_PC_NB_PC_TV_LCD_CORP SG&amp;A" xfId="0"/>
    <cellStyle name="_PC_NB_PC_TV_LCD_LCD" xfId="0"/>
    <cellStyle name="_PC_NB_PC_TV_LCD_PJ" xfId="0"/>
    <cellStyle name="_PC_NB_PC_TV_PC Products" xfId="0"/>
    <cellStyle name="_PC_NB_PC_TV_PC Products 2" xfId="0"/>
    <cellStyle name="_PC_NB_PC_TV_PC Products 3" xfId="0"/>
    <cellStyle name="_PC_NB_PC_TV_PC Products 4" xfId="0"/>
    <cellStyle name="_PC_NB_PC_TV_PC Products 4 2" xfId="0"/>
    <cellStyle name="_PC_NB_PC_TV_PC Products_By Region" xfId="0"/>
    <cellStyle name="_PC_NB_PC_TV_PC Products_CORP SG&amp;A" xfId="0"/>
    <cellStyle name="_PC_NB_PC_TV_PC Products_LCD" xfId="0"/>
    <cellStyle name="_PC_NB_PC_TV_PC Products_PJ" xfId="0"/>
    <cellStyle name="_PC_NB_PC_TV_VSA 111014" xfId="0"/>
    <cellStyle name="_PC_NB_PC_TV_VSA 111014 2" xfId="0"/>
    <cellStyle name="_PC_NB_PC_TV_VSA 111014 3" xfId="0"/>
    <cellStyle name="_PC_NB_PC_TV_VSA 111014 4" xfId="0"/>
    <cellStyle name="_PC_NB_PC_TV_VSA 111014 4 2" xfId="0"/>
    <cellStyle name="_PC_NB_PC_TV_VSA 111014_By Region" xfId="0"/>
    <cellStyle name="_PC_NB_PC_TV_VSA 111014_CORP SG&amp;A" xfId="0"/>
    <cellStyle name="_PC_NB_PC_TV_VSA 111014_LCD" xfId="0"/>
    <cellStyle name="_PC_NB_PC_TV_VSA 111014_PJ" xfId="0"/>
    <cellStyle name="_PC_NB_PC_TV_VSA Roll-Up (LW)" xfId="0"/>
    <cellStyle name="_PC_NB_PC_TV_VSA Roll-Up (LW) 2" xfId="0"/>
    <cellStyle name="_PC_NB_PC_TV_VSA Roll-Up (LW) 3" xfId="0"/>
    <cellStyle name="_PC_NB_PC_TV_VSA Roll-Up (LW) 4" xfId="0"/>
    <cellStyle name="_PC_NB_PC_TV_VSA Roll-Up (LW) 4 2" xfId="0"/>
    <cellStyle name="_PC_NB_PC_TV_VSA Roll-Up (LW)_By Region" xfId="0"/>
    <cellStyle name="_PC_NB_PC_TV_VSA Roll-Up (LW)_CORP SG&amp;A" xfId="0"/>
    <cellStyle name="_PC_NB_PC_TV_VSA Roll-Up (LW)_LCD" xfId="0"/>
    <cellStyle name="_PC_NB_PC_TV_VSA Roll-Up (LW)_PJ" xfId="0"/>
    <cellStyle name="_PC_NB_PC_VSA 111014" xfId="0"/>
    <cellStyle name="_PC_NB_PC_VSA 111014 2" xfId="0"/>
    <cellStyle name="_PC_NB_PC_VSA 111014 3" xfId="0"/>
    <cellStyle name="_PC_NB_PC_VSA 111014 4" xfId="0"/>
    <cellStyle name="_PC_NB_PC_VSA 111014 4 2" xfId="0"/>
    <cellStyle name="_PC_NB_PC_VSA 111014_By Region" xfId="0"/>
    <cellStyle name="_PC_NB_PC_VSA 111014_CORP SG&amp;A" xfId="0"/>
    <cellStyle name="_PC_NB_PC_VSA 111014_LCD" xfId="0"/>
    <cellStyle name="_PC_NB_PC_VSA 111014_PJ" xfId="0"/>
    <cellStyle name="_PC_NB_PC_VSA Roll-Up (LW)" xfId="0"/>
    <cellStyle name="_PC_NB_PC_VSA Roll-Up (LW) 2" xfId="0"/>
    <cellStyle name="_PC_NB_PC_VSA Roll-Up (LW) 3" xfId="0"/>
    <cellStyle name="_PC_NB_PC_VSA Roll-Up (LW) 4" xfId="0"/>
    <cellStyle name="_PC_NB_PC_VSA Roll-Up (LW) 4 2" xfId="0"/>
    <cellStyle name="_PC_NB_PC_VSA Roll-Up (LW)_By Region" xfId="0"/>
    <cellStyle name="_PC_NB_PC_VSA Roll-Up (LW)_CORP SG&amp;A" xfId="0"/>
    <cellStyle name="_PC_NB_PC_VSA Roll-Up (LW)_LCD" xfId="0"/>
    <cellStyle name="_PC_NB_PC_VSA Roll-Up (LW)_PJ" xfId="0"/>
    <cellStyle name="_PC_NB_PJ" xfId="0"/>
    <cellStyle name="_PC_NB_PJ 2" xfId="0"/>
    <cellStyle name="_PC_NB_PJ 3" xfId="0"/>
    <cellStyle name="_PC_NB_PJ 4" xfId="0"/>
    <cellStyle name="_PC_NB_PJ_By Region" xfId="0"/>
    <cellStyle name="_PC_NB_PJ_CORP SG&amp;A" xfId="0"/>
    <cellStyle name="_PC_NB_PJ_GPS OTHER" xfId="0"/>
    <cellStyle name="_PC_NB_PJ_GPS OTHER 2" xfId="0"/>
    <cellStyle name="_PC_NB_PJ_GPS OTHER 3" xfId="0"/>
    <cellStyle name="_PC_NB_PJ_GPS OTHER 4" xfId="0"/>
    <cellStyle name="_PC_NB_PJ_GPS OTHER 4 2" xfId="0"/>
    <cellStyle name="_PC_NB_PJ_GPS OTHER_By Region" xfId="0"/>
    <cellStyle name="_PC_NB_PJ_GPS OTHER_CORP SG&amp;A" xfId="0"/>
    <cellStyle name="_PC_NB_PJ_GPS OTHER_LCD" xfId="0"/>
    <cellStyle name="_PC_NB_PJ_GPS OTHER_PJ" xfId="0"/>
    <cellStyle name="_PC_NB_PJ_LCD" xfId="0"/>
    <cellStyle name="_PC_NB_PJ_LCD 2" xfId="0"/>
    <cellStyle name="_PC_NB_PJ_LCD 3" xfId="0"/>
    <cellStyle name="_PC_NB_PJ_LCD 4" xfId="0"/>
    <cellStyle name="_PC_NB_PJ_LCD_By Region" xfId="0"/>
    <cellStyle name="_PC_NB_PJ_LCD_CORP SG&amp;A" xfId="0"/>
    <cellStyle name="_PC_NB_PJ_LCD_LCD" xfId="0"/>
    <cellStyle name="_PC_NB_PJ_LCD_PJ" xfId="0"/>
    <cellStyle name="_PC_NB_PJ_PC Products" xfId="0"/>
    <cellStyle name="_PC_NB_PJ_PC Products 2" xfId="0"/>
    <cellStyle name="_PC_NB_PJ_PC Products 3" xfId="0"/>
    <cellStyle name="_PC_NB_PJ_PC Products 4" xfId="0"/>
    <cellStyle name="_PC_NB_PJ_PC Products 4 2" xfId="0"/>
    <cellStyle name="_PC_NB_PJ_PC Products_By Region" xfId="0"/>
    <cellStyle name="_PC_NB_PJ_PC Products_CORP SG&amp;A" xfId="0"/>
    <cellStyle name="_PC_NB_PJ_PC Products_LCD" xfId="0"/>
    <cellStyle name="_PC_NB_PJ_PC Products_PJ" xfId="0"/>
    <cellStyle name="_PC_NB_PJ_VSA 111014" xfId="0"/>
    <cellStyle name="_PC_NB_PJ_VSA 111014 2" xfId="0"/>
    <cellStyle name="_PC_NB_PJ_VSA 111014 3" xfId="0"/>
    <cellStyle name="_PC_NB_PJ_VSA 111014 4" xfId="0"/>
    <cellStyle name="_PC_NB_PJ_VSA 111014 4 2" xfId="0"/>
    <cellStyle name="_PC_NB_PJ_VSA 111014_By Region" xfId="0"/>
    <cellStyle name="_PC_NB_PJ_VSA 111014_CORP SG&amp;A" xfId="0"/>
    <cellStyle name="_PC_NB_PJ_VSA 111014_LCD" xfId="0"/>
    <cellStyle name="_PC_NB_PJ_VSA 111014_PJ" xfId="0"/>
    <cellStyle name="_PC_NB_PJ_VSA Roll-Up (LW)" xfId="0"/>
    <cellStyle name="_PC_NB_PJ_VSA Roll-Up (LW) 2" xfId="0"/>
    <cellStyle name="_PC_NB_PJ_VSA Roll-Up (LW) 3" xfId="0"/>
    <cellStyle name="_PC_NB_PJ_VSA Roll-Up (LW) 4" xfId="0"/>
    <cellStyle name="_PC_NB_PJ_VSA Roll-Up (LW) 4 2" xfId="0"/>
    <cellStyle name="_PC_NB_PJ_VSA Roll-Up (LW)_By Region" xfId="0"/>
    <cellStyle name="_PC_NB_PJ_VSA Roll-Up (LW)_CORP SG&amp;A" xfId="0"/>
    <cellStyle name="_PC_NB_PJ_VSA Roll-Up (LW)_LCD" xfId="0"/>
    <cellStyle name="_PC_NB_PJ_VSA Roll-Up (LW)_PJ" xfId="0"/>
    <cellStyle name="_PC_NB_PMP(VPD)" xfId="0"/>
    <cellStyle name="_PC_NB_PMP(VPD) 2" xfId="0"/>
    <cellStyle name="_PC_NB_PMP(VPD) 3" xfId="0"/>
    <cellStyle name="_PC_NB_PMP(VPD) 4" xfId="0"/>
    <cellStyle name="_PC_NB_PMP(VPD)_By Region" xfId="0"/>
    <cellStyle name="_PC_NB_PMP(VPD)_CORP SG&amp;A" xfId="0"/>
    <cellStyle name="_PC_NB_PMP(VPD)_GPS OTHER" xfId="0"/>
    <cellStyle name="_PC_NB_PMP(VPD)_GPS OTHER 2" xfId="0"/>
    <cellStyle name="_PC_NB_PMP(VPD)_GPS OTHER 3" xfId="0"/>
    <cellStyle name="_PC_NB_PMP(VPD)_GPS OTHER 4" xfId="0"/>
    <cellStyle name="_PC_NB_PMP(VPD)_GPS OTHER 4 2" xfId="0"/>
    <cellStyle name="_PC_NB_PMP(VPD)_GPS OTHER_By Region" xfId="0"/>
    <cellStyle name="_PC_NB_PMP(VPD)_GPS OTHER_CORP SG&amp;A" xfId="0"/>
    <cellStyle name="_PC_NB_PMP(VPD)_GPS OTHER_LCD" xfId="0"/>
    <cellStyle name="_PC_NB_PMP(VPD)_GPS OTHER_PJ" xfId="0"/>
    <cellStyle name="_PC_NB_PMP(VPD)_LCD" xfId="0"/>
    <cellStyle name="_PC_NB_PMP(VPD)_LCD 2" xfId="0"/>
    <cellStyle name="_PC_NB_PMP(VPD)_LCD 3" xfId="0"/>
    <cellStyle name="_PC_NB_PMP(VPD)_LCD 4" xfId="0"/>
    <cellStyle name="_PC_NB_PMP(VPD)_LCD_By Region" xfId="0"/>
    <cellStyle name="_PC_NB_PMP(VPD)_LCD_CORP SG&amp;A" xfId="0"/>
    <cellStyle name="_PC_NB_PMP(VPD)_LCD_LCD" xfId="0"/>
    <cellStyle name="_PC_NB_PMP(VPD)_LCD_PJ" xfId="0"/>
    <cellStyle name="_PC_NB_PMP(VPD)_PC Products" xfId="0"/>
    <cellStyle name="_PC_NB_PMP(VPD)_PC Products 2" xfId="0"/>
    <cellStyle name="_PC_NB_PMP(VPD)_PC Products 3" xfId="0"/>
    <cellStyle name="_PC_NB_PMP(VPD)_PC Products 4" xfId="0"/>
    <cellStyle name="_PC_NB_PMP(VPD)_PC Products 4 2" xfId="0"/>
    <cellStyle name="_PC_NB_PMP(VPD)_PC Products_By Region" xfId="0"/>
    <cellStyle name="_PC_NB_PMP(VPD)_PC Products_CORP SG&amp;A" xfId="0"/>
    <cellStyle name="_PC_NB_PMP(VPD)_PC Products_LCD" xfId="0"/>
    <cellStyle name="_PC_NB_PMP(VPD)_PC Products_PJ" xfId="0"/>
    <cellStyle name="_PC_NB_PMP(VPD)_VSA 111014" xfId="0"/>
    <cellStyle name="_PC_NB_PMP(VPD)_VSA 111014 2" xfId="0"/>
    <cellStyle name="_PC_NB_PMP(VPD)_VSA 111014 3" xfId="0"/>
    <cellStyle name="_PC_NB_PMP(VPD)_VSA 111014 4" xfId="0"/>
    <cellStyle name="_PC_NB_PMP(VPD)_VSA 111014 4 2" xfId="0"/>
    <cellStyle name="_PC_NB_PMP(VPD)_VSA 111014_By Region" xfId="0"/>
    <cellStyle name="_PC_NB_PMP(VPD)_VSA 111014_CORP SG&amp;A" xfId="0"/>
    <cellStyle name="_PC_NB_PMP(VPD)_VSA 111014_LCD" xfId="0"/>
    <cellStyle name="_PC_NB_PMP(VPD)_VSA 111014_PJ" xfId="0"/>
    <cellStyle name="_PC_NB_PMP(VPD)_VSA Roll-Up (LW)" xfId="0"/>
    <cellStyle name="_PC_NB_PMP(VPD)_VSA Roll-Up (LW) 2" xfId="0"/>
    <cellStyle name="_PC_NB_PMP(VPD)_VSA Roll-Up (LW) 3" xfId="0"/>
    <cellStyle name="_PC_NB_PMP(VPD)_VSA Roll-Up (LW) 4" xfId="0"/>
    <cellStyle name="_PC_NB_PMP(VPD)_VSA Roll-Up (LW) 4 2" xfId="0"/>
    <cellStyle name="_PC_NB_PMP(VPD)_VSA Roll-Up (LW)_By Region" xfId="0"/>
    <cellStyle name="_PC_NB_PMP(VPD)_VSA Roll-Up (LW)_CORP SG&amp;A" xfId="0"/>
    <cellStyle name="_PC_NB_PMP(VPD)_VSA Roll-Up (LW)_LCD" xfId="0"/>
    <cellStyle name="_PC_NB_PMP(VPD)_VSA Roll-Up (LW)_PJ" xfId="0"/>
    <cellStyle name="_PC_NB_Pocket TV" xfId="0"/>
    <cellStyle name="_PC_NB_Pocket TV 2" xfId="0"/>
    <cellStyle name="_PC_NB_Pocket TV 3" xfId="0"/>
    <cellStyle name="_PC_NB_Pocket TV 4" xfId="0"/>
    <cellStyle name="_PC_NB_Pocket TV_By Region" xfId="0"/>
    <cellStyle name="_PC_NB_Pocket TV_CORP SG&amp;A" xfId="0"/>
    <cellStyle name="_PC_NB_Pocket TV_GPS OTHER" xfId="0"/>
    <cellStyle name="_PC_NB_Pocket TV_GPS OTHER 2" xfId="0"/>
    <cellStyle name="_PC_NB_Pocket TV_GPS OTHER 3" xfId="0"/>
    <cellStyle name="_PC_NB_Pocket TV_GPS OTHER 4" xfId="0"/>
    <cellStyle name="_PC_NB_Pocket TV_GPS OTHER 4 2" xfId="0"/>
    <cellStyle name="_PC_NB_Pocket TV_GPS OTHER_By Region" xfId="0"/>
    <cellStyle name="_PC_NB_Pocket TV_GPS OTHER_CORP SG&amp;A" xfId="0"/>
    <cellStyle name="_PC_NB_Pocket TV_GPS OTHER_LCD" xfId="0"/>
    <cellStyle name="_PC_NB_Pocket TV_GPS OTHER_PJ" xfId="0"/>
    <cellStyle name="_PC_NB_Pocket TV_LCD" xfId="0"/>
    <cellStyle name="_PC_NB_Pocket TV_LCD 2" xfId="0"/>
    <cellStyle name="_PC_NB_Pocket TV_LCD 3" xfId="0"/>
    <cellStyle name="_PC_NB_Pocket TV_LCD 4" xfId="0"/>
    <cellStyle name="_PC_NB_Pocket TV_LCD_By Region" xfId="0"/>
    <cellStyle name="_PC_NB_Pocket TV_LCD_CORP SG&amp;A" xfId="0"/>
    <cellStyle name="_PC_NB_Pocket TV_LCD_LCD" xfId="0"/>
    <cellStyle name="_PC_NB_Pocket TV_LCD_PJ" xfId="0"/>
    <cellStyle name="_PC_NB_Pocket TV_PC Products" xfId="0"/>
    <cellStyle name="_PC_NB_Pocket TV_PC Products 2" xfId="0"/>
    <cellStyle name="_PC_NB_Pocket TV_PC Products 3" xfId="0"/>
    <cellStyle name="_PC_NB_Pocket TV_PC Products 4" xfId="0"/>
    <cellStyle name="_PC_NB_Pocket TV_PC Products 4 2" xfId="0"/>
    <cellStyle name="_PC_NB_Pocket TV_PC Products_By Region" xfId="0"/>
    <cellStyle name="_PC_NB_Pocket TV_PC Products_CORP SG&amp;A" xfId="0"/>
    <cellStyle name="_PC_NB_Pocket TV_PC Products_LCD" xfId="0"/>
    <cellStyle name="_PC_NB_Pocket TV_PC Products_PJ" xfId="0"/>
    <cellStyle name="_PC_NB_Pocket TV_VSA 111014" xfId="0"/>
    <cellStyle name="_PC_NB_Pocket TV_VSA 111014 2" xfId="0"/>
    <cellStyle name="_PC_NB_Pocket TV_VSA 111014 3" xfId="0"/>
    <cellStyle name="_PC_NB_Pocket TV_VSA 111014 4" xfId="0"/>
    <cellStyle name="_PC_NB_Pocket TV_VSA 111014 4 2" xfId="0"/>
    <cellStyle name="_PC_NB_Pocket TV_VSA 111014_By Region" xfId="0"/>
    <cellStyle name="_PC_NB_Pocket TV_VSA 111014_CORP SG&amp;A" xfId="0"/>
    <cellStyle name="_PC_NB_Pocket TV_VSA 111014_LCD" xfId="0"/>
    <cellStyle name="_PC_NB_Pocket TV_VSA 111014_PJ" xfId="0"/>
    <cellStyle name="_PC_NB_Pocket TV_VSA Roll-Up (LW)" xfId="0"/>
    <cellStyle name="_PC_NB_Pocket TV_VSA Roll-Up (LW) 2" xfId="0"/>
    <cellStyle name="_PC_NB_Pocket TV_VSA Roll-Up (LW) 3" xfId="0"/>
    <cellStyle name="_PC_NB_Pocket TV_VSA Roll-Up (LW) 4" xfId="0"/>
    <cellStyle name="_PC_NB_Pocket TV_VSA Roll-Up (LW) 4 2" xfId="0"/>
    <cellStyle name="_PC_NB_Pocket TV_VSA Roll-Up (LW)_By Region" xfId="0"/>
    <cellStyle name="_PC_NB_Pocket TV_VSA Roll-Up (LW)_CORP SG&amp;A" xfId="0"/>
    <cellStyle name="_PC_NB_Pocket TV_VSA Roll-Up (LW)_LCD" xfId="0"/>
    <cellStyle name="_PC_NB_Pocket TV_VSA Roll-Up (LW)_PJ" xfId="0"/>
    <cellStyle name="_PC_NB_Pocket_TV" xfId="0"/>
    <cellStyle name="_PC_NB_Pocket_TV 2" xfId="0"/>
    <cellStyle name="_PC_NB_Pocket_TV 3" xfId="0"/>
    <cellStyle name="_PC_NB_Pocket_TV 4" xfId="0"/>
    <cellStyle name="_PC_NB_Pocket_TV_By Region" xfId="0"/>
    <cellStyle name="_PC_NB_Pocket_TV_CORP SG&amp;A" xfId="0"/>
    <cellStyle name="_PC_NB_Pocket_TV_GPS OTHER" xfId="0"/>
    <cellStyle name="_PC_NB_Pocket_TV_GPS OTHER 2" xfId="0"/>
    <cellStyle name="_PC_NB_Pocket_TV_GPS OTHER 3" xfId="0"/>
    <cellStyle name="_PC_NB_Pocket_TV_GPS OTHER 4" xfId="0"/>
    <cellStyle name="_PC_NB_Pocket_TV_GPS OTHER 4 2" xfId="0"/>
    <cellStyle name="_PC_NB_Pocket_TV_GPS OTHER_By Region" xfId="0"/>
    <cellStyle name="_PC_NB_Pocket_TV_GPS OTHER_CORP SG&amp;A" xfId="0"/>
    <cellStyle name="_PC_NB_Pocket_TV_GPS OTHER_LCD" xfId="0"/>
    <cellStyle name="_PC_NB_Pocket_TV_GPS OTHER_PJ" xfId="0"/>
    <cellStyle name="_PC_NB_Pocket_TV_LCD" xfId="0"/>
    <cellStyle name="_PC_NB_Pocket_TV_LCD 2" xfId="0"/>
    <cellStyle name="_PC_NB_Pocket_TV_LCD 3" xfId="0"/>
    <cellStyle name="_PC_NB_Pocket_TV_LCD 4" xfId="0"/>
    <cellStyle name="_PC_NB_Pocket_TV_LCD_By Region" xfId="0"/>
    <cellStyle name="_PC_NB_Pocket_TV_LCD_CORP SG&amp;A" xfId="0"/>
    <cellStyle name="_PC_NB_Pocket_TV_LCD_LCD" xfId="0"/>
    <cellStyle name="_PC_NB_Pocket_TV_LCD_PJ" xfId="0"/>
    <cellStyle name="_PC_NB_Pocket_TV_PC Products" xfId="0"/>
    <cellStyle name="_PC_NB_Pocket_TV_PC Products 2" xfId="0"/>
    <cellStyle name="_PC_NB_Pocket_TV_PC Products 3" xfId="0"/>
    <cellStyle name="_PC_NB_Pocket_TV_PC Products 4" xfId="0"/>
    <cellStyle name="_PC_NB_Pocket_TV_PC Products 4 2" xfId="0"/>
    <cellStyle name="_PC_NB_Pocket_TV_PC Products_By Region" xfId="0"/>
    <cellStyle name="_PC_NB_Pocket_TV_PC Products_CORP SG&amp;A" xfId="0"/>
    <cellStyle name="_PC_NB_Pocket_TV_PC Products_LCD" xfId="0"/>
    <cellStyle name="_PC_NB_Pocket_TV_PC Products_PJ" xfId="0"/>
    <cellStyle name="_PC_NB_Pocket_TV_VSA 111014" xfId="0"/>
    <cellStyle name="_PC_NB_Pocket_TV_VSA 111014 2" xfId="0"/>
    <cellStyle name="_PC_NB_Pocket_TV_VSA 111014 3" xfId="0"/>
    <cellStyle name="_PC_NB_Pocket_TV_VSA 111014 4" xfId="0"/>
    <cellStyle name="_PC_NB_Pocket_TV_VSA 111014 4 2" xfId="0"/>
    <cellStyle name="_PC_NB_Pocket_TV_VSA 111014_By Region" xfId="0"/>
    <cellStyle name="_PC_NB_Pocket_TV_VSA 111014_CORP SG&amp;A" xfId="0"/>
    <cellStyle name="_PC_NB_Pocket_TV_VSA 111014_LCD" xfId="0"/>
    <cellStyle name="_PC_NB_Pocket_TV_VSA 111014_PJ" xfId="0"/>
    <cellStyle name="_PC_NB_Pocket_TV_VSA Roll-Up (LW)" xfId="0"/>
    <cellStyle name="_PC_NB_Pocket_TV_VSA Roll-Up (LW) 2" xfId="0"/>
    <cellStyle name="_PC_NB_Pocket_TV_VSA Roll-Up (LW) 3" xfId="0"/>
    <cellStyle name="_PC_NB_Pocket_TV_VSA Roll-Up (LW) 4" xfId="0"/>
    <cellStyle name="_PC_NB_Pocket_TV_VSA Roll-Up (LW) 4 2" xfId="0"/>
    <cellStyle name="_PC_NB_Pocket_TV_VSA Roll-Up (LW)_By Region" xfId="0"/>
    <cellStyle name="_PC_NB_Pocket_TV_VSA Roll-Up (LW)_CORP SG&amp;A" xfId="0"/>
    <cellStyle name="_PC_NB_Pocket_TV_VSA Roll-Up (LW)_LCD" xfId="0"/>
    <cellStyle name="_PC_NB_Pocket_TV_VSA Roll-Up (LW)_PJ" xfId="0"/>
    <cellStyle name="_PC_NB_TV" xfId="0"/>
    <cellStyle name="_PC_NB_TV 2" xfId="0"/>
    <cellStyle name="_PC_NB_TV 3" xfId="0"/>
    <cellStyle name="_PC_NB_TV 4" xfId="0"/>
    <cellStyle name="_PC_NB_TV_By Region" xfId="0"/>
    <cellStyle name="_PC_NB_TV_CORP SG&amp;A" xfId="0"/>
    <cellStyle name="_PC_NB_TV_GPS OTHER" xfId="0"/>
    <cellStyle name="_PC_NB_TV_GPS OTHER 2" xfId="0"/>
    <cellStyle name="_PC_NB_TV_GPS OTHER 3" xfId="0"/>
    <cellStyle name="_PC_NB_TV_GPS OTHER 4" xfId="0"/>
    <cellStyle name="_PC_NB_TV_GPS OTHER 4 2" xfId="0"/>
    <cellStyle name="_PC_NB_TV_GPS OTHER_By Region" xfId="0"/>
    <cellStyle name="_PC_NB_TV_GPS OTHER_CORP SG&amp;A" xfId="0"/>
    <cellStyle name="_PC_NB_TV_GPS OTHER_LCD" xfId="0"/>
    <cellStyle name="_PC_NB_TV_GPS OTHER_PJ" xfId="0"/>
    <cellStyle name="_PC_NB_TV_PC Products" xfId="0"/>
    <cellStyle name="_PC_NB_TV_PC Products 2" xfId="0"/>
    <cellStyle name="_PC_NB_TV_PC Products 3" xfId="0"/>
    <cellStyle name="_PC_NB_TV_PC Products 4" xfId="0"/>
    <cellStyle name="_PC_NB_TV_PC Products 4 2" xfId="0"/>
    <cellStyle name="_PC_NB_TV_PC Products_By Region" xfId="0"/>
    <cellStyle name="_PC_NB_TV_PC Products_CORP SG&amp;A" xfId="0"/>
    <cellStyle name="_PC_NB_TV_PC Products_LCD" xfId="0"/>
    <cellStyle name="_PC_NB_TV_PC Products_PJ" xfId="0"/>
    <cellStyle name="_PC_NB_TV_VSA 111014" xfId="0"/>
    <cellStyle name="_PC_NB_TV_VSA 111014 2" xfId="0"/>
    <cellStyle name="_PC_NB_TV_VSA 111014 3" xfId="0"/>
    <cellStyle name="_PC_NB_TV_VSA 111014 4" xfId="0"/>
    <cellStyle name="_PC_NB_TV_VSA 111014 4 2" xfId="0"/>
    <cellStyle name="_PC_NB_TV_VSA 111014_By Region" xfId="0"/>
    <cellStyle name="_PC_NB_TV_VSA 111014_CORP SG&amp;A" xfId="0"/>
    <cellStyle name="_PC_NB_TV_VSA 111014_LCD" xfId="0"/>
    <cellStyle name="_PC_NB_TV_VSA 111014_PJ" xfId="0"/>
    <cellStyle name="_PC_NB_TV_VSA Roll-Up (LW)" xfId="0"/>
    <cellStyle name="_PC_NB_TV_VSA Roll-Up (LW) 2" xfId="0"/>
    <cellStyle name="_PC_NB_TV_VSA Roll-Up (LW) 3" xfId="0"/>
    <cellStyle name="_PC_NB_TV_VSA Roll-Up (LW) 4" xfId="0"/>
    <cellStyle name="_PC_NB_TV_VSA Roll-Up (LW) 4 2" xfId="0"/>
    <cellStyle name="_PC_NB_TV_VSA Roll-Up (LW)_By Region" xfId="0"/>
    <cellStyle name="_PC_NB_TV_VSA Roll-Up (LW)_CORP SG&amp;A" xfId="0"/>
    <cellStyle name="_PC_NB_TV_VSA Roll-Up (LW)_LCD" xfId="0"/>
    <cellStyle name="_PC_NB_TV_VSA Roll-Up (LW)_PJ" xfId="0"/>
    <cellStyle name="_PC_NB_VD" xfId="0"/>
    <cellStyle name="_PC_NB_VD 2" xfId="0"/>
    <cellStyle name="_PC_NB_VD 3" xfId="0"/>
    <cellStyle name="_PC_NB_VD 4" xfId="0"/>
    <cellStyle name="_PC_NB_VD_By Region" xfId="0"/>
    <cellStyle name="_PC_NB_VD_CORP SG&amp;A" xfId="0"/>
    <cellStyle name="_PC_NB_VD_GPS OTHER" xfId="0"/>
    <cellStyle name="_PC_NB_VD_GPS OTHER 2" xfId="0"/>
    <cellStyle name="_PC_NB_VD_GPS OTHER 3" xfId="0"/>
    <cellStyle name="_PC_NB_VD_GPS OTHER 4" xfId="0"/>
    <cellStyle name="_PC_NB_VD_GPS OTHER 4 2" xfId="0"/>
    <cellStyle name="_PC_NB_VD_GPS OTHER_By Region" xfId="0"/>
    <cellStyle name="_PC_NB_VD_GPS OTHER_CORP SG&amp;A" xfId="0"/>
    <cellStyle name="_PC_NB_VD_GPS OTHER_LCD" xfId="0"/>
    <cellStyle name="_PC_NB_VD_GPS OTHER_PJ" xfId="0"/>
    <cellStyle name="_PC_NB_VD_PC Products" xfId="0"/>
    <cellStyle name="_PC_NB_VD_PC Products 2" xfId="0"/>
    <cellStyle name="_PC_NB_VD_PC Products 3" xfId="0"/>
    <cellStyle name="_PC_NB_VD_PC Products 4" xfId="0"/>
    <cellStyle name="_PC_NB_VD_PC Products 4 2" xfId="0"/>
    <cellStyle name="_PC_NB_VD_PC Products_By Region" xfId="0"/>
    <cellStyle name="_PC_NB_VD_PC Products_CORP SG&amp;A" xfId="0"/>
    <cellStyle name="_PC_NB_VD_PC Products_LCD" xfId="0"/>
    <cellStyle name="_PC_NB_VD_PC Products_PJ" xfId="0"/>
    <cellStyle name="_PC_NB_VD_VSA 111014" xfId="0"/>
    <cellStyle name="_PC_NB_VD_VSA 111014 2" xfId="0"/>
    <cellStyle name="_PC_NB_VD_VSA 111014 3" xfId="0"/>
    <cellStyle name="_PC_NB_VD_VSA 111014 4" xfId="0"/>
    <cellStyle name="_PC_NB_VD_VSA 111014 4 2" xfId="0"/>
    <cellStyle name="_PC_NB_VD_VSA 111014_By Region" xfId="0"/>
    <cellStyle name="_PC_NB_VD_VSA 111014_CORP SG&amp;A" xfId="0"/>
    <cellStyle name="_PC_NB_VD_VSA 111014_LCD" xfId="0"/>
    <cellStyle name="_PC_NB_VD_VSA 111014_PJ" xfId="0"/>
    <cellStyle name="_PC_NB_VD_VSA Roll-Up (LW)" xfId="0"/>
    <cellStyle name="_PC_NB_VD_VSA Roll-Up (LW) 2" xfId="0"/>
    <cellStyle name="_PC_NB_VD_VSA Roll-Up (LW) 3" xfId="0"/>
    <cellStyle name="_PC_NB_VD_VSA Roll-Up (LW) 4" xfId="0"/>
    <cellStyle name="_PC_NB_VD_VSA Roll-Up (LW) 4 2" xfId="0"/>
    <cellStyle name="_PC_NB_VD_VSA Roll-Up (LW)_By Region" xfId="0"/>
    <cellStyle name="_PC_NB_VD_VSA Roll-Up (LW)_CORP SG&amp;A" xfId="0"/>
    <cellStyle name="_PC_NB_VD_VSA Roll-Up (LW)_LCD" xfId="0"/>
    <cellStyle name="_PC_NB_VD_VSA Roll-Up (LW)_PJ" xfId="0"/>
    <cellStyle name="_PC_NB_VSA 111014" xfId="0"/>
    <cellStyle name="_PC_NB_VSA 111014 2" xfId="0"/>
    <cellStyle name="_PC_NB_VSA 111014 3" xfId="0"/>
    <cellStyle name="_PC_NB_VSA 111014 4" xfId="0"/>
    <cellStyle name="_PC_NB_VSA 111014 4 2" xfId="0"/>
    <cellStyle name="_PC_NB_VSA 111014_By Region" xfId="0"/>
    <cellStyle name="_PC_NB_VSA 111014_CORP SG&amp;A" xfId="0"/>
    <cellStyle name="_PC_NB_VSA 111014_LCD" xfId="0"/>
    <cellStyle name="_PC_NB_VSA 111014_PJ" xfId="0"/>
    <cellStyle name="_PC_NB_VSA Roll-Up (LW)" xfId="0"/>
    <cellStyle name="_PC_NB_VSA Roll-Up (LW) 2" xfId="0"/>
    <cellStyle name="_PC_NB_VSA Roll-Up (LW) 3" xfId="0"/>
    <cellStyle name="_PC_NB_VSA Roll-Up (LW) 4" xfId="0"/>
    <cellStyle name="_PC_NB_VSA Roll-Up (LW) 4 2" xfId="0"/>
    <cellStyle name="_PC_NB_VSA Roll-Up (LW)_By Region" xfId="0"/>
    <cellStyle name="_PC_NB_VSA Roll-Up (LW)_CORP SG&amp;A" xfId="0"/>
    <cellStyle name="_PC_NB_VSA Roll-Up (LW)_LCD" xfId="0"/>
    <cellStyle name="_PC_NB_VSA Roll-Up (LW)_PJ" xfId="0"/>
    <cellStyle name="_PC_NB_VSE 2011 Budget" xfId="0"/>
    <cellStyle name="_PC_NB_VSE 2011 Budget 2" xfId="0"/>
    <cellStyle name="_PC_NB_VSE 2011 Budget 3" xfId="0"/>
    <cellStyle name="_PC_NB_VSE 2011 Budget 4" xfId="0"/>
    <cellStyle name="_PC_NB_VSE 2011 Budget_By Region" xfId="0"/>
    <cellStyle name="_PC_NB_VSE 2011 Budget_CORP SG&amp;A" xfId="0"/>
    <cellStyle name="_PC_NB_VSE 2011 Budget_GPS OTHER" xfId="0"/>
    <cellStyle name="_PC_NB_VSE 2011 Budget_GPS OTHER 2" xfId="0"/>
    <cellStyle name="_PC_NB_VSE 2011 Budget_GPS OTHER 3" xfId="0"/>
    <cellStyle name="_PC_NB_VSE 2011 Budget_GPS OTHER 4" xfId="0"/>
    <cellStyle name="_PC_NB_VSE 2011 Budget_GPS OTHER 4 2" xfId="0"/>
    <cellStyle name="_PC_NB_VSE 2011 Budget_GPS OTHER_By Region" xfId="0"/>
    <cellStyle name="_PC_NB_VSE 2011 Budget_GPS OTHER_CORP SG&amp;A" xfId="0"/>
    <cellStyle name="_PC_NB_VSE 2011 Budget_GPS OTHER_LCD" xfId="0"/>
    <cellStyle name="_PC_NB_VSE 2011 Budget_GPS OTHER_PJ" xfId="0"/>
    <cellStyle name="_PC_NB_VSE 2011 Budget_PC Products" xfId="0"/>
    <cellStyle name="_PC_NB_VSE 2011 Budget_PC Products 2" xfId="0"/>
    <cellStyle name="_PC_NB_VSE 2011 Budget_PC Products 3" xfId="0"/>
    <cellStyle name="_PC_NB_VSE 2011 Budget_PC Products 4" xfId="0"/>
    <cellStyle name="_PC_NB_VSE 2011 Budget_PC Products 4 2" xfId="0"/>
    <cellStyle name="_PC_NB_VSE 2011 Budget_PC Products_By Region" xfId="0"/>
    <cellStyle name="_PC_NB_VSE 2011 Budget_PC Products_CORP SG&amp;A" xfId="0"/>
    <cellStyle name="_PC_NB_VSE 2011 Budget_PC Products_LCD" xfId="0"/>
    <cellStyle name="_PC_NB_VSE 2011 Budget_PC Products_PJ" xfId="0"/>
    <cellStyle name="_PC_NB_VSE 2011 Budget_VSA 111014" xfId="0"/>
    <cellStyle name="_PC_NB_VSE 2011 Budget_VSA 111014 2" xfId="0"/>
    <cellStyle name="_PC_NB_VSE 2011 Budget_VSA 111014 3" xfId="0"/>
    <cellStyle name="_PC_NB_VSE 2011 Budget_VSA 111014 4" xfId="0"/>
    <cellStyle name="_PC_NB_VSE 2011 Budget_VSA 111014 4 2" xfId="0"/>
    <cellStyle name="_PC_NB_VSE 2011 Budget_VSA 111014_By Region" xfId="0"/>
    <cellStyle name="_PC_NB_VSE 2011 Budget_VSA 111014_CORP SG&amp;A" xfId="0"/>
    <cellStyle name="_PC_NB_VSE 2011 Budget_VSA 111014_LCD" xfId="0"/>
    <cellStyle name="_PC_NB_VSE 2011 Budget_VSA 111014_PJ" xfId="0"/>
    <cellStyle name="_PC_NB_VSE 2011 Budget_VSA Roll-Up (LW)" xfId="0"/>
    <cellStyle name="_PC_NB_VSE 2011 Budget_VSA Roll-Up (LW) 2" xfId="0"/>
    <cellStyle name="_PC_NB_VSE 2011 Budget_VSA Roll-Up (LW) 3" xfId="0"/>
    <cellStyle name="_PC_NB_VSE 2011 Budget_VSA Roll-Up (LW) 4" xfId="0"/>
    <cellStyle name="_PC_NB_VSE 2011 Budget_VSA Roll-Up (LW) 4 2" xfId="0"/>
    <cellStyle name="_PC_NB_VSE 2011 Budget_VSA Roll-Up (LW)_By Region" xfId="0"/>
    <cellStyle name="_PC_NB_VSE 2011 Budget_VSA Roll-Up (LW)_CORP SG&amp;A" xfId="0"/>
    <cellStyle name="_PC_NB_VSE 2011 Budget_VSA Roll-Up (LW)_LCD" xfId="0"/>
    <cellStyle name="_PC_NB_VSE 2011 Budget_VSA Roll-Up (LW)_PJ" xfId="0"/>
    <cellStyle name="_PC_NB_VSE 2H  WFP review (Spring Global meeting)-conservative Adam working v3" xfId="0"/>
    <cellStyle name="_PC_NB_VSE 2H  WFP review (Spring Global meeting)-conservative Adam working v3 2" xfId="0"/>
    <cellStyle name="_PC_NB_VSE 2H  WFP review (Spring Global meeting)-conservative Adam working v3 3" xfId="0"/>
    <cellStyle name="_PC_NB_VSE 2H Rebalance 110712" xfId="0"/>
    <cellStyle name="_PC_NB_VSE 2H Rebalance 110712 2" xfId="0"/>
    <cellStyle name="_PC_NB_VSE 2H Rebalance 110712 3" xfId="0"/>
    <cellStyle name="_PC_NB_VSE 2H Rebalance 110712 4" xfId="0"/>
    <cellStyle name="_PC_NB_VSE 2H Rebalance 110712_By Region" xfId="0"/>
    <cellStyle name="_PC_NB_VSE 2H Rebalance 110712_CORP SG&amp;A" xfId="0"/>
    <cellStyle name="_PC_NB_VSE WFP 101203" xfId="0"/>
    <cellStyle name="_PC_NB_VSE WFP 101203 2" xfId="0"/>
    <cellStyle name="_PC_NB_VSE WFP 101203 3" xfId="0"/>
    <cellStyle name="_PC_NB_VSE WFP 101203 4" xfId="0"/>
    <cellStyle name="_PC_NB_VSE WFP 101203_By Region" xfId="0"/>
    <cellStyle name="_PC_NB_VSE WFP 101203_CORP SG&amp;A" xfId="0"/>
    <cellStyle name="_PC_NB_VSE WFP 110311" xfId="0"/>
    <cellStyle name="_PC_NB_VSE WFP 110311 2" xfId="0"/>
    <cellStyle name="_PC_NB_VSE WFP 110311 3" xfId="0"/>
    <cellStyle name="_PC_NB_VSE WFP 110311 4" xfId="0"/>
    <cellStyle name="_PC_NB_VSE WFP 110311_By Region" xfId="0"/>
    <cellStyle name="_PC_NB_VSE WFP 110311_CORP SG&amp;A" xfId="0"/>
    <cellStyle name="_PC_NB_VSE WFP 110415" xfId="0"/>
    <cellStyle name="_PC_NB_VSE WFP 110415 2" xfId="0"/>
    <cellStyle name="_PC_NB_VSE WFP 110415 3" xfId="0"/>
    <cellStyle name="_PC_NB_VSE WFP 110415 4" xfId="0"/>
    <cellStyle name="_PC_NB_VSE WFP 110415_By Region" xfId="0"/>
    <cellStyle name="_PC_NB_VSE WFP 110415_CORP SG&amp;A" xfId="0"/>
    <cellStyle name="_PC_NB_VSE WFP_100409" xfId="0"/>
    <cellStyle name="_PC_NB_VSE WFP_100409 2" xfId="0"/>
    <cellStyle name="_PC_NB_VSE WFP_100409 3" xfId="0"/>
    <cellStyle name="_PC_NB_VSE WFP_100409 4" xfId="0"/>
    <cellStyle name="_PC_NB_VSE WFP_100409_By Region" xfId="0"/>
    <cellStyle name="_PC_NB_VSE WFP_100409_CORP SG&amp;A" xfId="0"/>
    <cellStyle name="_PC_NB_VSE WFP_100409_GPS OTHER" xfId="0"/>
    <cellStyle name="_PC_NB_VSE WFP_100409_GPS OTHER 2" xfId="0"/>
    <cellStyle name="_PC_NB_VSE WFP_100409_GPS OTHER 3" xfId="0"/>
    <cellStyle name="_PC_NB_VSE WFP_100409_GPS OTHER 4" xfId="0"/>
    <cellStyle name="_PC_NB_VSE WFP_100409_GPS OTHER 4 2" xfId="0"/>
    <cellStyle name="_PC_NB_VSE WFP_100409_GPS OTHER_By Region" xfId="0"/>
    <cellStyle name="_PC_NB_VSE WFP_100409_GPS OTHER_CORP SG&amp;A" xfId="0"/>
    <cellStyle name="_PC_NB_VSE WFP_100409_GPS OTHER_LCD" xfId="0"/>
    <cellStyle name="_PC_NB_VSE WFP_100409_GPS OTHER_PJ" xfId="0"/>
    <cellStyle name="_PC_NB_VSE WFP_100409_PC Products" xfId="0"/>
    <cellStyle name="_PC_NB_VSE WFP_100409_PC Products 2" xfId="0"/>
    <cellStyle name="_PC_NB_VSE WFP_100409_PC Products 3" xfId="0"/>
    <cellStyle name="_PC_NB_VSE WFP_100409_PC Products 4" xfId="0"/>
    <cellStyle name="_PC_NB_VSE WFP_100409_PC Products 4 2" xfId="0"/>
    <cellStyle name="_PC_NB_VSE WFP_100409_PC Products_By Region" xfId="0"/>
    <cellStyle name="_PC_NB_VSE WFP_100409_PC Products_CORP SG&amp;A" xfId="0"/>
    <cellStyle name="_PC_NB_VSE WFP_100409_PC Products_LCD" xfId="0"/>
    <cellStyle name="_PC_NB_VSE WFP_100409_PC Products_PJ" xfId="0"/>
    <cellStyle name="_PC_NB_VSE WFP_100409_VSA 111014" xfId="0"/>
    <cellStyle name="_PC_NB_VSE WFP_100409_VSA 111014 2" xfId="0"/>
    <cellStyle name="_PC_NB_VSE WFP_100409_VSA 111014 3" xfId="0"/>
    <cellStyle name="_PC_NB_VSE WFP_100409_VSA 111014 4" xfId="0"/>
    <cellStyle name="_PC_NB_VSE WFP_100409_VSA 111014 4 2" xfId="0"/>
    <cellStyle name="_PC_NB_VSE WFP_100409_VSA 111014_By Region" xfId="0"/>
    <cellStyle name="_PC_NB_VSE WFP_100409_VSA 111014_CORP SG&amp;A" xfId="0"/>
    <cellStyle name="_PC_NB_VSE WFP_100409_VSA 111014_LCD" xfId="0"/>
    <cellStyle name="_PC_NB_VSE WFP_100409_VSA 111014_PJ" xfId="0"/>
    <cellStyle name="_PC_NB_VSE WFP_100409_VSA Roll-Up (LW)" xfId="0"/>
    <cellStyle name="_PC_NB_VSE WFP_100409_VSA Roll-Up (LW) 2" xfId="0"/>
    <cellStyle name="_PC_NB_VSE WFP_100409_VSA Roll-Up (LW) 3" xfId="0"/>
    <cellStyle name="_PC_NB_VSE WFP_100409_VSA Roll-Up (LW) 4" xfId="0"/>
    <cellStyle name="_PC_NB_VSE WFP_100409_VSA Roll-Up (LW) 4 2" xfId="0"/>
    <cellStyle name="_PC_NB_VSE WFP_100409_VSA Roll-Up (LW)_By Region" xfId="0"/>
    <cellStyle name="_PC_NB_VSE WFP_100409_VSA Roll-Up (LW)_CORP SG&amp;A" xfId="0"/>
    <cellStyle name="_PC_NB_VSE WFP_100409_VSA Roll-Up (LW)_LCD" xfId="0"/>
    <cellStyle name="_PC_NB_VSE WFP_100409_VSA Roll-Up (LW)_PJ" xfId="0"/>
    <cellStyle name="_PC_NB_VSE WFP_100421 v2" xfId="0"/>
    <cellStyle name="_PC_NB_VSE WFP_100421 v2 2" xfId="0"/>
    <cellStyle name="_PC_NB_VSE WFP_100421 v2 3" xfId="0"/>
    <cellStyle name="_PC_NB_VSE WFP_100421 v2 4" xfId="0"/>
    <cellStyle name="_PC_NB_VSE WFP_100421 v2_By Region" xfId="0"/>
    <cellStyle name="_PC_NB_VSE WFP_100421 v2_CORP SG&amp;A" xfId="0"/>
    <cellStyle name="_PC_NB_VSE WFP_100421 v2_GPS OTHER" xfId="0"/>
    <cellStyle name="_PC_NB_VSE WFP_100421 v2_GPS OTHER 2" xfId="0"/>
    <cellStyle name="_PC_NB_VSE WFP_100421 v2_GPS OTHER 3" xfId="0"/>
    <cellStyle name="_PC_NB_VSE WFP_100421 v2_GPS OTHER 4" xfId="0"/>
    <cellStyle name="_PC_NB_VSE WFP_100421 v2_GPS OTHER 4 2" xfId="0"/>
    <cellStyle name="_PC_NB_VSE WFP_100421 v2_GPS OTHER_By Region" xfId="0"/>
    <cellStyle name="_PC_NB_VSE WFP_100421 v2_GPS OTHER_CORP SG&amp;A" xfId="0"/>
    <cellStyle name="_PC_NB_VSE WFP_100421 v2_GPS OTHER_LCD" xfId="0"/>
    <cellStyle name="_PC_NB_VSE WFP_100421 v2_GPS OTHER_PJ" xfId="0"/>
    <cellStyle name="_PC_NB_VSE WFP_100421 v2_PC Products" xfId="0"/>
    <cellStyle name="_PC_NB_VSE WFP_100421 v2_PC Products 2" xfId="0"/>
    <cellStyle name="_PC_NB_VSE WFP_100421 v2_PC Products 3" xfId="0"/>
    <cellStyle name="_PC_NB_VSE WFP_100421 v2_PC Products 4" xfId="0"/>
    <cellStyle name="_PC_NB_VSE WFP_100421 v2_PC Products 4 2" xfId="0"/>
    <cellStyle name="_PC_NB_VSE WFP_100421 v2_PC Products_By Region" xfId="0"/>
    <cellStyle name="_PC_NB_VSE WFP_100421 v2_PC Products_CORP SG&amp;A" xfId="0"/>
    <cellStyle name="_PC_NB_VSE WFP_100421 v2_PC Products_LCD" xfId="0"/>
    <cellStyle name="_PC_NB_VSE WFP_100421 v2_PC Products_PJ" xfId="0"/>
    <cellStyle name="_PC_NB_VSE WFP_100421 v2_VSA 111014" xfId="0"/>
    <cellStyle name="_PC_NB_VSE WFP_100421 v2_VSA 111014 2" xfId="0"/>
    <cellStyle name="_PC_NB_VSE WFP_100421 v2_VSA 111014 3" xfId="0"/>
    <cellStyle name="_PC_NB_VSE WFP_100421 v2_VSA 111014 4" xfId="0"/>
    <cellStyle name="_PC_NB_VSE WFP_100421 v2_VSA 111014 4 2" xfId="0"/>
    <cellStyle name="_PC_NB_VSE WFP_100421 v2_VSA 111014_By Region" xfId="0"/>
    <cellStyle name="_PC_NB_VSE WFP_100421 v2_VSA 111014_CORP SG&amp;A" xfId="0"/>
    <cellStyle name="_PC_NB_VSE WFP_100421 v2_VSA 111014_LCD" xfId="0"/>
    <cellStyle name="_PC_NB_VSE WFP_100421 v2_VSA 111014_PJ" xfId="0"/>
    <cellStyle name="_PC_NB_VSE WFP_100421 v2_VSA Roll-Up (LW)" xfId="0"/>
    <cellStyle name="_PC_NB_VSE WFP_100421 v2_VSA Roll-Up (LW) 2" xfId="0"/>
    <cellStyle name="_PC_NB_VSE WFP_100421 v2_VSA Roll-Up (LW) 3" xfId="0"/>
    <cellStyle name="_PC_NB_VSE WFP_100421 v2_VSA Roll-Up (LW) 4" xfId="0"/>
    <cellStyle name="_PC_NB_VSE WFP_100421 v2_VSA Roll-Up (LW) 4 2" xfId="0"/>
    <cellStyle name="_PC_NB_VSE WFP_100421 v2_VSA Roll-Up (LW)_By Region" xfId="0"/>
    <cellStyle name="_PC_NB_VSE WFP_100421 v2_VSA Roll-Up (LW)_CORP SG&amp;A" xfId="0"/>
    <cellStyle name="_PC_NB_VSE WFP_100421 v2_VSA Roll-Up (LW)_LCD" xfId="0"/>
    <cellStyle name="_PC_NB_VSE WFP_100421 v2_VSA Roll-Up (LW)_PJ" xfId="0"/>
    <cellStyle name="_PC_NB_VSE WFP_100507" xfId="0"/>
    <cellStyle name="_PC_NB_VSE WFP_100507 2" xfId="0"/>
    <cellStyle name="_PC_NB_VSE WFP_100507 3" xfId="0"/>
    <cellStyle name="_PC_NB_VSE WFP_100507 4" xfId="0"/>
    <cellStyle name="_PC_NB_VSE WFP_100507_By Region" xfId="0"/>
    <cellStyle name="_PC_NB_VSE WFP_100507_CORP SG&amp;A" xfId="0"/>
    <cellStyle name="_PC_NB_VSE WFP_100507_GPS OTHER" xfId="0"/>
    <cellStyle name="_PC_NB_VSE WFP_100507_GPS OTHER 2" xfId="0"/>
    <cellStyle name="_PC_NB_VSE WFP_100507_GPS OTHER 3" xfId="0"/>
    <cellStyle name="_PC_NB_VSE WFP_100507_GPS OTHER 4" xfId="0"/>
    <cellStyle name="_PC_NB_VSE WFP_100507_GPS OTHER 4 2" xfId="0"/>
    <cellStyle name="_PC_NB_VSE WFP_100507_GPS OTHER_By Region" xfId="0"/>
    <cellStyle name="_PC_NB_VSE WFP_100507_GPS OTHER_CORP SG&amp;A" xfId="0"/>
    <cellStyle name="_PC_NB_VSE WFP_100507_GPS OTHER_LCD" xfId="0"/>
    <cellStyle name="_PC_NB_VSE WFP_100507_GPS OTHER_PJ" xfId="0"/>
    <cellStyle name="_PC_NB_VSE WFP_100507_PC Products" xfId="0"/>
    <cellStyle name="_PC_NB_VSE WFP_100507_PC Products 2" xfId="0"/>
    <cellStyle name="_PC_NB_VSE WFP_100507_PC Products 3" xfId="0"/>
    <cellStyle name="_PC_NB_VSE WFP_100507_PC Products 4" xfId="0"/>
    <cellStyle name="_PC_NB_VSE WFP_100507_PC Products 4 2" xfId="0"/>
    <cellStyle name="_PC_NB_VSE WFP_100507_PC Products_By Region" xfId="0"/>
    <cellStyle name="_PC_NB_VSE WFP_100507_PC Products_CORP SG&amp;A" xfId="0"/>
    <cellStyle name="_PC_NB_VSE WFP_100507_PC Products_LCD" xfId="0"/>
    <cellStyle name="_PC_NB_VSE WFP_100507_PC Products_PJ" xfId="0"/>
    <cellStyle name="_PC_NB_VSE WFP_100507_VSA 111014" xfId="0"/>
    <cellStyle name="_PC_NB_VSE WFP_100507_VSA 111014 2" xfId="0"/>
    <cellStyle name="_PC_NB_VSE WFP_100507_VSA 111014 3" xfId="0"/>
    <cellStyle name="_PC_NB_VSE WFP_100507_VSA 111014 4" xfId="0"/>
    <cellStyle name="_PC_NB_VSE WFP_100507_VSA 111014 4 2" xfId="0"/>
    <cellStyle name="_PC_NB_VSE WFP_100507_VSA 111014_By Region" xfId="0"/>
    <cellStyle name="_PC_NB_VSE WFP_100507_VSA 111014_CORP SG&amp;A" xfId="0"/>
    <cellStyle name="_PC_NB_VSE WFP_100507_VSA 111014_LCD" xfId="0"/>
    <cellStyle name="_PC_NB_VSE WFP_100507_VSA 111014_PJ" xfId="0"/>
    <cellStyle name="_PC_NB_VSE WFP_100507_VSA Roll-Up (LW)" xfId="0"/>
    <cellStyle name="_PC_NB_VSE WFP_100507_VSA Roll-Up (LW) 2" xfId="0"/>
    <cellStyle name="_PC_NB_VSE WFP_100507_VSA Roll-Up (LW) 3" xfId="0"/>
    <cellStyle name="_PC_NB_VSE WFP_100507_VSA Roll-Up (LW) 4" xfId="0"/>
    <cellStyle name="_PC_NB_VSE WFP_100507_VSA Roll-Up (LW) 4 2" xfId="0"/>
    <cellStyle name="_PC_NB_VSE WFP_100507_VSA Roll-Up (LW)_By Region" xfId="0"/>
    <cellStyle name="_PC_NB_VSE WFP_100507_VSA Roll-Up (LW)_CORP SG&amp;A" xfId="0"/>
    <cellStyle name="_PC_NB_VSE WFP_100507_VSA Roll-Up (LW)_LCD" xfId="0"/>
    <cellStyle name="_PC_NB_VSE WFP_100507_VSA Roll-Up (LW)_PJ" xfId="0"/>
    <cellStyle name="_PC_NB_VSE WFP_100608" xfId="0"/>
    <cellStyle name="_PC_NB_VSE WFP_100608 2" xfId="0"/>
    <cellStyle name="_PC_NB_VSE WFP_100608 3" xfId="0"/>
    <cellStyle name="_PC_NB_VSE WFP_100608 4" xfId="0"/>
    <cellStyle name="_PC_NB_VSE WFP_100608_By Region" xfId="0"/>
    <cellStyle name="_PC_NB_VSE WFP_100608_CORP SG&amp;A" xfId="0"/>
    <cellStyle name="_PC_NB_VSE WFP_100608_GPS OTHER" xfId="0"/>
    <cellStyle name="_PC_NB_VSE WFP_100608_GPS OTHER 2" xfId="0"/>
    <cellStyle name="_PC_NB_VSE WFP_100608_GPS OTHER 3" xfId="0"/>
    <cellStyle name="_PC_NB_VSE WFP_100608_GPS OTHER 4" xfId="0"/>
    <cellStyle name="_PC_NB_VSE WFP_100608_GPS OTHER 4 2" xfId="0"/>
    <cellStyle name="_PC_NB_VSE WFP_100608_GPS OTHER_By Region" xfId="0"/>
    <cellStyle name="_PC_NB_VSE WFP_100608_GPS OTHER_CORP SG&amp;A" xfId="0"/>
    <cellStyle name="_PC_NB_VSE WFP_100608_GPS OTHER_LCD" xfId="0"/>
    <cellStyle name="_PC_NB_VSE WFP_100608_GPS OTHER_PJ" xfId="0"/>
    <cellStyle name="_PC_NB_VSE WFP_100608_PC Products" xfId="0"/>
    <cellStyle name="_PC_NB_VSE WFP_100608_PC Products 2" xfId="0"/>
    <cellStyle name="_PC_NB_VSE WFP_100608_PC Products 3" xfId="0"/>
    <cellStyle name="_PC_NB_VSE WFP_100608_PC Products 4" xfId="0"/>
    <cellStyle name="_PC_NB_VSE WFP_100608_PC Products 4 2" xfId="0"/>
    <cellStyle name="_PC_NB_VSE WFP_100608_PC Products_By Region" xfId="0"/>
    <cellStyle name="_PC_NB_VSE WFP_100608_PC Products_CORP SG&amp;A" xfId="0"/>
    <cellStyle name="_PC_NB_VSE WFP_100608_PC Products_LCD" xfId="0"/>
    <cellStyle name="_PC_NB_VSE WFP_100608_PC Products_PJ" xfId="0"/>
    <cellStyle name="_PC_NB_VSE WFP_100608_VSA 111014" xfId="0"/>
    <cellStyle name="_PC_NB_VSE WFP_100608_VSA 111014 2" xfId="0"/>
    <cellStyle name="_PC_NB_VSE WFP_100608_VSA 111014 3" xfId="0"/>
    <cellStyle name="_PC_NB_VSE WFP_100608_VSA 111014 4" xfId="0"/>
    <cellStyle name="_PC_NB_VSE WFP_100608_VSA 111014 4 2" xfId="0"/>
    <cellStyle name="_PC_NB_VSE WFP_100608_VSA 111014_By Region" xfId="0"/>
    <cellStyle name="_PC_NB_VSE WFP_100608_VSA 111014_CORP SG&amp;A" xfId="0"/>
    <cellStyle name="_PC_NB_VSE WFP_100608_VSA 111014_LCD" xfId="0"/>
    <cellStyle name="_PC_NB_VSE WFP_100608_VSA 111014_PJ" xfId="0"/>
    <cellStyle name="_PC_NB_VSE WFP_100608_VSA Roll-Up (LW)" xfId="0"/>
    <cellStyle name="_PC_NB_VSE WFP_100608_VSA Roll-Up (LW) 2" xfId="0"/>
    <cellStyle name="_PC_NB_VSE WFP_100608_VSA Roll-Up (LW) 3" xfId="0"/>
    <cellStyle name="_PC_NB_VSE WFP_100608_VSA Roll-Up (LW) 4" xfId="0"/>
    <cellStyle name="_PC_NB_VSE WFP_100608_VSA Roll-Up (LW) 4 2" xfId="0"/>
    <cellStyle name="_PC_NB_VSE WFP_100608_VSA Roll-Up (LW)_By Region" xfId="0"/>
    <cellStyle name="_PC_NB_VSE WFP_100608_VSA Roll-Up (LW)_CORP SG&amp;A" xfId="0"/>
    <cellStyle name="_PC_NB_VSE WFP_100608_VSA Roll-Up (LW)_LCD" xfId="0"/>
    <cellStyle name="_PC_NB_VSE WFP_100608_VSA Roll-Up (LW)_PJ" xfId="0"/>
    <cellStyle name="_PC_NB_VSE WFP_100625" xfId="0"/>
    <cellStyle name="_PC_NB_VSE WFP_100625 2" xfId="0"/>
    <cellStyle name="_PC_NB_VSE WFP_100625 3" xfId="0"/>
    <cellStyle name="_PC_NB_VSE WFP_100625 4" xfId="0"/>
    <cellStyle name="_PC_NB_VSE WFP_100625_By Region" xfId="0"/>
    <cellStyle name="_PC_NB_VSE WFP_100625_CORP SG&amp;A" xfId="0"/>
    <cellStyle name="_PC_NB_VSE WFP_100625_GPS OTHER" xfId="0"/>
    <cellStyle name="_PC_NB_VSE WFP_100625_GPS OTHER 2" xfId="0"/>
    <cellStyle name="_PC_NB_VSE WFP_100625_GPS OTHER 3" xfId="0"/>
    <cellStyle name="_PC_NB_VSE WFP_100625_GPS OTHER 4" xfId="0"/>
    <cellStyle name="_PC_NB_VSE WFP_100625_GPS OTHER 4 2" xfId="0"/>
    <cellStyle name="_PC_NB_VSE WFP_100625_GPS OTHER_By Region" xfId="0"/>
    <cellStyle name="_PC_NB_VSE WFP_100625_GPS OTHER_CORP SG&amp;A" xfId="0"/>
    <cellStyle name="_PC_NB_VSE WFP_100625_GPS OTHER_LCD" xfId="0"/>
    <cellStyle name="_PC_NB_VSE WFP_100625_GPS OTHER_PJ" xfId="0"/>
    <cellStyle name="_PC_NB_VSE WFP_100625_PC Products" xfId="0"/>
    <cellStyle name="_PC_NB_VSE WFP_100625_PC Products 2" xfId="0"/>
    <cellStyle name="_PC_NB_VSE WFP_100625_PC Products 3" xfId="0"/>
    <cellStyle name="_PC_NB_VSE WFP_100625_PC Products 4" xfId="0"/>
    <cellStyle name="_PC_NB_VSE WFP_100625_PC Products 4 2" xfId="0"/>
    <cellStyle name="_PC_NB_VSE WFP_100625_PC Products_By Region" xfId="0"/>
    <cellStyle name="_PC_NB_VSE WFP_100625_PC Products_CORP SG&amp;A" xfId="0"/>
    <cellStyle name="_PC_NB_VSE WFP_100625_PC Products_LCD" xfId="0"/>
    <cellStyle name="_PC_NB_VSE WFP_100625_PC Products_PJ" xfId="0"/>
    <cellStyle name="_PC_NB_VSE WFP_100625_VSA 111014" xfId="0"/>
    <cellStyle name="_PC_NB_VSE WFP_100625_VSA 111014 2" xfId="0"/>
    <cellStyle name="_PC_NB_VSE WFP_100625_VSA 111014 3" xfId="0"/>
    <cellStyle name="_PC_NB_VSE WFP_100625_VSA 111014 4" xfId="0"/>
    <cellStyle name="_PC_NB_VSE WFP_100625_VSA 111014 4 2" xfId="0"/>
    <cellStyle name="_PC_NB_VSE WFP_100625_VSA 111014_By Region" xfId="0"/>
    <cellStyle name="_PC_NB_VSE WFP_100625_VSA 111014_CORP SG&amp;A" xfId="0"/>
    <cellStyle name="_PC_NB_VSE WFP_100625_VSA 111014_LCD" xfId="0"/>
    <cellStyle name="_PC_NB_VSE WFP_100625_VSA 111014_PJ" xfId="0"/>
    <cellStyle name="_PC_NB_VSE WFP_100625_VSA Roll-Up (LW)" xfId="0"/>
    <cellStyle name="_PC_NB_VSE WFP_100625_VSA Roll-Up (LW) 2" xfId="0"/>
    <cellStyle name="_PC_NB_VSE WFP_100625_VSA Roll-Up (LW) 3" xfId="0"/>
    <cellStyle name="_PC_NB_VSE WFP_100625_VSA Roll-Up (LW) 4" xfId="0"/>
    <cellStyle name="_PC_NB_VSE WFP_100625_VSA Roll-Up (LW) 4 2" xfId="0"/>
    <cellStyle name="_PC_NB_VSE WFP_100625_VSA Roll-Up (LW)_By Region" xfId="0"/>
    <cellStyle name="_PC_NB_VSE WFP_100625_VSA Roll-Up (LW)_CORP SG&amp;A" xfId="0"/>
    <cellStyle name="_PC_NB_VSE WFP_100625_VSA Roll-Up (LW)_LCD" xfId="0"/>
    <cellStyle name="_PC_NB_VSE WFP_100625_VSA Roll-Up (LW)_PJ" xfId="0"/>
    <cellStyle name="_PC_NB_VSE WFP_100708_3rd" xfId="0"/>
    <cellStyle name="_PC_NB_VSE WFP_100708_3rd 2" xfId="0"/>
    <cellStyle name="_PC_NB_VSE WFP_100708_3rd 3" xfId="0"/>
    <cellStyle name="_PC_NB_VSE WFP_100708_3rd 4" xfId="0"/>
    <cellStyle name="_PC_NB_VSE WFP_100708_3rd_By Region" xfId="0"/>
    <cellStyle name="_PC_NB_VSE WFP_100708_3rd_CORP SG&amp;A" xfId="0"/>
    <cellStyle name="_PC_NB_VSE WFP_100708_3rd_GPS OTHER" xfId="0"/>
    <cellStyle name="_PC_NB_VSE WFP_100708_3rd_GPS OTHER 2" xfId="0"/>
    <cellStyle name="_PC_NB_VSE WFP_100708_3rd_GPS OTHER 3" xfId="0"/>
    <cellStyle name="_PC_NB_VSE WFP_100708_3rd_GPS OTHER 4" xfId="0"/>
    <cellStyle name="_PC_NB_VSE WFP_100708_3rd_GPS OTHER 4 2" xfId="0"/>
    <cellStyle name="_PC_NB_VSE WFP_100708_3rd_GPS OTHER_By Region" xfId="0"/>
    <cellStyle name="_PC_NB_VSE WFP_100708_3rd_GPS OTHER_CORP SG&amp;A" xfId="0"/>
    <cellStyle name="_PC_NB_VSE WFP_100708_3rd_GPS OTHER_LCD" xfId="0"/>
    <cellStyle name="_PC_NB_VSE WFP_100708_3rd_GPS OTHER_PJ" xfId="0"/>
    <cellStyle name="_PC_NB_VSE WFP_100708_3rd_PC Products" xfId="0"/>
    <cellStyle name="_PC_NB_VSE WFP_100708_3rd_PC Products 2" xfId="0"/>
    <cellStyle name="_PC_NB_VSE WFP_100708_3rd_PC Products 3" xfId="0"/>
    <cellStyle name="_PC_NB_VSE WFP_100708_3rd_PC Products 4" xfId="0"/>
    <cellStyle name="_PC_NB_VSE WFP_100708_3rd_PC Products 4 2" xfId="0"/>
    <cellStyle name="_PC_NB_VSE WFP_100708_3rd_PC Products_By Region" xfId="0"/>
    <cellStyle name="_PC_NB_VSE WFP_100708_3rd_PC Products_CORP SG&amp;A" xfId="0"/>
    <cellStyle name="_PC_NB_VSE WFP_100708_3rd_PC Products_LCD" xfId="0"/>
    <cellStyle name="_PC_NB_VSE WFP_100708_3rd_PC Products_PJ" xfId="0"/>
    <cellStyle name="_PC_NB_VSE WFP_100708_3rd_VSA 111014" xfId="0"/>
    <cellStyle name="_PC_NB_VSE WFP_100708_3rd_VSA 111014 2" xfId="0"/>
    <cellStyle name="_PC_NB_VSE WFP_100708_3rd_VSA 111014 3" xfId="0"/>
    <cellStyle name="_PC_NB_VSE WFP_100708_3rd_VSA 111014 4" xfId="0"/>
    <cellStyle name="_PC_NB_VSE WFP_100708_3rd_VSA 111014 4 2" xfId="0"/>
    <cellStyle name="_PC_NB_VSE WFP_100708_3rd_VSA 111014_By Region" xfId="0"/>
    <cellStyle name="_PC_NB_VSE WFP_100708_3rd_VSA 111014_CORP SG&amp;A" xfId="0"/>
    <cellStyle name="_PC_NB_VSE WFP_100708_3rd_VSA 111014_LCD" xfId="0"/>
    <cellStyle name="_PC_NB_VSE WFP_100708_3rd_VSA 111014_PJ" xfId="0"/>
    <cellStyle name="_PC_NB_VSE WFP_100708_3rd_VSA Roll-Up (LW)" xfId="0"/>
    <cellStyle name="_PC_NB_VSE WFP_100708_3rd_VSA Roll-Up (LW) 2" xfId="0"/>
    <cellStyle name="_PC_NB_VSE WFP_100708_3rd_VSA Roll-Up (LW) 3" xfId="0"/>
    <cellStyle name="_PC_NB_VSE WFP_100708_3rd_VSA Roll-Up (LW) 4" xfId="0"/>
    <cellStyle name="_PC_NB_VSE WFP_100708_3rd_VSA Roll-Up (LW) 4 2" xfId="0"/>
    <cellStyle name="_PC_NB_VSE WFP_100708_3rd_VSA Roll-Up (LW)_By Region" xfId="0"/>
    <cellStyle name="_PC_NB_VSE WFP_100708_3rd_VSA Roll-Up (LW)_CORP SG&amp;A" xfId="0"/>
    <cellStyle name="_PC_NB_VSE WFP_100708_3rd_VSA Roll-Up (LW)_LCD" xfId="0"/>
    <cellStyle name="_PC_NB_VSE WFP_100708_3rd_VSA Roll-Up (LW)_PJ" xfId="0"/>
    <cellStyle name="_PC_NB_VSE WFP_100726" xfId="0"/>
    <cellStyle name="_PC_NB_VSE WFP_100726 2" xfId="0"/>
    <cellStyle name="_PC_NB_VSE WFP_100726 3" xfId="0"/>
    <cellStyle name="_PC_NB_VSE WFP_100726 4" xfId="0"/>
    <cellStyle name="_PC_NB_VSE WFP_100726-1" xfId="0"/>
    <cellStyle name="_PC_NB_VSE WFP_100726-1 2" xfId="0"/>
    <cellStyle name="_PC_NB_VSE WFP_100726-1 3" xfId="0"/>
    <cellStyle name="_PC_NB_VSE WFP_100726-1 4" xfId="0"/>
    <cellStyle name="_PC_NB_VSE WFP_100726-1_By Region" xfId="0"/>
    <cellStyle name="_PC_NB_VSE WFP_100726-1_CORP SG&amp;A" xfId="0"/>
    <cellStyle name="_PC_NB_VSE WFP_100726-1_GPS OTHER" xfId="0"/>
    <cellStyle name="_PC_NB_VSE WFP_100726-1_GPS OTHER 2" xfId="0"/>
    <cellStyle name="_PC_NB_VSE WFP_100726-1_GPS OTHER 3" xfId="0"/>
    <cellStyle name="_PC_NB_VSE WFP_100726-1_GPS OTHER 4" xfId="0"/>
    <cellStyle name="_PC_NB_VSE WFP_100726-1_GPS OTHER 4 2" xfId="0"/>
    <cellStyle name="_PC_NB_VSE WFP_100726-1_GPS OTHER_By Region" xfId="0"/>
    <cellStyle name="_PC_NB_VSE WFP_100726-1_GPS OTHER_CORP SG&amp;A" xfId="0"/>
    <cellStyle name="_PC_NB_VSE WFP_100726-1_GPS OTHER_LCD" xfId="0"/>
    <cellStyle name="_PC_NB_VSE WFP_100726-1_GPS OTHER_PJ" xfId="0"/>
    <cellStyle name="_PC_NB_VSE WFP_100726-1_PC Products" xfId="0"/>
    <cellStyle name="_PC_NB_VSE WFP_100726-1_PC Products 2" xfId="0"/>
    <cellStyle name="_PC_NB_VSE WFP_100726-1_PC Products 3" xfId="0"/>
    <cellStyle name="_PC_NB_VSE WFP_100726-1_PC Products 4" xfId="0"/>
    <cellStyle name="_PC_NB_VSE WFP_100726-1_PC Products 4 2" xfId="0"/>
    <cellStyle name="_PC_NB_VSE WFP_100726-1_PC Products_By Region" xfId="0"/>
    <cellStyle name="_PC_NB_VSE WFP_100726-1_PC Products_CORP SG&amp;A" xfId="0"/>
    <cellStyle name="_PC_NB_VSE WFP_100726-1_PC Products_LCD" xfId="0"/>
    <cellStyle name="_PC_NB_VSE WFP_100726-1_PC Products_PJ" xfId="0"/>
    <cellStyle name="_PC_NB_VSE WFP_100726-1_VSA 111014" xfId="0"/>
    <cellStyle name="_PC_NB_VSE WFP_100726-1_VSA 111014 2" xfId="0"/>
    <cellStyle name="_PC_NB_VSE WFP_100726-1_VSA 111014 3" xfId="0"/>
    <cellStyle name="_PC_NB_VSE WFP_100726-1_VSA 111014 4" xfId="0"/>
    <cellStyle name="_PC_NB_VSE WFP_100726-1_VSA 111014 4 2" xfId="0"/>
    <cellStyle name="_PC_NB_VSE WFP_100726-1_VSA 111014_By Region" xfId="0"/>
    <cellStyle name="_PC_NB_VSE WFP_100726-1_VSA 111014_CORP SG&amp;A" xfId="0"/>
    <cellStyle name="_PC_NB_VSE WFP_100726-1_VSA 111014_LCD" xfId="0"/>
    <cellStyle name="_PC_NB_VSE WFP_100726-1_VSA 111014_PJ" xfId="0"/>
    <cellStyle name="_PC_NB_VSE WFP_100726-1_VSA Roll-Up (LW)" xfId="0"/>
    <cellStyle name="_PC_NB_VSE WFP_100726-1_VSA Roll-Up (LW) 2" xfId="0"/>
    <cellStyle name="_PC_NB_VSE WFP_100726-1_VSA Roll-Up (LW) 3" xfId="0"/>
    <cellStyle name="_PC_NB_VSE WFP_100726-1_VSA Roll-Up (LW) 4" xfId="0"/>
    <cellStyle name="_PC_NB_VSE WFP_100726-1_VSA Roll-Up (LW) 4 2" xfId="0"/>
    <cellStyle name="_PC_NB_VSE WFP_100726-1_VSA Roll-Up (LW)_By Region" xfId="0"/>
    <cellStyle name="_PC_NB_VSE WFP_100726-1_VSA Roll-Up (LW)_CORP SG&amp;A" xfId="0"/>
    <cellStyle name="_PC_NB_VSE WFP_100726-1_VSA Roll-Up (LW)_LCD" xfId="0"/>
    <cellStyle name="_PC_NB_VSE WFP_100726-1_VSA Roll-Up (LW)_PJ" xfId="0"/>
    <cellStyle name="_PC_NB_VSE WFP_100726-2-yc" xfId="0"/>
    <cellStyle name="_PC_NB_VSE WFP_100726-2-yc 2" xfId="0"/>
    <cellStyle name="_PC_NB_VSE WFP_100726-2-yc 3" xfId="0"/>
    <cellStyle name="_PC_NB_VSE WFP_100726-2-yc 4" xfId="0"/>
    <cellStyle name="_PC_NB_VSE WFP_100726-2-yc_By Region" xfId="0"/>
    <cellStyle name="_PC_NB_VSE WFP_100726-2-yc_CORP SG&amp;A" xfId="0"/>
    <cellStyle name="_PC_NB_VSE WFP_100726-2-yc_GPS OTHER" xfId="0"/>
    <cellStyle name="_PC_NB_VSE WFP_100726-2-yc_GPS OTHER 2" xfId="0"/>
    <cellStyle name="_PC_NB_VSE WFP_100726-2-yc_GPS OTHER 3" xfId="0"/>
    <cellStyle name="_PC_NB_VSE WFP_100726-2-yc_GPS OTHER 4" xfId="0"/>
    <cellStyle name="_PC_NB_VSE WFP_100726-2-yc_GPS OTHER 4 2" xfId="0"/>
    <cellStyle name="_PC_NB_VSE WFP_100726-2-yc_GPS OTHER_By Region" xfId="0"/>
    <cellStyle name="_PC_NB_VSE WFP_100726-2-yc_GPS OTHER_CORP SG&amp;A" xfId="0"/>
    <cellStyle name="_PC_NB_VSE WFP_100726-2-yc_GPS OTHER_LCD" xfId="0"/>
    <cellStyle name="_PC_NB_VSE WFP_100726-2-yc_GPS OTHER_PJ" xfId="0"/>
    <cellStyle name="_PC_NB_VSE WFP_100726-2-yc_PC Products" xfId="0"/>
    <cellStyle name="_PC_NB_VSE WFP_100726-2-yc_PC Products 2" xfId="0"/>
    <cellStyle name="_PC_NB_VSE WFP_100726-2-yc_PC Products 3" xfId="0"/>
    <cellStyle name="_PC_NB_VSE WFP_100726-2-yc_PC Products 4" xfId="0"/>
    <cellStyle name="_PC_NB_VSE WFP_100726-2-yc_PC Products 4 2" xfId="0"/>
    <cellStyle name="_PC_NB_VSE WFP_100726-2-yc_PC Products_By Region" xfId="0"/>
    <cellStyle name="_PC_NB_VSE WFP_100726-2-yc_PC Products_CORP SG&amp;A" xfId="0"/>
    <cellStyle name="_PC_NB_VSE WFP_100726-2-yc_PC Products_LCD" xfId="0"/>
    <cellStyle name="_PC_NB_VSE WFP_100726-2-yc_PC Products_PJ" xfId="0"/>
    <cellStyle name="_PC_NB_VSE WFP_100726-2-yc_VSA 111014" xfId="0"/>
    <cellStyle name="_PC_NB_VSE WFP_100726-2-yc_VSA 111014 2" xfId="0"/>
    <cellStyle name="_PC_NB_VSE WFP_100726-2-yc_VSA 111014 3" xfId="0"/>
    <cellStyle name="_PC_NB_VSE WFP_100726-2-yc_VSA 111014 4" xfId="0"/>
    <cellStyle name="_PC_NB_VSE WFP_100726-2-yc_VSA 111014 4 2" xfId="0"/>
    <cellStyle name="_PC_NB_VSE WFP_100726-2-yc_VSA 111014_By Region" xfId="0"/>
    <cellStyle name="_PC_NB_VSE WFP_100726-2-yc_VSA 111014_CORP SG&amp;A" xfId="0"/>
    <cellStyle name="_PC_NB_VSE WFP_100726-2-yc_VSA 111014_LCD" xfId="0"/>
    <cellStyle name="_PC_NB_VSE WFP_100726-2-yc_VSA 111014_PJ" xfId="0"/>
    <cellStyle name="_PC_NB_VSE WFP_100726-2-yc_VSA Roll-Up (LW)" xfId="0"/>
    <cellStyle name="_PC_NB_VSE WFP_100726-2-yc_VSA Roll-Up (LW) 2" xfId="0"/>
    <cellStyle name="_PC_NB_VSE WFP_100726-2-yc_VSA Roll-Up (LW) 3" xfId="0"/>
    <cellStyle name="_PC_NB_VSE WFP_100726-2-yc_VSA Roll-Up (LW) 4" xfId="0"/>
    <cellStyle name="_PC_NB_VSE WFP_100726-2-yc_VSA Roll-Up (LW) 4 2" xfId="0"/>
    <cellStyle name="_PC_NB_VSE WFP_100726-2-yc_VSA Roll-Up (LW)_By Region" xfId="0"/>
    <cellStyle name="_PC_NB_VSE WFP_100726-2-yc_VSA Roll-Up (LW)_CORP SG&amp;A" xfId="0"/>
    <cellStyle name="_PC_NB_VSE WFP_100726-2-yc_VSA Roll-Up (LW)_LCD" xfId="0"/>
    <cellStyle name="_PC_NB_VSE WFP_100726-2-yc_VSA Roll-Up (LW)_PJ" xfId="0"/>
    <cellStyle name="_PC_NB_VSE WFP_100726_By Region" xfId="0"/>
    <cellStyle name="_PC_NB_VSE WFP_100726_CORP SG&amp;A" xfId="0"/>
    <cellStyle name="_PC_NB_VSE WFP_100726_GPS OTHER" xfId="0"/>
    <cellStyle name="_PC_NB_VSE WFP_100726_GPS OTHER 2" xfId="0"/>
    <cellStyle name="_PC_NB_VSE WFP_100726_GPS OTHER 3" xfId="0"/>
    <cellStyle name="_PC_NB_VSE WFP_100726_GPS OTHER 4" xfId="0"/>
    <cellStyle name="_PC_NB_VSE WFP_100726_GPS OTHER 4 2" xfId="0"/>
    <cellStyle name="_PC_NB_VSE WFP_100726_GPS OTHER_By Region" xfId="0"/>
    <cellStyle name="_PC_NB_VSE WFP_100726_GPS OTHER_CORP SG&amp;A" xfId="0"/>
    <cellStyle name="_PC_NB_VSE WFP_100726_GPS OTHER_LCD" xfId="0"/>
    <cellStyle name="_PC_NB_VSE WFP_100726_GPS OTHER_PJ" xfId="0"/>
    <cellStyle name="_PC_NB_VSE WFP_100726_PC Products" xfId="0"/>
    <cellStyle name="_PC_NB_VSE WFP_100726_PC Products 2" xfId="0"/>
    <cellStyle name="_PC_NB_VSE WFP_100726_PC Products 3" xfId="0"/>
    <cellStyle name="_PC_NB_VSE WFP_100726_PC Products 4" xfId="0"/>
    <cellStyle name="_PC_NB_VSE WFP_100726_PC Products 4 2" xfId="0"/>
    <cellStyle name="_PC_NB_VSE WFP_100726_PC Products_By Region" xfId="0"/>
    <cellStyle name="_PC_NB_VSE WFP_100726_PC Products_CORP SG&amp;A" xfId="0"/>
    <cellStyle name="_PC_NB_VSE WFP_100726_PC Products_LCD" xfId="0"/>
    <cellStyle name="_PC_NB_VSE WFP_100726_PC Products_PJ" xfId="0"/>
    <cellStyle name="_PC_NB_VSE WFP_100726_VSA 111014" xfId="0"/>
    <cellStyle name="_PC_NB_VSE WFP_100726_VSA 111014 2" xfId="0"/>
    <cellStyle name="_PC_NB_VSE WFP_100726_VSA 111014 3" xfId="0"/>
    <cellStyle name="_PC_NB_VSE WFP_100726_VSA 111014 4" xfId="0"/>
    <cellStyle name="_PC_NB_VSE WFP_100726_VSA 111014 4 2" xfId="0"/>
    <cellStyle name="_PC_NB_VSE WFP_100726_VSA 111014_By Region" xfId="0"/>
    <cellStyle name="_PC_NB_VSE WFP_100726_VSA 111014_CORP SG&amp;A" xfId="0"/>
    <cellStyle name="_PC_NB_VSE WFP_100726_VSA 111014_LCD" xfId="0"/>
    <cellStyle name="_PC_NB_VSE WFP_100726_VSA 111014_PJ" xfId="0"/>
    <cellStyle name="_PC_NB_VSE WFP_100726_VSA Roll-Up (LW)" xfId="0"/>
    <cellStyle name="_PC_NB_VSE WFP_100726_VSA Roll-Up (LW) 2" xfId="0"/>
    <cellStyle name="_PC_NB_VSE WFP_100726_VSA Roll-Up (LW) 3" xfId="0"/>
    <cellStyle name="_PC_NB_VSE WFP_100726_VSA Roll-Up (LW) 4" xfId="0"/>
    <cellStyle name="_PC_NB_VSE WFP_100726_VSA Roll-Up (LW) 4 2" xfId="0"/>
    <cellStyle name="_PC_NB_VSE WFP_100726_VSA Roll-Up (LW)_By Region" xfId="0"/>
    <cellStyle name="_PC_NB_VSE WFP_100726_VSA Roll-Up (LW)_CORP SG&amp;A" xfId="0"/>
    <cellStyle name="_PC_NB_VSE WFP_100726_VSA Roll-Up (LW)_LCD" xfId="0"/>
    <cellStyle name="_PC_NB_VSE WFP_100726_VSA Roll-Up (LW)_PJ" xfId="0"/>
    <cellStyle name="_PC_NB_VSE WFP_100827-1" xfId="0"/>
    <cellStyle name="_PC_NB_VSE WFP_100827-1 2" xfId="0"/>
    <cellStyle name="_PC_NB_VSE WFP_100827-1 3" xfId="0"/>
    <cellStyle name="_PC_NB_VSE WFP_100827-1 4" xfId="0"/>
    <cellStyle name="_PC_NB_VSE WFP_100827-1_By Region" xfId="0"/>
    <cellStyle name="_PC_NB_VSE WFP_100827-1_CORP SG&amp;A" xfId="0"/>
    <cellStyle name="_PC_NB_VSE WFP_100827-1_GPS OTHER" xfId="0"/>
    <cellStyle name="_PC_NB_VSE WFP_100827-1_GPS OTHER 2" xfId="0"/>
    <cellStyle name="_PC_NB_VSE WFP_100827-1_GPS OTHER 3" xfId="0"/>
    <cellStyle name="_PC_NB_VSE WFP_100827-1_GPS OTHER 4" xfId="0"/>
    <cellStyle name="_PC_NB_VSE WFP_100827-1_GPS OTHER 4 2" xfId="0"/>
    <cellStyle name="_PC_NB_VSE WFP_100827-1_GPS OTHER_By Region" xfId="0"/>
    <cellStyle name="_PC_NB_VSE WFP_100827-1_GPS OTHER_CORP SG&amp;A" xfId="0"/>
    <cellStyle name="_PC_NB_VSE WFP_100827-1_GPS OTHER_LCD" xfId="0"/>
    <cellStyle name="_PC_NB_VSE WFP_100827-1_GPS OTHER_PJ" xfId="0"/>
    <cellStyle name="_PC_NB_VSE WFP_100827-1_PC Products" xfId="0"/>
    <cellStyle name="_PC_NB_VSE WFP_100827-1_PC Products 2" xfId="0"/>
    <cellStyle name="_PC_NB_VSE WFP_100827-1_PC Products 3" xfId="0"/>
    <cellStyle name="_PC_NB_VSE WFP_100827-1_PC Products 4" xfId="0"/>
    <cellStyle name="_PC_NB_VSE WFP_100827-1_PC Products 4 2" xfId="0"/>
    <cellStyle name="_PC_NB_VSE WFP_100827-1_PC Products_By Region" xfId="0"/>
    <cellStyle name="_PC_NB_VSE WFP_100827-1_PC Products_CORP SG&amp;A" xfId="0"/>
    <cellStyle name="_PC_NB_VSE WFP_100827-1_PC Products_LCD" xfId="0"/>
    <cellStyle name="_PC_NB_VSE WFP_100827-1_PC Products_PJ" xfId="0"/>
    <cellStyle name="_PC_NB_VSE WFP_100827-1_VSA 111014" xfId="0"/>
    <cellStyle name="_PC_NB_VSE WFP_100827-1_VSA 111014 2" xfId="0"/>
    <cellStyle name="_PC_NB_VSE WFP_100827-1_VSA 111014 3" xfId="0"/>
    <cellStyle name="_PC_NB_VSE WFP_100827-1_VSA 111014 4" xfId="0"/>
    <cellStyle name="_PC_NB_VSE WFP_100827-1_VSA 111014 4 2" xfId="0"/>
    <cellStyle name="_PC_NB_VSE WFP_100827-1_VSA 111014_By Region" xfId="0"/>
    <cellStyle name="_PC_NB_VSE WFP_100827-1_VSA 111014_CORP SG&amp;A" xfId="0"/>
    <cellStyle name="_PC_NB_VSE WFP_100827-1_VSA 111014_LCD" xfId="0"/>
    <cellStyle name="_PC_NB_VSE WFP_100827-1_VSA 111014_PJ" xfId="0"/>
    <cellStyle name="_PC_NB_VSE WFP_100827-1_VSA Roll-Up (LW)" xfId="0"/>
    <cellStyle name="_PC_NB_VSE WFP_100827-1_VSA Roll-Up (LW) 2" xfId="0"/>
    <cellStyle name="_PC_NB_VSE WFP_100827-1_VSA Roll-Up (LW) 3" xfId="0"/>
    <cellStyle name="_PC_NB_VSE WFP_100827-1_VSA Roll-Up (LW) 4" xfId="0"/>
    <cellStyle name="_PC_NB_VSE WFP_100827-1_VSA Roll-Up (LW) 4 2" xfId="0"/>
    <cellStyle name="_PC_NB_VSE WFP_100827-1_VSA Roll-Up (LW)_By Region" xfId="0"/>
    <cellStyle name="_PC_NB_VSE WFP_100827-1_VSA Roll-Up (LW)_CORP SG&amp;A" xfId="0"/>
    <cellStyle name="_PC_NB_VSE WFP_100827-1_VSA Roll-Up (LW)_LCD" xfId="0"/>
    <cellStyle name="_PC_NB_VSE WFP_100827-1_VSA Roll-Up (LW)_PJ" xfId="0"/>
    <cellStyle name="_PC_NB_VSE WFP_101001" xfId="0"/>
    <cellStyle name="_PC_NB_VSE WFP_101001 2" xfId="0"/>
    <cellStyle name="_PC_NB_VSE WFP_101001 3" xfId="0"/>
    <cellStyle name="_PC_NB_VSE WFP_101001 4" xfId="0"/>
    <cellStyle name="_PC_NB_VSE WFP_101001_By Region" xfId="0"/>
    <cellStyle name="_PC_NB_VSE WFP_101001_CORP SG&amp;A" xfId="0"/>
    <cellStyle name="_PC_NB_VSE WFP_101001_GPS OTHER" xfId="0"/>
    <cellStyle name="_PC_NB_VSE WFP_101001_GPS OTHER 2" xfId="0"/>
    <cellStyle name="_PC_NB_VSE WFP_101001_GPS OTHER 3" xfId="0"/>
    <cellStyle name="_PC_NB_VSE WFP_101001_GPS OTHER 4" xfId="0"/>
    <cellStyle name="_PC_NB_VSE WFP_101001_GPS OTHER 4 2" xfId="0"/>
    <cellStyle name="_PC_NB_VSE WFP_101001_GPS OTHER_By Region" xfId="0"/>
    <cellStyle name="_PC_NB_VSE WFP_101001_GPS OTHER_CORP SG&amp;A" xfId="0"/>
    <cellStyle name="_PC_NB_VSE WFP_101001_GPS OTHER_LCD" xfId="0"/>
    <cellStyle name="_PC_NB_VSE WFP_101001_GPS OTHER_PJ" xfId="0"/>
    <cellStyle name="_PC_NB_VSE WFP_101001_PC Products" xfId="0"/>
    <cellStyle name="_PC_NB_VSE WFP_101001_PC Products 2" xfId="0"/>
    <cellStyle name="_PC_NB_VSE WFP_101001_PC Products 3" xfId="0"/>
    <cellStyle name="_PC_NB_VSE WFP_101001_PC Products 4" xfId="0"/>
    <cellStyle name="_PC_NB_VSE WFP_101001_PC Products 4 2" xfId="0"/>
    <cellStyle name="_PC_NB_VSE WFP_101001_PC Products_By Region" xfId="0"/>
    <cellStyle name="_PC_NB_VSE WFP_101001_PC Products_CORP SG&amp;A" xfId="0"/>
    <cellStyle name="_PC_NB_VSE WFP_101001_PC Products_LCD" xfId="0"/>
    <cellStyle name="_PC_NB_VSE WFP_101001_PC Products_PJ" xfId="0"/>
    <cellStyle name="_PC_NB_VSE WFP_101001_VSA 111014" xfId="0"/>
    <cellStyle name="_PC_NB_VSE WFP_101001_VSA 111014 2" xfId="0"/>
    <cellStyle name="_PC_NB_VSE WFP_101001_VSA 111014 3" xfId="0"/>
    <cellStyle name="_PC_NB_VSE WFP_101001_VSA 111014 4" xfId="0"/>
    <cellStyle name="_PC_NB_VSE WFP_101001_VSA 111014 4 2" xfId="0"/>
    <cellStyle name="_PC_NB_VSE WFP_101001_VSA 111014_By Region" xfId="0"/>
    <cellStyle name="_PC_NB_VSE WFP_101001_VSA 111014_CORP SG&amp;A" xfId="0"/>
    <cellStyle name="_PC_NB_VSE WFP_101001_VSA 111014_LCD" xfId="0"/>
    <cellStyle name="_PC_NB_VSE WFP_101001_VSA 111014_PJ" xfId="0"/>
    <cellStyle name="_PC_NB_VSE WFP_101001_VSA Roll-Up (LW)" xfId="0"/>
    <cellStyle name="_PC_NB_VSE WFP_101001_VSA Roll-Up (LW) 2" xfId="0"/>
    <cellStyle name="_PC_NB_VSE WFP_101001_VSA Roll-Up (LW) 3" xfId="0"/>
    <cellStyle name="_PC_NB_VSE WFP_101001_VSA Roll-Up (LW) 4" xfId="0"/>
    <cellStyle name="_PC_NB_VSE WFP_101001_VSA Roll-Up (LW) 4 2" xfId="0"/>
    <cellStyle name="_PC_NB_VSE WFP_101001_VSA Roll-Up (LW)_By Region" xfId="0"/>
    <cellStyle name="_PC_NB_VSE WFP_101001_VSA Roll-Up (LW)_CORP SG&amp;A" xfId="0"/>
    <cellStyle name="_PC_NB_VSE WFP_101001_VSA Roll-Up (LW)_LCD" xfId="0"/>
    <cellStyle name="_PC_NB_VSE WFP_101001_VSA Roll-Up (LW)_PJ" xfId="0"/>
    <cellStyle name="_PC_NB_VSE WFP_101029-with more ViewPad 7" xfId="0"/>
    <cellStyle name="_PC_NB_VSE WFP_101029-with more ViewPad 7 2" xfId="0"/>
    <cellStyle name="_PC_NB_VSE WFP_101029-with more ViewPad 7 3" xfId="0"/>
    <cellStyle name="_PC_NB_VSE WFP_101029-with more ViewPad 7 4" xfId="0"/>
    <cellStyle name="_PC_NB_VSE WFP_101029-with more ViewPad 7_By Region" xfId="0"/>
    <cellStyle name="_PC_NB_VSE WFP_101029-with more ViewPad 7_CORP SG&amp;A" xfId="0"/>
    <cellStyle name="_PC_NB_VSE WFP_101029-with more ViewPad 7_GPS OTHER" xfId="0"/>
    <cellStyle name="_PC_NB_VSE WFP_101029-with more ViewPad 7_GPS OTHER 2" xfId="0"/>
    <cellStyle name="_PC_NB_VSE WFP_101029-with more ViewPad 7_GPS OTHER 3" xfId="0"/>
    <cellStyle name="_PC_NB_VSE WFP_101029-with more ViewPad 7_GPS OTHER 4" xfId="0"/>
    <cellStyle name="_PC_NB_VSE WFP_101029-with more ViewPad 7_GPS OTHER 4 2" xfId="0"/>
    <cellStyle name="_PC_NB_VSE WFP_101029-with more ViewPad 7_GPS OTHER_By Region" xfId="0"/>
    <cellStyle name="_PC_NB_VSE WFP_101029-with more ViewPad 7_GPS OTHER_CORP SG&amp;A" xfId="0"/>
    <cellStyle name="_PC_NB_VSE WFP_101029-with more ViewPad 7_GPS OTHER_LCD" xfId="0"/>
    <cellStyle name="_PC_NB_VSE WFP_101029-with more ViewPad 7_GPS OTHER_PJ" xfId="0"/>
    <cellStyle name="_PC_NB_VSE WFP_101029-with more ViewPad 7_PC Products" xfId="0"/>
    <cellStyle name="_PC_NB_VSE WFP_101029-with more ViewPad 7_PC Products 2" xfId="0"/>
    <cellStyle name="_PC_NB_VSE WFP_101029-with more ViewPad 7_PC Products 3" xfId="0"/>
    <cellStyle name="_PC_NB_VSE WFP_101029-with more ViewPad 7_PC Products 4" xfId="0"/>
    <cellStyle name="_PC_NB_VSE WFP_101029-with more ViewPad 7_PC Products 4 2" xfId="0"/>
    <cellStyle name="_PC_NB_VSE WFP_101029-with more ViewPad 7_PC Products_By Region" xfId="0"/>
    <cellStyle name="_PC_NB_VSE WFP_101029-with more ViewPad 7_PC Products_CORP SG&amp;A" xfId="0"/>
    <cellStyle name="_PC_NB_VSE WFP_101029-with more ViewPad 7_PC Products_LCD" xfId="0"/>
    <cellStyle name="_PC_NB_VSE WFP_101029-with more ViewPad 7_PC Products_PJ" xfId="0"/>
    <cellStyle name="_PC_NB_VSE WFP_101029-with more ViewPad 7_VSA 111014" xfId="0"/>
    <cellStyle name="_PC_NB_VSE WFP_101029-with more ViewPad 7_VSA 111014 2" xfId="0"/>
    <cellStyle name="_PC_NB_VSE WFP_101029-with more ViewPad 7_VSA 111014 3" xfId="0"/>
    <cellStyle name="_PC_NB_VSE WFP_101029-with more ViewPad 7_VSA 111014 4" xfId="0"/>
    <cellStyle name="_PC_NB_VSE WFP_101029-with more ViewPad 7_VSA 111014 4 2" xfId="0"/>
    <cellStyle name="_PC_NB_VSE WFP_101029-with more ViewPad 7_VSA 111014_By Region" xfId="0"/>
    <cellStyle name="_PC_NB_VSE WFP_101029-with more ViewPad 7_VSA 111014_CORP SG&amp;A" xfId="0"/>
    <cellStyle name="_PC_NB_VSE WFP_101029-with more ViewPad 7_VSA 111014_LCD" xfId="0"/>
    <cellStyle name="_PC_NB_VSE WFP_101029-with more ViewPad 7_VSA 111014_PJ" xfId="0"/>
    <cellStyle name="_PC_NB_VSE WFP_101029-with more ViewPad 7_VSA Roll-Up (LW)" xfId="0"/>
    <cellStyle name="_PC_NB_VSE WFP_101029-with more ViewPad 7_VSA Roll-Up (LW) 2" xfId="0"/>
    <cellStyle name="_PC_NB_VSE WFP_101029-with more ViewPad 7_VSA Roll-Up (LW) 3" xfId="0"/>
    <cellStyle name="_PC_NB_VSE WFP_101029-with more ViewPad 7_VSA Roll-Up (LW) 4" xfId="0"/>
    <cellStyle name="_PC_NB_VSE WFP_101029-with more ViewPad 7_VSA Roll-Up (LW) 4 2" xfId="0"/>
    <cellStyle name="_PC_NB_VSE WFP_101029-with more ViewPad 7_VSA Roll-Up (LW)_By Region" xfId="0"/>
    <cellStyle name="_PC_NB_VSE WFP_101029-with more ViewPad 7_VSA Roll-Up (LW)_CORP SG&amp;A" xfId="0"/>
    <cellStyle name="_PC_NB_VSE WFP_101029-with more ViewPad 7_VSA Roll-Up (LW)_LCD" xfId="0"/>
    <cellStyle name="_PC_NB_VSE WFP_101029-with more ViewPad 7_VSA Roll-Up (LW)_PJ" xfId="0"/>
    <cellStyle name="_PJ" xfId="0"/>
    <cellStyle name="_PJ 2" xfId="0"/>
    <cellStyle name="_PJ 3" xfId="0"/>
    <cellStyle name="_PJ 4" xfId="0"/>
    <cellStyle name="_PJ 5" xfId="0"/>
    <cellStyle name="_PJ DCR" xfId="0"/>
    <cellStyle name="_PJ DCR 2" xfId="0"/>
    <cellStyle name="_PJ DCR_VSE DCR Planning Model and Trend Charts 20100118" xfId="0"/>
    <cellStyle name="_PJ DCR_VSE DCR Planning Model and Trend Charts 20100118 2" xfId="0"/>
    <cellStyle name="_PJ DCR_VSE DCR Planning Model and Trend Charts 20100315" xfId="0"/>
    <cellStyle name="_PJ DCR_VSE DCR Planning Model and Trend Charts 20100315 2" xfId="0"/>
    <cellStyle name="_PJ_By Region" xfId="0"/>
    <cellStyle name="_PJ_CIS" xfId="0"/>
    <cellStyle name="_PJ_CIS 2" xfId="0"/>
    <cellStyle name="_PJ_CIS 3" xfId="0"/>
    <cellStyle name="_PJ_CIS 4" xfId="0"/>
    <cellStyle name="_PJ_CIS_By Region" xfId="0"/>
    <cellStyle name="_PJ_CIS_CORP SG&amp;A" xfId="0"/>
    <cellStyle name="_PJ_CIS_GPS OTHER" xfId="0"/>
    <cellStyle name="_PJ_CIS_GPS OTHER 2" xfId="0"/>
    <cellStyle name="_PJ_CIS_GPS OTHER 3" xfId="0"/>
    <cellStyle name="_PJ_CIS_GPS OTHER 4" xfId="0"/>
    <cellStyle name="_PJ_CIS_GPS OTHER 4 2" xfId="0"/>
    <cellStyle name="_PJ_CIS_GPS OTHER_By Region" xfId="0"/>
    <cellStyle name="_PJ_CIS_GPS OTHER_CORP SG&amp;A" xfId="0"/>
    <cellStyle name="_PJ_CIS_GPS OTHER_LCD" xfId="0"/>
    <cellStyle name="_PJ_CIS_GPS OTHER_PJ" xfId="0"/>
    <cellStyle name="_PJ_CIS_PC Products" xfId="0"/>
    <cellStyle name="_PJ_CIS_PC Products 2" xfId="0"/>
    <cellStyle name="_PJ_CIS_PC Products 3" xfId="0"/>
    <cellStyle name="_PJ_CIS_PC Products 4" xfId="0"/>
    <cellStyle name="_PJ_CIS_PC Products 4 2" xfId="0"/>
    <cellStyle name="_PJ_CIS_PC Products_By Region" xfId="0"/>
    <cellStyle name="_PJ_CIS_PC Products_CORP SG&amp;A" xfId="0"/>
    <cellStyle name="_PJ_CIS_PC Products_LCD" xfId="0"/>
    <cellStyle name="_PJ_CIS_PC Products_PJ" xfId="0"/>
    <cellStyle name="_PJ_CIS_VSA 111014" xfId="0"/>
    <cellStyle name="_PJ_CIS_VSA 111014 2" xfId="0"/>
    <cellStyle name="_PJ_CIS_VSA 111014 3" xfId="0"/>
    <cellStyle name="_PJ_CIS_VSA 111014 4" xfId="0"/>
    <cellStyle name="_PJ_CIS_VSA 111014 4 2" xfId="0"/>
    <cellStyle name="_PJ_CIS_VSA 111014_By Region" xfId="0"/>
    <cellStyle name="_PJ_CIS_VSA 111014_CORP SG&amp;A" xfId="0"/>
    <cellStyle name="_PJ_CIS_VSA 111014_LCD" xfId="0"/>
    <cellStyle name="_PJ_CIS_VSA 111014_PJ" xfId="0"/>
    <cellStyle name="_PJ_CIS_VSA Roll-Up (LW)" xfId="0"/>
    <cellStyle name="_PJ_CIS_VSA Roll-Up (LW) 2" xfId="0"/>
    <cellStyle name="_PJ_CIS_VSA Roll-Up (LW) 3" xfId="0"/>
    <cellStyle name="_PJ_CIS_VSA Roll-Up (LW) 4" xfId="0"/>
    <cellStyle name="_PJ_CIS_VSA Roll-Up (LW) 4 2" xfId="0"/>
    <cellStyle name="_PJ_CIS_VSA Roll-Up (LW)_By Region" xfId="0"/>
    <cellStyle name="_PJ_CIS_VSA Roll-Up (LW)_CORP SG&amp;A" xfId="0"/>
    <cellStyle name="_PJ_CIS_VSA Roll-Up (LW)_LCD" xfId="0"/>
    <cellStyle name="_PJ_CIS_VSA Roll-Up (LW)_PJ" xfId="0"/>
    <cellStyle name="_PJ_CORP SG&amp;A" xfId="0"/>
    <cellStyle name="_PJ_CRT" xfId="0"/>
    <cellStyle name="_PJ_CRT 2" xfId="0"/>
    <cellStyle name="_PJ_CRT 3" xfId="0"/>
    <cellStyle name="_PJ_CRT 4" xfId="0"/>
    <cellStyle name="_PJ_CRT_By Region" xfId="0"/>
    <cellStyle name="_PJ_CRT_CORP SG&amp;A" xfId="0"/>
    <cellStyle name="_PJ_CRT_GPS OTHER" xfId="0"/>
    <cellStyle name="_PJ_CRT_GPS OTHER 2" xfId="0"/>
    <cellStyle name="_PJ_CRT_GPS OTHER 3" xfId="0"/>
    <cellStyle name="_PJ_CRT_GPS OTHER 4" xfId="0"/>
    <cellStyle name="_PJ_CRT_GPS OTHER 4 2" xfId="0"/>
    <cellStyle name="_PJ_CRT_GPS OTHER_By Region" xfId="0"/>
    <cellStyle name="_PJ_CRT_GPS OTHER_CORP SG&amp;A" xfId="0"/>
    <cellStyle name="_PJ_CRT_GPS OTHER_LCD" xfId="0"/>
    <cellStyle name="_PJ_CRT_GPS OTHER_PJ" xfId="0"/>
    <cellStyle name="_PJ_CRT_PC Products" xfId="0"/>
    <cellStyle name="_PJ_CRT_PC Products 2" xfId="0"/>
    <cellStyle name="_PJ_CRT_PC Products 3" xfId="0"/>
    <cellStyle name="_PJ_CRT_PC Products 4" xfId="0"/>
    <cellStyle name="_PJ_CRT_PC Products 4 2" xfId="0"/>
    <cellStyle name="_PJ_CRT_PC Products_By Region" xfId="0"/>
    <cellStyle name="_PJ_CRT_PC Products_CORP SG&amp;A" xfId="0"/>
    <cellStyle name="_PJ_CRT_PC Products_LCD" xfId="0"/>
    <cellStyle name="_PJ_CRT_PC Products_PJ" xfId="0"/>
    <cellStyle name="_PJ_CRT_VSA 111014" xfId="0"/>
    <cellStyle name="_PJ_CRT_VSA 111014 2" xfId="0"/>
    <cellStyle name="_PJ_CRT_VSA 111014 3" xfId="0"/>
    <cellStyle name="_PJ_CRT_VSA 111014 4" xfId="0"/>
    <cellStyle name="_PJ_CRT_VSA 111014 4 2" xfId="0"/>
    <cellStyle name="_PJ_CRT_VSA 111014_By Region" xfId="0"/>
    <cellStyle name="_PJ_CRT_VSA 111014_CORP SG&amp;A" xfId="0"/>
    <cellStyle name="_PJ_CRT_VSA 111014_LCD" xfId="0"/>
    <cellStyle name="_PJ_CRT_VSA 111014_PJ" xfId="0"/>
    <cellStyle name="_PJ_CRT_VSA Roll-Up (LW)" xfId="0"/>
    <cellStyle name="_PJ_CRT_VSA Roll-Up (LW) 2" xfId="0"/>
    <cellStyle name="_PJ_CRT_VSA Roll-Up (LW) 3" xfId="0"/>
    <cellStyle name="_PJ_CRT_VSA Roll-Up (LW) 4" xfId="0"/>
    <cellStyle name="_PJ_CRT_VSA Roll-Up (LW) 4 2" xfId="0"/>
    <cellStyle name="_PJ_CRT_VSA Roll-Up (LW)_By Region" xfId="0"/>
    <cellStyle name="_PJ_CRT_VSA Roll-Up (LW)_CORP SG&amp;A" xfId="0"/>
    <cellStyle name="_PJ_CRT_VSA Roll-Up (LW)_LCD" xfId="0"/>
    <cellStyle name="_PJ_CRT_VSA Roll-Up (LW)_PJ" xfId="0"/>
    <cellStyle name="_PJ_Diff" xfId="0"/>
    <cellStyle name="_PJ_Diff 2" xfId="0"/>
    <cellStyle name="_PJ_Diff 3" xfId="0"/>
    <cellStyle name="_PJ_Diff 4" xfId="0"/>
    <cellStyle name="_PJ_Diff_By Region" xfId="0"/>
    <cellStyle name="_PJ_Diff_CORP SG&amp;A" xfId="0"/>
    <cellStyle name="_PJ_Diff_GPS OTHER" xfId="0"/>
    <cellStyle name="_PJ_Diff_GPS OTHER 2" xfId="0"/>
    <cellStyle name="_PJ_Diff_GPS OTHER 3" xfId="0"/>
    <cellStyle name="_PJ_Diff_GPS OTHER 4" xfId="0"/>
    <cellStyle name="_PJ_Diff_GPS OTHER 4 2" xfId="0"/>
    <cellStyle name="_PJ_Diff_GPS OTHER_By Region" xfId="0"/>
    <cellStyle name="_PJ_Diff_GPS OTHER_CORP SG&amp;A" xfId="0"/>
    <cellStyle name="_PJ_Diff_GPS OTHER_LCD" xfId="0"/>
    <cellStyle name="_PJ_Diff_GPS OTHER_PJ" xfId="0"/>
    <cellStyle name="_PJ_Diff_PC Products" xfId="0"/>
    <cellStyle name="_PJ_Diff_PC Products 2" xfId="0"/>
    <cellStyle name="_PJ_Diff_PC Products 3" xfId="0"/>
    <cellStyle name="_PJ_Diff_PC Products 4" xfId="0"/>
    <cellStyle name="_PJ_Diff_PC Products 4 2" xfId="0"/>
    <cellStyle name="_PJ_Diff_PC Products_By Region" xfId="0"/>
    <cellStyle name="_PJ_Diff_PC Products_CORP SG&amp;A" xfId="0"/>
    <cellStyle name="_PJ_Diff_PC Products_LCD" xfId="0"/>
    <cellStyle name="_PJ_Diff_PC Products_PJ" xfId="0"/>
    <cellStyle name="_PJ_Diff_VSA 111014" xfId="0"/>
    <cellStyle name="_PJ_Diff_VSA 111014 2" xfId="0"/>
    <cellStyle name="_PJ_Diff_VSA 111014 3" xfId="0"/>
    <cellStyle name="_PJ_Diff_VSA 111014 4" xfId="0"/>
    <cellStyle name="_PJ_Diff_VSA 111014 4 2" xfId="0"/>
    <cellStyle name="_PJ_Diff_VSA 111014_By Region" xfId="0"/>
    <cellStyle name="_PJ_Diff_VSA 111014_CORP SG&amp;A" xfId="0"/>
    <cellStyle name="_PJ_Diff_VSA 111014_LCD" xfId="0"/>
    <cellStyle name="_PJ_Diff_VSA 111014_PJ" xfId="0"/>
    <cellStyle name="_PJ_Diff_VSA Roll-Up (LW)" xfId="0"/>
    <cellStyle name="_PJ_Diff_VSA Roll-Up (LW) 2" xfId="0"/>
    <cellStyle name="_PJ_Diff_VSA Roll-Up (LW) 3" xfId="0"/>
    <cellStyle name="_PJ_Diff_VSA Roll-Up (LW) 4" xfId="0"/>
    <cellStyle name="_PJ_Diff_VSA Roll-Up (LW) 4 2" xfId="0"/>
    <cellStyle name="_PJ_Diff_VSA Roll-Up (LW)_By Region" xfId="0"/>
    <cellStyle name="_PJ_Diff_VSA Roll-Up (LW)_CORP SG&amp;A" xfId="0"/>
    <cellStyle name="_PJ_Diff_VSA Roll-Up (LW)_LCD" xfId="0"/>
    <cellStyle name="_PJ_Diff_VSA Roll-Up (LW)_PJ" xfId="0"/>
    <cellStyle name="_PJ_Digital Product" xfId="0"/>
    <cellStyle name="_PJ_Digital Product 2" xfId="0"/>
    <cellStyle name="_PJ_Digital Product 3" xfId="0"/>
    <cellStyle name="_PJ_Digital Product 4" xfId="0"/>
    <cellStyle name="_PJ_Digital Product_By Region" xfId="0"/>
    <cellStyle name="_PJ_Digital Product_CORP SG&amp;A" xfId="0"/>
    <cellStyle name="_PJ_Digital Product_GPS OTHER" xfId="0"/>
    <cellStyle name="_PJ_Digital Product_GPS OTHER 2" xfId="0"/>
    <cellStyle name="_PJ_Digital Product_GPS OTHER 3" xfId="0"/>
    <cellStyle name="_PJ_Digital Product_GPS OTHER 4" xfId="0"/>
    <cellStyle name="_PJ_Digital Product_GPS OTHER 4 2" xfId="0"/>
    <cellStyle name="_PJ_Digital Product_GPS OTHER_By Region" xfId="0"/>
    <cellStyle name="_PJ_Digital Product_GPS OTHER_CORP SG&amp;A" xfId="0"/>
    <cellStyle name="_PJ_Digital Product_GPS OTHER_LCD" xfId="0"/>
    <cellStyle name="_PJ_Digital Product_GPS OTHER_PJ" xfId="0"/>
    <cellStyle name="_PJ_Digital Product_PC Products" xfId="0"/>
    <cellStyle name="_PJ_Digital Product_PC Products 2" xfId="0"/>
    <cellStyle name="_PJ_Digital Product_PC Products 3" xfId="0"/>
    <cellStyle name="_PJ_Digital Product_PC Products 4" xfId="0"/>
    <cellStyle name="_PJ_Digital Product_PC Products 4 2" xfId="0"/>
    <cellStyle name="_PJ_Digital Product_PC Products_By Region" xfId="0"/>
    <cellStyle name="_PJ_Digital Product_PC Products_CORP SG&amp;A" xfId="0"/>
    <cellStyle name="_PJ_Digital Product_PC Products_LCD" xfId="0"/>
    <cellStyle name="_PJ_Digital Product_PC Products_PJ" xfId="0"/>
    <cellStyle name="_PJ_Digital Product_VSA 111014" xfId="0"/>
    <cellStyle name="_PJ_Digital Product_VSA 111014 2" xfId="0"/>
    <cellStyle name="_PJ_Digital Product_VSA 111014 3" xfId="0"/>
    <cellStyle name="_PJ_Digital Product_VSA 111014 4" xfId="0"/>
    <cellStyle name="_PJ_Digital Product_VSA 111014 4 2" xfId="0"/>
    <cellStyle name="_PJ_Digital Product_VSA 111014_By Region" xfId="0"/>
    <cellStyle name="_PJ_Digital Product_VSA 111014_CORP SG&amp;A" xfId="0"/>
    <cellStyle name="_PJ_Digital Product_VSA 111014_LCD" xfId="0"/>
    <cellStyle name="_PJ_Digital Product_VSA 111014_PJ" xfId="0"/>
    <cellStyle name="_PJ_Digital Product_VSA Roll-Up (LW)" xfId="0"/>
    <cellStyle name="_PJ_Digital Product_VSA Roll-Up (LW) 2" xfId="0"/>
    <cellStyle name="_PJ_Digital Product_VSA Roll-Up (LW) 3" xfId="0"/>
    <cellStyle name="_PJ_Digital Product_VSA Roll-Up (LW) 4" xfId="0"/>
    <cellStyle name="_PJ_Digital Product_VSA Roll-Up (LW) 4 2" xfId="0"/>
    <cellStyle name="_PJ_Digital Product_VSA Roll-Up (LW)_By Region" xfId="0"/>
    <cellStyle name="_PJ_Digital Product_VSA Roll-Up (LW)_CORP SG&amp;A" xfId="0"/>
    <cellStyle name="_PJ_Digital Product_VSA Roll-Up (LW)_LCD" xfId="0"/>
    <cellStyle name="_PJ_Digital Product_VSA Roll-Up (LW)_PJ" xfId="0"/>
    <cellStyle name="_PJ_Digital Signage" xfId="0"/>
    <cellStyle name="_PJ_Digital Signage 2" xfId="0"/>
    <cellStyle name="_PJ_Digital Signage 3" xfId="0"/>
    <cellStyle name="_PJ_Digital Signage 4" xfId="0"/>
    <cellStyle name="_PJ_Digital Signage_By Region" xfId="0"/>
    <cellStyle name="_PJ_Digital Signage_CORP SG&amp;A" xfId="0"/>
    <cellStyle name="_PJ_Digital Signage_GPS OTHER" xfId="0"/>
    <cellStyle name="_PJ_Digital Signage_GPS OTHER 2" xfId="0"/>
    <cellStyle name="_PJ_Digital Signage_GPS OTHER 3" xfId="0"/>
    <cellStyle name="_PJ_Digital Signage_GPS OTHER 4" xfId="0"/>
    <cellStyle name="_PJ_Digital Signage_GPS OTHER 4 2" xfId="0"/>
    <cellStyle name="_PJ_Digital Signage_GPS OTHER_By Region" xfId="0"/>
    <cellStyle name="_PJ_Digital Signage_GPS OTHER_CORP SG&amp;A" xfId="0"/>
    <cellStyle name="_PJ_Digital Signage_GPS OTHER_LCD" xfId="0"/>
    <cellStyle name="_PJ_Digital Signage_GPS OTHER_PJ" xfId="0"/>
    <cellStyle name="_PJ_Digital Signage_PC Products" xfId="0"/>
    <cellStyle name="_PJ_Digital Signage_PC Products 2" xfId="0"/>
    <cellStyle name="_PJ_Digital Signage_PC Products 3" xfId="0"/>
    <cellStyle name="_PJ_Digital Signage_PC Products 4" xfId="0"/>
    <cellStyle name="_PJ_Digital Signage_PC Products 4 2" xfId="0"/>
    <cellStyle name="_PJ_Digital Signage_PC Products_By Region" xfId="0"/>
    <cellStyle name="_PJ_Digital Signage_PC Products_CORP SG&amp;A" xfId="0"/>
    <cellStyle name="_PJ_Digital Signage_PC Products_LCD" xfId="0"/>
    <cellStyle name="_PJ_Digital Signage_PC Products_PJ" xfId="0"/>
    <cellStyle name="_PJ_Digital Signage_VSA 111014" xfId="0"/>
    <cellStyle name="_PJ_Digital Signage_VSA 111014 2" xfId="0"/>
    <cellStyle name="_PJ_Digital Signage_VSA 111014 3" xfId="0"/>
    <cellStyle name="_PJ_Digital Signage_VSA 111014 4" xfId="0"/>
    <cellStyle name="_PJ_Digital Signage_VSA 111014 4 2" xfId="0"/>
    <cellStyle name="_PJ_Digital Signage_VSA 111014_By Region" xfId="0"/>
    <cellStyle name="_PJ_Digital Signage_VSA 111014_CORP SG&amp;A" xfId="0"/>
    <cellStyle name="_PJ_Digital Signage_VSA 111014_LCD" xfId="0"/>
    <cellStyle name="_PJ_Digital Signage_VSA 111014_PJ" xfId="0"/>
    <cellStyle name="_PJ_Digital Signage_VSA Roll-Up (LW)" xfId="0"/>
    <cellStyle name="_PJ_Digital Signage_VSA Roll-Up (LW) 2" xfId="0"/>
    <cellStyle name="_PJ_Digital Signage_VSA Roll-Up (LW) 3" xfId="0"/>
    <cellStyle name="_PJ_Digital Signage_VSA Roll-Up (LW) 4" xfId="0"/>
    <cellStyle name="_PJ_Digital Signage_VSA Roll-Up (LW) 4 2" xfId="0"/>
    <cellStyle name="_PJ_Digital Signage_VSA Roll-Up (LW)_By Region" xfId="0"/>
    <cellStyle name="_PJ_Digital Signage_VSA Roll-Up (LW)_CORP SG&amp;A" xfId="0"/>
    <cellStyle name="_PJ_Digital Signage_VSA Roll-Up (LW)_LCD" xfId="0"/>
    <cellStyle name="_PJ_Digital Signage_VSA Roll-Up (LW)_PJ" xfId="0"/>
    <cellStyle name="_PJ_DMA(VMP)" xfId="0"/>
    <cellStyle name="_PJ_DMA(VMP) 2" xfId="0"/>
    <cellStyle name="_PJ_DMA(VMP) 3" xfId="0"/>
    <cellStyle name="_PJ_DMA(VMP) 4" xfId="0"/>
    <cellStyle name="_PJ_DMA(VMP)_By Region" xfId="0"/>
    <cellStyle name="_PJ_DMA(VMP)_CORP SG&amp;A" xfId="0"/>
    <cellStyle name="_PJ_DMA(VMP)_GPS OTHER" xfId="0"/>
    <cellStyle name="_PJ_DMA(VMP)_GPS OTHER 2" xfId="0"/>
    <cellStyle name="_PJ_DMA(VMP)_GPS OTHER 3" xfId="0"/>
    <cellStyle name="_PJ_DMA(VMP)_GPS OTHER 4" xfId="0"/>
    <cellStyle name="_PJ_DMA(VMP)_GPS OTHER 4 2" xfId="0"/>
    <cellStyle name="_PJ_DMA(VMP)_GPS OTHER_By Region" xfId="0"/>
    <cellStyle name="_PJ_DMA(VMP)_GPS OTHER_CORP SG&amp;A" xfId="0"/>
    <cellStyle name="_PJ_DMA(VMP)_GPS OTHER_LCD" xfId="0"/>
    <cellStyle name="_PJ_DMA(VMP)_GPS OTHER_PJ" xfId="0"/>
    <cellStyle name="_PJ_DMA(VMP)_PC Products" xfId="0"/>
    <cellStyle name="_PJ_DMA(VMP)_PC Products 2" xfId="0"/>
    <cellStyle name="_PJ_DMA(VMP)_PC Products 3" xfId="0"/>
    <cellStyle name="_PJ_DMA(VMP)_PC Products 4" xfId="0"/>
    <cellStyle name="_PJ_DMA(VMP)_PC Products 4 2" xfId="0"/>
    <cellStyle name="_PJ_DMA(VMP)_PC Products_By Region" xfId="0"/>
    <cellStyle name="_PJ_DMA(VMP)_PC Products_CORP SG&amp;A" xfId="0"/>
    <cellStyle name="_PJ_DMA(VMP)_PC Products_LCD" xfId="0"/>
    <cellStyle name="_PJ_DMA(VMP)_PC Products_PJ" xfId="0"/>
    <cellStyle name="_PJ_DMA(VMP)_VSA 111014" xfId="0"/>
    <cellStyle name="_PJ_DMA(VMP)_VSA 111014 2" xfId="0"/>
    <cellStyle name="_PJ_DMA(VMP)_VSA 111014 3" xfId="0"/>
    <cellStyle name="_PJ_DMA(VMP)_VSA 111014 4" xfId="0"/>
    <cellStyle name="_PJ_DMA(VMP)_VSA 111014 4 2" xfId="0"/>
    <cellStyle name="_PJ_DMA(VMP)_VSA 111014_By Region" xfId="0"/>
    <cellStyle name="_PJ_DMA(VMP)_VSA 111014_CORP SG&amp;A" xfId="0"/>
    <cellStyle name="_PJ_DMA(VMP)_VSA 111014_LCD" xfId="0"/>
    <cellStyle name="_PJ_DMA(VMP)_VSA 111014_PJ" xfId="0"/>
    <cellStyle name="_PJ_DMA(VMP)_VSA Roll-Up (LW)" xfId="0"/>
    <cellStyle name="_PJ_DMA(VMP)_VSA Roll-Up (LW) 2" xfId="0"/>
    <cellStyle name="_PJ_DMA(VMP)_VSA Roll-Up (LW) 3" xfId="0"/>
    <cellStyle name="_PJ_DMA(VMP)_VSA Roll-Up (LW) 4" xfId="0"/>
    <cellStyle name="_PJ_DMA(VMP)_VSA Roll-Up (LW) 4 2" xfId="0"/>
    <cellStyle name="_PJ_DMA(VMP)_VSA Roll-Up (LW)_By Region" xfId="0"/>
    <cellStyle name="_PJ_DMA(VMP)_VSA Roll-Up (LW)_CORP SG&amp;A" xfId="0"/>
    <cellStyle name="_PJ_DMA(VMP)_VSA Roll-Up (LW)_LCD" xfId="0"/>
    <cellStyle name="_PJ_DMA(VMP)_VSA Roll-Up (LW)_PJ" xfId="0"/>
    <cellStyle name="_PJ_DPF" xfId="0"/>
    <cellStyle name="_PJ_DPF 2" xfId="0"/>
    <cellStyle name="_PJ_DPF 3" xfId="0"/>
    <cellStyle name="_PJ_DPF 4" xfId="0"/>
    <cellStyle name="_PJ_DPF_By Region" xfId="0"/>
    <cellStyle name="_PJ_DPF_CORP SG&amp;A" xfId="0"/>
    <cellStyle name="_PJ_DPF_GPS OTHER" xfId="0"/>
    <cellStyle name="_PJ_DPF_GPS OTHER 2" xfId="0"/>
    <cellStyle name="_PJ_DPF_GPS OTHER 3" xfId="0"/>
    <cellStyle name="_PJ_DPF_GPS OTHER 4" xfId="0"/>
    <cellStyle name="_PJ_DPF_GPS OTHER 4 2" xfId="0"/>
    <cellStyle name="_PJ_DPF_GPS OTHER_By Region" xfId="0"/>
    <cellStyle name="_PJ_DPF_GPS OTHER_CORP SG&amp;A" xfId="0"/>
    <cellStyle name="_PJ_DPF_GPS OTHER_LCD" xfId="0"/>
    <cellStyle name="_PJ_DPF_GPS OTHER_PJ" xfId="0"/>
    <cellStyle name="_PJ_DPF_PC Products" xfId="0"/>
    <cellStyle name="_PJ_DPF_PC Products 2" xfId="0"/>
    <cellStyle name="_PJ_DPF_PC Products 3" xfId="0"/>
    <cellStyle name="_PJ_DPF_PC Products 4" xfId="0"/>
    <cellStyle name="_PJ_DPF_PC Products 4 2" xfId="0"/>
    <cellStyle name="_PJ_DPF_PC Products_By Region" xfId="0"/>
    <cellStyle name="_PJ_DPF_PC Products_CORP SG&amp;A" xfId="0"/>
    <cellStyle name="_PJ_DPF_PC Products_LCD" xfId="0"/>
    <cellStyle name="_PJ_DPF_PC Products_PJ" xfId="0"/>
    <cellStyle name="_PJ_DPF_VSA 111014" xfId="0"/>
    <cellStyle name="_PJ_DPF_VSA 111014 2" xfId="0"/>
    <cellStyle name="_PJ_DPF_VSA 111014 3" xfId="0"/>
    <cellStyle name="_PJ_DPF_VSA 111014 4" xfId="0"/>
    <cellStyle name="_PJ_DPF_VSA 111014 4 2" xfId="0"/>
    <cellStyle name="_PJ_DPF_VSA 111014_By Region" xfId="0"/>
    <cellStyle name="_PJ_DPF_VSA 111014_CORP SG&amp;A" xfId="0"/>
    <cellStyle name="_PJ_DPF_VSA 111014_LCD" xfId="0"/>
    <cellStyle name="_PJ_DPF_VSA 111014_PJ" xfId="0"/>
    <cellStyle name="_PJ_DPF_VSA Roll-Up (LW)" xfId="0"/>
    <cellStyle name="_PJ_DPF_VSA Roll-Up (LW) 2" xfId="0"/>
    <cellStyle name="_PJ_DPF_VSA Roll-Up (LW) 3" xfId="0"/>
    <cellStyle name="_PJ_DPF_VSA Roll-Up (LW) 4" xfId="0"/>
    <cellStyle name="_PJ_DPF_VSA Roll-Up (LW) 4 2" xfId="0"/>
    <cellStyle name="_PJ_DPF_VSA Roll-Up (LW)_By Region" xfId="0"/>
    <cellStyle name="_PJ_DPF_VSA Roll-Up (LW)_CORP SG&amp;A" xfId="0"/>
    <cellStyle name="_PJ_DPF_VSA Roll-Up (LW)_LCD" xfId="0"/>
    <cellStyle name="_PJ_DPF_VSA Roll-Up (LW)_PJ" xfId="0"/>
    <cellStyle name="_PJ_DS" xfId="0"/>
    <cellStyle name="_PJ_DS 2" xfId="0"/>
    <cellStyle name="_PJ_DS 3" xfId="0"/>
    <cellStyle name="_PJ_DS 4" xfId="0"/>
    <cellStyle name="_PJ_DS_By Region" xfId="0"/>
    <cellStyle name="_PJ_DS_CORP SG&amp;A" xfId="0"/>
    <cellStyle name="_PJ_DS_GPS OTHER" xfId="0"/>
    <cellStyle name="_PJ_DS_GPS OTHER 2" xfId="0"/>
    <cellStyle name="_PJ_DS_GPS OTHER 3" xfId="0"/>
    <cellStyle name="_PJ_DS_GPS OTHER 4" xfId="0"/>
    <cellStyle name="_PJ_DS_GPS OTHER 4 2" xfId="0"/>
    <cellStyle name="_PJ_DS_GPS OTHER_By Region" xfId="0"/>
    <cellStyle name="_PJ_DS_GPS OTHER_CORP SG&amp;A" xfId="0"/>
    <cellStyle name="_PJ_DS_GPS OTHER_LCD" xfId="0"/>
    <cellStyle name="_PJ_DS_GPS OTHER_PJ" xfId="0"/>
    <cellStyle name="_PJ_DS_PC Products" xfId="0"/>
    <cellStyle name="_PJ_DS_PC Products 2" xfId="0"/>
    <cellStyle name="_PJ_DS_PC Products 3" xfId="0"/>
    <cellStyle name="_PJ_DS_PC Products 4" xfId="0"/>
    <cellStyle name="_PJ_DS_PC Products 4 2" xfId="0"/>
    <cellStyle name="_PJ_DS_PC Products_By Region" xfId="0"/>
    <cellStyle name="_PJ_DS_PC Products_CORP SG&amp;A" xfId="0"/>
    <cellStyle name="_PJ_DS_PC Products_LCD" xfId="0"/>
    <cellStyle name="_PJ_DS_PC Products_PJ" xfId="0"/>
    <cellStyle name="_PJ_DS_VSA 111014" xfId="0"/>
    <cellStyle name="_PJ_DS_VSA 111014 2" xfId="0"/>
    <cellStyle name="_PJ_DS_VSA 111014 3" xfId="0"/>
    <cellStyle name="_PJ_DS_VSA 111014 4" xfId="0"/>
    <cellStyle name="_PJ_DS_VSA 111014 4 2" xfId="0"/>
    <cellStyle name="_PJ_DS_VSA 111014_By Region" xfId="0"/>
    <cellStyle name="_PJ_DS_VSA 111014_CORP SG&amp;A" xfId="0"/>
    <cellStyle name="_PJ_DS_VSA 111014_LCD" xfId="0"/>
    <cellStyle name="_PJ_DS_VSA 111014_PJ" xfId="0"/>
    <cellStyle name="_PJ_DS_VSA Roll-Up (LW)" xfId="0"/>
    <cellStyle name="_PJ_DS_VSA Roll-Up (LW) 2" xfId="0"/>
    <cellStyle name="_PJ_DS_VSA Roll-Up (LW) 3" xfId="0"/>
    <cellStyle name="_PJ_DS_VSA Roll-Up (LW) 4" xfId="0"/>
    <cellStyle name="_PJ_DS_VSA Roll-Up (LW) 4 2" xfId="0"/>
    <cellStyle name="_PJ_DS_VSA Roll-Up (LW)_By Region" xfId="0"/>
    <cellStyle name="_PJ_DS_VSA Roll-Up (LW)_CORP SG&amp;A" xfId="0"/>
    <cellStyle name="_PJ_DS_VSA Roll-Up (LW)_LCD" xfId="0"/>
    <cellStyle name="_PJ_DS_VSA Roll-Up (LW)_PJ" xfId="0"/>
    <cellStyle name="_PJ_DVD_TV" xfId="0"/>
    <cellStyle name="_PJ_DVD_TV 2" xfId="0"/>
    <cellStyle name="_PJ_DVD_TV 3" xfId="0"/>
    <cellStyle name="_PJ_DVD_TV 4" xfId="0"/>
    <cellStyle name="_PJ_DVD_TV_By Region" xfId="0"/>
    <cellStyle name="_PJ_DVD_TV_CORP SG&amp;A" xfId="0"/>
    <cellStyle name="_PJ_DVD_TV_GPS OTHER" xfId="0"/>
    <cellStyle name="_PJ_DVD_TV_GPS OTHER 2" xfId="0"/>
    <cellStyle name="_PJ_DVD_TV_GPS OTHER 3" xfId="0"/>
    <cellStyle name="_PJ_DVD_TV_GPS OTHER 4" xfId="0"/>
    <cellStyle name="_PJ_DVD_TV_GPS OTHER 4 2" xfId="0"/>
    <cellStyle name="_PJ_DVD_TV_GPS OTHER_By Region" xfId="0"/>
    <cellStyle name="_PJ_DVD_TV_GPS OTHER_CORP SG&amp;A" xfId="0"/>
    <cellStyle name="_PJ_DVD_TV_GPS OTHER_LCD" xfId="0"/>
    <cellStyle name="_PJ_DVD_TV_GPS OTHER_PJ" xfId="0"/>
    <cellStyle name="_PJ_DVD_TV_PC Products" xfId="0"/>
    <cellStyle name="_PJ_DVD_TV_PC Products 2" xfId="0"/>
    <cellStyle name="_PJ_DVD_TV_PC Products 3" xfId="0"/>
    <cellStyle name="_PJ_DVD_TV_PC Products 4" xfId="0"/>
    <cellStyle name="_PJ_DVD_TV_PC Products 4 2" xfId="0"/>
    <cellStyle name="_PJ_DVD_TV_PC Products_By Region" xfId="0"/>
    <cellStyle name="_PJ_DVD_TV_PC Products_CORP SG&amp;A" xfId="0"/>
    <cellStyle name="_PJ_DVD_TV_PC Products_LCD" xfId="0"/>
    <cellStyle name="_PJ_DVD_TV_PC Products_PJ" xfId="0"/>
    <cellStyle name="_PJ_DVD_TV_VSA 111014" xfId="0"/>
    <cellStyle name="_PJ_DVD_TV_VSA 111014 2" xfId="0"/>
    <cellStyle name="_PJ_DVD_TV_VSA 111014 3" xfId="0"/>
    <cellStyle name="_PJ_DVD_TV_VSA 111014 4" xfId="0"/>
    <cellStyle name="_PJ_DVD_TV_VSA 111014 4 2" xfId="0"/>
    <cellStyle name="_PJ_DVD_TV_VSA 111014_By Region" xfId="0"/>
    <cellStyle name="_PJ_DVD_TV_VSA 111014_CORP SG&amp;A" xfId="0"/>
    <cellStyle name="_PJ_DVD_TV_VSA 111014_LCD" xfId="0"/>
    <cellStyle name="_PJ_DVD_TV_VSA 111014_PJ" xfId="0"/>
    <cellStyle name="_PJ_DVD_TV_VSA Roll-Up (LW)" xfId="0"/>
    <cellStyle name="_PJ_DVD_TV_VSA Roll-Up (LW) 2" xfId="0"/>
    <cellStyle name="_PJ_DVD_TV_VSA Roll-Up (LW) 3" xfId="0"/>
    <cellStyle name="_PJ_DVD_TV_VSA Roll-Up (LW) 4" xfId="0"/>
    <cellStyle name="_PJ_DVD_TV_VSA Roll-Up (LW) 4 2" xfId="0"/>
    <cellStyle name="_PJ_DVD_TV_VSA Roll-Up (LW)_By Region" xfId="0"/>
    <cellStyle name="_PJ_DVD_TV_VSA Roll-Up (LW)_CORP SG&amp;A" xfId="0"/>
    <cellStyle name="_PJ_DVD_TV_VSA Roll-Up (LW)_LCD" xfId="0"/>
    <cellStyle name="_PJ_DVD_TV_VSA Roll-Up (LW)_PJ" xfId="0"/>
    <cellStyle name="_PJ_GPS OTHER" xfId="0"/>
    <cellStyle name="_PJ_GPS OTHER 2" xfId="0"/>
    <cellStyle name="_PJ_GPS OTHER 3" xfId="0"/>
    <cellStyle name="_PJ_GPS OTHER 4" xfId="0"/>
    <cellStyle name="_PJ_GPS OTHER 4 2" xfId="0"/>
    <cellStyle name="_PJ_GPS OTHER_By Region" xfId="0"/>
    <cellStyle name="_PJ_GPS OTHER_CORP SG&amp;A" xfId="0"/>
    <cellStyle name="_PJ_GPS OTHER_LCD" xfId="0"/>
    <cellStyle name="_PJ_GPS OTHER_PJ" xfId="0"/>
    <cellStyle name="_PJ_LCD" xfId="0"/>
    <cellStyle name="_PJ_LCD 2" xfId="0"/>
    <cellStyle name="_PJ_LCD 3" xfId="0"/>
    <cellStyle name="_PJ_LCD 4" xfId="0"/>
    <cellStyle name="_PJ_LCD_By Region" xfId="0"/>
    <cellStyle name="_PJ_LCD_CORP SG&amp;A" xfId="0"/>
    <cellStyle name="_PJ_LCD_GPS OTHER" xfId="0"/>
    <cellStyle name="_PJ_LCD_GPS OTHER 2" xfId="0"/>
    <cellStyle name="_PJ_LCD_GPS OTHER 3" xfId="0"/>
    <cellStyle name="_PJ_LCD_GPS OTHER 4" xfId="0"/>
    <cellStyle name="_PJ_LCD_GPS OTHER 4 2" xfId="0"/>
    <cellStyle name="_PJ_LCD_GPS OTHER_By Region" xfId="0"/>
    <cellStyle name="_PJ_LCD_GPS OTHER_CORP SG&amp;A" xfId="0"/>
    <cellStyle name="_PJ_LCD_GPS OTHER_LCD" xfId="0"/>
    <cellStyle name="_PJ_LCD_GPS OTHER_PJ" xfId="0"/>
    <cellStyle name="_PJ_LCD_PC Products" xfId="0"/>
    <cellStyle name="_PJ_LCD_PC Products 2" xfId="0"/>
    <cellStyle name="_PJ_LCD_PC Products 3" xfId="0"/>
    <cellStyle name="_PJ_LCD_PC Products 4" xfId="0"/>
    <cellStyle name="_PJ_LCD_PC Products 4 2" xfId="0"/>
    <cellStyle name="_PJ_LCD_PC Products_By Region" xfId="0"/>
    <cellStyle name="_PJ_LCD_PC Products_CORP SG&amp;A" xfId="0"/>
    <cellStyle name="_PJ_LCD_PC Products_LCD" xfId="0"/>
    <cellStyle name="_PJ_LCD_PC Products_PJ" xfId="0"/>
    <cellStyle name="_PJ_LCD_VSA 111014" xfId="0"/>
    <cellStyle name="_PJ_LCD_VSA 111014 2" xfId="0"/>
    <cellStyle name="_PJ_LCD_VSA 111014 3" xfId="0"/>
    <cellStyle name="_PJ_LCD_VSA 111014 4" xfId="0"/>
    <cellStyle name="_PJ_LCD_VSA 111014 4 2" xfId="0"/>
    <cellStyle name="_PJ_LCD_VSA 111014_By Region" xfId="0"/>
    <cellStyle name="_PJ_LCD_VSA 111014_CORP SG&amp;A" xfId="0"/>
    <cellStyle name="_PJ_LCD_VSA 111014_LCD" xfId="0"/>
    <cellStyle name="_PJ_LCD_VSA 111014_PJ" xfId="0"/>
    <cellStyle name="_PJ_LCD_VSA Roll-Up (LW)" xfId="0"/>
    <cellStyle name="_PJ_LCD_VSA Roll-Up (LW) 2" xfId="0"/>
    <cellStyle name="_PJ_LCD_VSA Roll-Up (LW) 3" xfId="0"/>
    <cellStyle name="_PJ_LCD_VSA Roll-Up (LW) 4" xfId="0"/>
    <cellStyle name="_PJ_LCD_VSA Roll-Up (LW) 4 2" xfId="0"/>
    <cellStyle name="_PJ_LCD_VSA Roll-Up (LW)_By Region" xfId="0"/>
    <cellStyle name="_PJ_LCD_VSA Roll-Up (LW)_CORP SG&amp;A" xfId="0"/>
    <cellStyle name="_PJ_LCD_VSA Roll-Up (LW)_LCD" xfId="0"/>
    <cellStyle name="_PJ_LCD_VSA Roll-Up (LW)_PJ" xfId="0"/>
    <cellStyle name="_PJ_LCDTV" xfId="0"/>
    <cellStyle name="_PJ_LCDTV 2" xfId="0"/>
    <cellStyle name="_PJ_LCDTV 3" xfId="0"/>
    <cellStyle name="_PJ_LCDTV 4" xfId="0"/>
    <cellStyle name="_PJ_LCDTV_By Region" xfId="0"/>
    <cellStyle name="_PJ_LCDTV_CORP SG&amp;A" xfId="0"/>
    <cellStyle name="_PJ_LCDTV_GPS OTHER" xfId="0"/>
    <cellStyle name="_PJ_LCDTV_GPS OTHER 2" xfId="0"/>
    <cellStyle name="_PJ_LCDTV_GPS OTHER 3" xfId="0"/>
    <cellStyle name="_PJ_LCDTV_GPS OTHER 4" xfId="0"/>
    <cellStyle name="_PJ_LCDTV_GPS OTHER 4 2" xfId="0"/>
    <cellStyle name="_PJ_LCDTV_GPS OTHER_By Region" xfId="0"/>
    <cellStyle name="_PJ_LCDTV_GPS OTHER_CORP SG&amp;A" xfId="0"/>
    <cellStyle name="_PJ_LCDTV_GPS OTHER_LCD" xfId="0"/>
    <cellStyle name="_PJ_LCDTV_GPS OTHER_PJ" xfId="0"/>
    <cellStyle name="_PJ_LCDTV_PC Products" xfId="0"/>
    <cellStyle name="_PJ_LCDTV_PC Products 2" xfId="0"/>
    <cellStyle name="_PJ_LCDTV_PC Products 3" xfId="0"/>
    <cellStyle name="_PJ_LCDTV_PC Products 4" xfId="0"/>
    <cellStyle name="_PJ_LCDTV_PC Products 4 2" xfId="0"/>
    <cellStyle name="_PJ_LCDTV_PC Products_By Region" xfId="0"/>
    <cellStyle name="_PJ_LCDTV_PC Products_CORP SG&amp;A" xfId="0"/>
    <cellStyle name="_PJ_LCDTV_PC Products_LCD" xfId="0"/>
    <cellStyle name="_PJ_LCDTV_PC Products_PJ" xfId="0"/>
    <cellStyle name="_PJ_LCDTV_VSA 111014" xfId="0"/>
    <cellStyle name="_PJ_LCDTV_VSA 111014 2" xfId="0"/>
    <cellStyle name="_PJ_LCDTV_VSA 111014 3" xfId="0"/>
    <cellStyle name="_PJ_LCDTV_VSA 111014 4" xfId="0"/>
    <cellStyle name="_PJ_LCDTV_VSA 111014 4 2" xfId="0"/>
    <cellStyle name="_PJ_LCDTV_VSA 111014_By Region" xfId="0"/>
    <cellStyle name="_PJ_LCDTV_VSA 111014_CORP SG&amp;A" xfId="0"/>
    <cellStyle name="_PJ_LCDTV_VSA 111014_LCD" xfId="0"/>
    <cellStyle name="_PJ_LCDTV_VSA 111014_PJ" xfId="0"/>
    <cellStyle name="_PJ_LCDTV_VSA Roll-Up (LW)" xfId="0"/>
    <cellStyle name="_PJ_LCDTV_VSA Roll-Up (LW) 2" xfId="0"/>
    <cellStyle name="_PJ_LCDTV_VSA Roll-Up (LW) 3" xfId="0"/>
    <cellStyle name="_PJ_LCDTV_VSA Roll-Up (LW) 4" xfId="0"/>
    <cellStyle name="_PJ_LCDTV_VSA Roll-Up (LW) 4 2" xfId="0"/>
    <cellStyle name="_PJ_LCDTV_VSA Roll-Up (LW)_By Region" xfId="0"/>
    <cellStyle name="_PJ_LCDTV_VSA Roll-Up (LW)_CORP SG&amp;A" xfId="0"/>
    <cellStyle name="_PJ_LCDTV_VSA Roll-Up (LW)_LCD" xfId="0"/>
    <cellStyle name="_PJ_LCDTV_VSA Roll-Up (LW)_PJ" xfId="0"/>
    <cellStyle name="_PJ_MNT" xfId="0"/>
    <cellStyle name="_PJ_MNT 2" xfId="0"/>
    <cellStyle name="_PJ_MNT 3" xfId="0"/>
    <cellStyle name="_PJ_MNT 4" xfId="0"/>
    <cellStyle name="_PJ_MNT_By Region" xfId="0"/>
    <cellStyle name="_PJ_MNT_CORP SG&amp;A" xfId="0"/>
    <cellStyle name="_PJ_MNT_GPS OTHER" xfId="0"/>
    <cellStyle name="_PJ_MNT_GPS OTHER 2" xfId="0"/>
    <cellStyle name="_PJ_MNT_GPS OTHER 3" xfId="0"/>
    <cellStyle name="_PJ_MNT_GPS OTHER 4" xfId="0"/>
    <cellStyle name="_PJ_MNT_GPS OTHER 4 2" xfId="0"/>
    <cellStyle name="_PJ_MNT_GPS OTHER_By Region" xfId="0"/>
    <cellStyle name="_PJ_MNT_GPS OTHER_CORP SG&amp;A" xfId="0"/>
    <cellStyle name="_PJ_MNT_GPS OTHER_LCD" xfId="0"/>
    <cellStyle name="_PJ_MNT_GPS OTHER_PJ" xfId="0"/>
    <cellStyle name="_PJ_MNT_PC Products" xfId="0"/>
    <cellStyle name="_PJ_MNT_PC Products 2" xfId="0"/>
    <cellStyle name="_PJ_MNT_PC Products 3" xfId="0"/>
    <cellStyle name="_PJ_MNT_PC Products 4" xfId="0"/>
    <cellStyle name="_PJ_MNT_PC Products 4 2" xfId="0"/>
    <cellStyle name="_PJ_MNT_PC Products_By Region" xfId="0"/>
    <cellStyle name="_PJ_MNT_PC Products_CORP SG&amp;A" xfId="0"/>
    <cellStyle name="_PJ_MNT_PC Products_LCD" xfId="0"/>
    <cellStyle name="_PJ_MNT_PC Products_PJ" xfId="0"/>
    <cellStyle name="_PJ_MNT_VSA 111014" xfId="0"/>
    <cellStyle name="_PJ_MNT_VSA 111014 2" xfId="0"/>
    <cellStyle name="_PJ_MNT_VSA 111014 3" xfId="0"/>
    <cellStyle name="_PJ_MNT_VSA 111014 4" xfId="0"/>
    <cellStyle name="_PJ_MNT_VSA 111014 4 2" xfId="0"/>
    <cellStyle name="_PJ_MNT_VSA 111014_By Region" xfId="0"/>
    <cellStyle name="_PJ_MNT_VSA 111014_CORP SG&amp;A" xfId="0"/>
    <cellStyle name="_PJ_MNT_VSA 111014_LCD" xfId="0"/>
    <cellStyle name="_PJ_MNT_VSA 111014_PJ" xfId="0"/>
    <cellStyle name="_PJ_MNT_VSA Roll-Up (LW)" xfId="0"/>
    <cellStyle name="_PJ_MNT_VSA Roll-Up (LW) 2" xfId="0"/>
    <cellStyle name="_PJ_MNT_VSA Roll-Up (LW) 3" xfId="0"/>
    <cellStyle name="_PJ_MNT_VSA Roll-Up (LW) 4" xfId="0"/>
    <cellStyle name="_PJ_MNT_VSA Roll-Up (LW) 4 2" xfId="0"/>
    <cellStyle name="_PJ_MNT_VSA Roll-Up (LW)_By Region" xfId="0"/>
    <cellStyle name="_PJ_MNT_VSA Roll-Up (LW)_CORP SG&amp;A" xfId="0"/>
    <cellStyle name="_PJ_MNT_VSA Roll-Up (LW)_LCD" xfId="0"/>
    <cellStyle name="_PJ_MNT_VSA Roll-Up (LW)_PJ" xfId="0"/>
    <cellStyle name="_PJ_Other" xfId="0"/>
    <cellStyle name="_PJ_Other 2" xfId="0"/>
    <cellStyle name="_PJ_Other 3" xfId="0"/>
    <cellStyle name="_PJ_Other 4" xfId="0"/>
    <cellStyle name="_PJ_Other_By Region" xfId="0"/>
    <cellStyle name="_PJ_Other_CORP SG&amp;A" xfId="0"/>
    <cellStyle name="_PJ_Other_GPS OTHER" xfId="0"/>
    <cellStyle name="_PJ_Other_GPS OTHER 2" xfId="0"/>
    <cellStyle name="_PJ_Other_GPS OTHER 3" xfId="0"/>
    <cellStyle name="_PJ_Other_GPS OTHER 4" xfId="0"/>
    <cellStyle name="_PJ_Other_GPS OTHER 4 2" xfId="0"/>
    <cellStyle name="_PJ_Other_GPS OTHER_By Region" xfId="0"/>
    <cellStyle name="_PJ_Other_GPS OTHER_CORP SG&amp;A" xfId="0"/>
    <cellStyle name="_PJ_Other_GPS OTHER_LCD" xfId="0"/>
    <cellStyle name="_PJ_Other_GPS OTHER_PJ" xfId="0"/>
    <cellStyle name="_PJ_Other_PC Products" xfId="0"/>
    <cellStyle name="_PJ_Other_PC Products 2" xfId="0"/>
    <cellStyle name="_PJ_Other_PC Products 3" xfId="0"/>
    <cellStyle name="_PJ_Other_PC Products 4" xfId="0"/>
    <cellStyle name="_PJ_Other_PC Products 4 2" xfId="0"/>
    <cellStyle name="_PJ_Other_PC Products_By Region" xfId="0"/>
    <cellStyle name="_PJ_Other_PC Products_CORP SG&amp;A" xfId="0"/>
    <cellStyle name="_PJ_Other_PC Products_LCD" xfId="0"/>
    <cellStyle name="_PJ_Other_PC Products_PJ" xfId="0"/>
    <cellStyle name="_PJ_Other_VSA 111014" xfId="0"/>
    <cellStyle name="_PJ_Other_VSA 111014 2" xfId="0"/>
    <cellStyle name="_PJ_Other_VSA 111014 3" xfId="0"/>
    <cellStyle name="_PJ_Other_VSA 111014 4" xfId="0"/>
    <cellStyle name="_PJ_Other_VSA 111014 4 2" xfId="0"/>
    <cellStyle name="_PJ_Other_VSA 111014_By Region" xfId="0"/>
    <cellStyle name="_PJ_Other_VSA 111014_CORP SG&amp;A" xfId="0"/>
    <cellStyle name="_PJ_Other_VSA 111014_LCD" xfId="0"/>
    <cellStyle name="_PJ_Other_VSA 111014_PJ" xfId="0"/>
    <cellStyle name="_PJ_Other_VSA Roll-Up (LW)" xfId="0"/>
    <cellStyle name="_PJ_Other_VSA Roll-Up (LW) 2" xfId="0"/>
    <cellStyle name="_PJ_Other_VSA Roll-Up (LW) 3" xfId="0"/>
    <cellStyle name="_PJ_Other_VSA Roll-Up (LW) 4" xfId="0"/>
    <cellStyle name="_PJ_Other_VSA Roll-Up (LW) 4 2" xfId="0"/>
    <cellStyle name="_PJ_Other_VSA Roll-Up (LW)_By Region" xfId="0"/>
    <cellStyle name="_PJ_Other_VSA Roll-Up (LW)_CORP SG&amp;A" xfId="0"/>
    <cellStyle name="_PJ_Other_VSA Roll-Up (LW)_LCD" xfId="0"/>
    <cellStyle name="_PJ_Other_VSA Roll-Up (LW)_PJ" xfId="0"/>
    <cellStyle name="_PJ_PC" xfId="0"/>
    <cellStyle name="_PJ_PC 2" xfId="0"/>
    <cellStyle name="_PJ_PC 3" xfId="0"/>
    <cellStyle name="_PJ_PC 4" xfId="0"/>
    <cellStyle name="_PJ_PC Products" xfId="0"/>
    <cellStyle name="_PJ_PC Products 2" xfId="0"/>
    <cellStyle name="_PJ_PC Products 3" xfId="0"/>
    <cellStyle name="_PJ_PC Products 4" xfId="0"/>
    <cellStyle name="_PJ_PC Products 4 2" xfId="0"/>
    <cellStyle name="_PJ_PC Products_By Region" xfId="0"/>
    <cellStyle name="_PJ_PC Products_CORP SG&amp;A" xfId="0"/>
    <cellStyle name="_PJ_PC Products_LCD" xfId="0"/>
    <cellStyle name="_PJ_PC Products_PJ" xfId="0"/>
    <cellStyle name="_PJ_PC_By Region" xfId="0"/>
    <cellStyle name="_PJ_PC_CORP SG&amp;A" xfId="0"/>
    <cellStyle name="_PJ_PC_DT" xfId="0"/>
    <cellStyle name="_PJ_PC_DT 2" xfId="0"/>
    <cellStyle name="_PJ_PC_DT 3" xfId="0"/>
    <cellStyle name="_PJ_PC_DT_By Region" xfId="0"/>
    <cellStyle name="_PJ_PC_GPS OTHER" xfId="0"/>
    <cellStyle name="_PJ_PC_GPS OTHER 2" xfId="0"/>
    <cellStyle name="_PJ_PC_GPS OTHER 3" xfId="0"/>
    <cellStyle name="_PJ_PC_GPS OTHER 4" xfId="0"/>
    <cellStyle name="_PJ_PC_GPS OTHER 4 2" xfId="0"/>
    <cellStyle name="_PJ_PC_GPS OTHER_By Region" xfId="0"/>
    <cellStyle name="_PJ_PC_GPS OTHER_CORP SG&amp;A" xfId="0"/>
    <cellStyle name="_PJ_PC_GPS OTHER_LCD" xfId="0"/>
    <cellStyle name="_PJ_PC_GPS OTHER_PJ" xfId="0"/>
    <cellStyle name="_PJ_PC_PC Products" xfId="0"/>
    <cellStyle name="_PJ_PC_PC Products 2" xfId="0"/>
    <cellStyle name="_PJ_PC_PC Products 3" xfId="0"/>
    <cellStyle name="_PJ_PC_PC Products 4" xfId="0"/>
    <cellStyle name="_PJ_PC_PC Products 4 2" xfId="0"/>
    <cellStyle name="_PJ_PC_PC Products_By Region" xfId="0"/>
    <cellStyle name="_PJ_PC_PC Products_CORP SG&amp;A" xfId="0"/>
    <cellStyle name="_PJ_PC_PC Products_LCD" xfId="0"/>
    <cellStyle name="_PJ_PC_PC Products_PJ" xfId="0"/>
    <cellStyle name="_PJ_PC_TV" xfId="0"/>
    <cellStyle name="_PJ_PC_TV 2" xfId="0"/>
    <cellStyle name="_PJ_PC_TV 3" xfId="0"/>
    <cellStyle name="_PJ_PC_TV 4" xfId="0"/>
    <cellStyle name="_PJ_PC_TV_By Region" xfId="0"/>
    <cellStyle name="_PJ_PC_TV_CORP SG&amp;A" xfId="0"/>
    <cellStyle name="_PJ_PC_TV_GPS OTHER" xfId="0"/>
    <cellStyle name="_PJ_PC_TV_GPS OTHER 2" xfId="0"/>
    <cellStyle name="_PJ_PC_TV_GPS OTHER 3" xfId="0"/>
    <cellStyle name="_PJ_PC_TV_GPS OTHER 4" xfId="0"/>
    <cellStyle name="_PJ_PC_TV_GPS OTHER 4 2" xfId="0"/>
    <cellStyle name="_PJ_PC_TV_GPS OTHER_By Region" xfId="0"/>
    <cellStyle name="_PJ_PC_TV_GPS OTHER_CORP SG&amp;A" xfId="0"/>
    <cellStyle name="_PJ_PC_TV_GPS OTHER_LCD" xfId="0"/>
    <cellStyle name="_PJ_PC_TV_GPS OTHER_PJ" xfId="0"/>
    <cellStyle name="_PJ_PC_TV_PC Products" xfId="0"/>
    <cellStyle name="_PJ_PC_TV_PC Products 2" xfId="0"/>
    <cellStyle name="_PJ_PC_TV_PC Products 3" xfId="0"/>
    <cellStyle name="_PJ_PC_TV_PC Products 4" xfId="0"/>
    <cellStyle name="_PJ_PC_TV_PC Products 4 2" xfId="0"/>
    <cellStyle name="_PJ_PC_TV_PC Products_By Region" xfId="0"/>
    <cellStyle name="_PJ_PC_TV_PC Products_CORP SG&amp;A" xfId="0"/>
    <cellStyle name="_PJ_PC_TV_PC Products_LCD" xfId="0"/>
    <cellStyle name="_PJ_PC_TV_PC Products_PJ" xfId="0"/>
    <cellStyle name="_PJ_PC_TV_VSA 111014" xfId="0"/>
    <cellStyle name="_PJ_PC_TV_VSA 111014 2" xfId="0"/>
    <cellStyle name="_PJ_PC_TV_VSA 111014 3" xfId="0"/>
    <cellStyle name="_PJ_PC_TV_VSA 111014 4" xfId="0"/>
    <cellStyle name="_PJ_PC_TV_VSA 111014 4 2" xfId="0"/>
    <cellStyle name="_PJ_PC_TV_VSA 111014_By Region" xfId="0"/>
    <cellStyle name="_PJ_PC_TV_VSA 111014_CORP SG&amp;A" xfId="0"/>
    <cellStyle name="_PJ_PC_TV_VSA 111014_LCD" xfId="0"/>
    <cellStyle name="_PJ_PC_TV_VSA 111014_PJ" xfId="0"/>
    <cellStyle name="_PJ_PC_TV_VSA Roll-Up (LW)" xfId="0"/>
    <cellStyle name="_PJ_PC_TV_VSA Roll-Up (LW) 2" xfId="0"/>
    <cellStyle name="_PJ_PC_TV_VSA Roll-Up (LW) 3" xfId="0"/>
    <cellStyle name="_PJ_PC_TV_VSA Roll-Up (LW) 4" xfId="0"/>
    <cellStyle name="_PJ_PC_TV_VSA Roll-Up (LW) 4 2" xfId="0"/>
    <cellStyle name="_PJ_PC_TV_VSA Roll-Up (LW)_By Region" xfId="0"/>
    <cellStyle name="_PJ_PC_TV_VSA Roll-Up (LW)_CORP SG&amp;A" xfId="0"/>
    <cellStyle name="_PJ_PC_TV_VSA Roll-Up (LW)_LCD" xfId="0"/>
    <cellStyle name="_PJ_PC_TV_VSA Roll-Up (LW)_PJ" xfId="0"/>
    <cellStyle name="_PJ_PC_VSA 111014" xfId="0"/>
    <cellStyle name="_PJ_PC_VSA 111014 2" xfId="0"/>
    <cellStyle name="_PJ_PC_VSA 111014 3" xfId="0"/>
    <cellStyle name="_PJ_PC_VSA 111014 4" xfId="0"/>
    <cellStyle name="_PJ_PC_VSA 111014 4 2" xfId="0"/>
    <cellStyle name="_PJ_PC_VSA 111014_By Region" xfId="0"/>
    <cellStyle name="_PJ_PC_VSA 111014_CORP SG&amp;A" xfId="0"/>
    <cellStyle name="_PJ_PC_VSA 111014_LCD" xfId="0"/>
    <cellStyle name="_PJ_PC_VSA 111014_PJ" xfId="0"/>
    <cellStyle name="_PJ_PC_VSA Roll-Up (LW)" xfId="0"/>
    <cellStyle name="_PJ_PC_VSA Roll-Up (LW) 2" xfId="0"/>
    <cellStyle name="_PJ_PC_VSA Roll-Up (LW) 3" xfId="0"/>
    <cellStyle name="_PJ_PC_VSA Roll-Up (LW) 4" xfId="0"/>
    <cellStyle name="_PJ_PC_VSA Roll-Up (LW) 4 2" xfId="0"/>
    <cellStyle name="_PJ_PC_VSA Roll-Up (LW)_By Region" xfId="0"/>
    <cellStyle name="_PJ_PC_VSA Roll-Up (LW)_CORP SG&amp;A" xfId="0"/>
    <cellStyle name="_PJ_PC_VSA Roll-Up (LW)_LCD" xfId="0"/>
    <cellStyle name="_PJ_PC_VSA Roll-Up (LW)_PJ" xfId="0"/>
    <cellStyle name="_PJ_PJ" xfId="0"/>
    <cellStyle name="_PJ_PJ 2" xfId="0"/>
    <cellStyle name="_PJ_PJ 3" xfId="0"/>
    <cellStyle name="_PJ_PJ 4" xfId="0"/>
    <cellStyle name="_PJ_PJ_By Region" xfId="0"/>
    <cellStyle name="_PJ_PJ_CORP SG&amp;A" xfId="0"/>
    <cellStyle name="_PJ_PJ_GPS OTHER" xfId="0"/>
    <cellStyle name="_PJ_PJ_GPS OTHER 2" xfId="0"/>
    <cellStyle name="_PJ_PJ_GPS OTHER 3" xfId="0"/>
    <cellStyle name="_PJ_PJ_GPS OTHER 4" xfId="0"/>
    <cellStyle name="_PJ_PJ_GPS OTHER 4 2" xfId="0"/>
    <cellStyle name="_PJ_PJ_GPS OTHER_By Region" xfId="0"/>
    <cellStyle name="_PJ_PJ_GPS OTHER_CORP SG&amp;A" xfId="0"/>
    <cellStyle name="_PJ_PJ_GPS OTHER_LCD" xfId="0"/>
    <cellStyle name="_PJ_PJ_GPS OTHER_PJ" xfId="0"/>
    <cellStyle name="_PJ_PJ_PC Products" xfId="0"/>
    <cellStyle name="_PJ_PJ_PC Products 2" xfId="0"/>
    <cellStyle name="_PJ_PJ_PC Products 3" xfId="0"/>
    <cellStyle name="_PJ_PJ_PC Products 4" xfId="0"/>
    <cellStyle name="_PJ_PJ_PC Products 4 2" xfId="0"/>
    <cellStyle name="_PJ_PJ_PC Products_By Region" xfId="0"/>
    <cellStyle name="_PJ_PJ_PC Products_CORP SG&amp;A" xfId="0"/>
    <cellStyle name="_PJ_PJ_PC Products_LCD" xfId="0"/>
    <cellStyle name="_PJ_PJ_PC Products_PJ" xfId="0"/>
    <cellStyle name="_PJ_PJ_VSA 111014" xfId="0"/>
    <cellStyle name="_PJ_PJ_VSA 111014 2" xfId="0"/>
    <cellStyle name="_PJ_PJ_VSA 111014 3" xfId="0"/>
    <cellStyle name="_PJ_PJ_VSA 111014 4" xfId="0"/>
    <cellStyle name="_PJ_PJ_VSA 111014 4 2" xfId="0"/>
    <cellStyle name="_PJ_PJ_VSA 111014_By Region" xfId="0"/>
    <cellStyle name="_PJ_PJ_VSA 111014_CORP SG&amp;A" xfId="0"/>
    <cellStyle name="_PJ_PJ_VSA 111014_LCD" xfId="0"/>
    <cellStyle name="_PJ_PJ_VSA 111014_PJ" xfId="0"/>
    <cellStyle name="_PJ_PJ_VSA Roll-Up (LW)" xfId="0"/>
    <cellStyle name="_PJ_PJ_VSA Roll-Up (LW) 2" xfId="0"/>
    <cellStyle name="_PJ_PJ_VSA Roll-Up (LW) 3" xfId="0"/>
    <cellStyle name="_PJ_PJ_VSA Roll-Up (LW) 4" xfId="0"/>
    <cellStyle name="_PJ_PJ_VSA Roll-Up (LW) 4 2" xfId="0"/>
    <cellStyle name="_PJ_PJ_VSA Roll-Up (LW)_By Region" xfId="0"/>
    <cellStyle name="_PJ_PJ_VSA Roll-Up (LW)_CORP SG&amp;A" xfId="0"/>
    <cellStyle name="_PJ_PJ_VSA Roll-Up (LW)_LCD" xfId="0"/>
    <cellStyle name="_PJ_PJ_VSA Roll-Up (LW)_PJ" xfId="0"/>
    <cellStyle name="_PJ_PMP(VPD)" xfId="0"/>
    <cellStyle name="_PJ_PMP(VPD) 2" xfId="0"/>
    <cellStyle name="_PJ_PMP(VPD) 3" xfId="0"/>
    <cellStyle name="_PJ_PMP(VPD) 4" xfId="0"/>
    <cellStyle name="_PJ_PMP(VPD)_By Region" xfId="0"/>
    <cellStyle name="_PJ_PMP(VPD)_CORP SG&amp;A" xfId="0"/>
    <cellStyle name="_PJ_PMP(VPD)_GPS OTHER" xfId="0"/>
    <cellStyle name="_PJ_PMP(VPD)_GPS OTHER 2" xfId="0"/>
    <cellStyle name="_PJ_PMP(VPD)_GPS OTHER 3" xfId="0"/>
    <cellStyle name="_PJ_PMP(VPD)_GPS OTHER 4" xfId="0"/>
    <cellStyle name="_PJ_PMP(VPD)_GPS OTHER 4 2" xfId="0"/>
    <cellStyle name="_PJ_PMP(VPD)_GPS OTHER_By Region" xfId="0"/>
    <cellStyle name="_PJ_PMP(VPD)_GPS OTHER_CORP SG&amp;A" xfId="0"/>
    <cellStyle name="_PJ_PMP(VPD)_GPS OTHER_LCD" xfId="0"/>
    <cellStyle name="_PJ_PMP(VPD)_GPS OTHER_PJ" xfId="0"/>
    <cellStyle name="_PJ_PMP(VPD)_PC Products" xfId="0"/>
    <cellStyle name="_PJ_PMP(VPD)_PC Products 2" xfId="0"/>
    <cellStyle name="_PJ_PMP(VPD)_PC Products 3" xfId="0"/>
    <cellStyle name="_PJ_PMP(VPD)_PC Products 4" xfId="0"/>
    <cellStyle name="_PJ_PMP(VPD)_PC Products 4 2" xfId="0"/>
    <cellStyle name="_PJ_PMP(VPD)_PC Products_By Region" xfId="0"/>
    <cellStyle name="_PJ_PMP(VPD)_PC Products_CORP SG&amp;A" xfId="0"/>
    <cellStyle name="_PJ_PMP(VPD)_PC Products_LCD" xfId="0"/>
    <cellStyle name="_PJ_PMP(VPD)_PC Products_PJ" xfId="0"/>
    <cellStyle name="_PJ_PMP(VPD)_VSA 111014" xfId="0"/>
    <cellStyle name="_PJ_PMP(VPD)_VSA 111014 2" xfId="0"/>
    <cellStyle name="_PJ_PMP(VPD)_VSA 111014 3" xfId="0"/>
    <cellStyle name="_PJ_PMP(VPD)_VSA 111014 4" xfId="0"/>
    <cellStyle name="_PJ_PMP(VPD)_VSA 111014 4 2" xfId="0"/>
    <cellStyle name="_PJ_PMP(VPD)_VSA 111014_By Region" xfId="0"/>
    <cellStyle name="_PJ_PMP(VPD)_VSA 111014_CORP SG&amp;A" xfId="0"/>
    <cellStyle name="_PJ_PMP(VPD)_VSA 111014_LCD" xfId="0"/>
    <cellStyle name="_PJ_PMP(VPD)_VSA 111014_PJ" xfId="0"/>
    <cellStyle name="_PJ_PMP(VPD)_VSA Roll-Up (LW)" xfId="0"/>
    <cellStyle name="_PJ_PMP(VPD)_VSA Roll-Up (LW) 2" xfId="0"/>
    <cellStyle name="_PJ_PMP(VPD)_VSA Roll-Up (LW) 3" xfId="0"/>
    <cellStyle name="_PJ_PMP(VPD)_VSA Roll-Up (LW) 4" xfId="0"/>
    <cellStyle name="_PJ_PMP(VPD)_VSA Roll-Up (LW) 4 2" xfId="0"/>
    <cellStyle name="_PJ_PMP(VPD)_VSA Roll-Up (LW)_By Region" xfId="0"/>
    <cellStyle name="_PJ_PMP(VPD)_VSA Roll-Up (LW)_CORP SG&amp;A" xfId="0"/>
    <cellStyle name="_PJ_PMP(VPD)_VSA Roll-Up (LW)_LCD" xfId="0"/>
    <cellStyle name="_PJ_PMP(VPD)_VSA Roll-Up (LW)_PJ" xfId="0"/>
    <cellStyle name="_PJ_Pocket TV" xfId="0"/>
    <cellStyle name="_PJ_Pocket TV 2" xfId="0"/>
    <cellStyle name="_PJ_Pocket TV 3" xfId="0"/>
    <cellStyle name="_PJ_Pocket TV 4" xfId="0"/>
    <cellStyle name="_PJ_Pocket TV_By Region" xfId="0"/>
    <cellStyle name="_PJ_Pocket TV_CORP SG&amp;A" xfId="0"/>
    <cellStyle name="_PJ_Pocket TV_GPS OTHER" xfId="0"/>
    <cellStyle name="_PJ_Pocket TV_GPS OTHER 2" xfId="0"/>
    <cellStyle name="_PJ_Pocket TV_GPS OTHER 3" xfId="0"/>
    <cellStyle name="_PJ_Pocket TV_GPS OTHER 4" xfId="0"/>
    <cellStyle name="_PJ_Pocket TV_GPS OTHER 4 2" xfId="0"/>
    <cellStyle name="_PJ_Pocket TV_GPS OTHER_By Region" xfId="0"/>
    <cellStyle name="_PJ_Pocket TV_GPS OTHER_CORP SG&amp;A" xfId="0"/>
    <cellStyle name="_PJ_Pocket TV_GPS OTHER_LCD" xfId="0"/>
    <cellStyle name="_PJ_Pocket TV_GPS OTHER_PJ" xfId="0"/>
    <cellStyle name="_PJ_Pocket TV_PC Products" xfId="0"/>
    <cellStyle name="_PJ_Pocket TV_PC Products 2" xfId="0"/>
    <cellStyle name="_PJ_Pocket TV_PC Products 3" xfId="0"/>
    <cellStyle name="_PJ_Pocket TV_PC Products 4" xfId="0"/>
    <cellStyle name="_PJ_Pocket TV_PC Products 4 2" xfId="0"/>
    <cellStyle name="_PJ_Pocket TV_PC Products_By Region" xfId="0"/>
    <cellStyle name="_PJ_Pocket TV_PC Products_CORP SG&amp;A" xfId="0"/>
    <cellStyle name="_PJ_Pocket TV_PC Products_LCD" xfId="0"/>
    <cellStyle name="_PJ_Pocket TV_PC Products_PJ" xfId="0"/>
    <cellStyle name="_PJ_Pocket TV_VSA 111014" xfId="0"/>
    <cellStyle name="_PJ_Pocket TV_VSA 111014 2" xfId="0"/>
    <cellStyle name="_PJ_Pocket TV_VSA 111014 3" xfId="0"/>
    <cellStyle name="_PJ_Pocket TV_VSA 111014 4" xfId="0"/>
    <cellStyle name="_PJ_Pocket TV_VSA 111014 4 2" xfId="0"/>
    <cellStyle name="_PJ_Pocket TV_VSA 111014_By Region" xfId="0"/>
    <cellStyle name="_PJ_Pocket TV_VSA 111014_CORP SG&amp;A" xfId="0"/>
    <cellStyle name="_PJ_Pocket TV_VSA 111014_LCD" xfId="0"/>
    <cellStyle name="_PJ_Pocket TV_VSA 111014_PJ" xfId="0"/>
    <cellStyle name="_PJ_Pocket TV_VSA Roll-Up (LW)" xfId="0"/>
    <cellStyle name="_PJ_Pocket TV_VSA Roll-Up (LW) 2" xfId="0"/>
    <cellStyle name="_PJ_Pocket TV_VSA Roll-Up (LW) 3" xfId="0"/>
    <cellStyle name="_PJ_Pocket TV_VSA Roll-Up (LW) 4" xfId="0"/>
    <cellStyle name="_PJ_Pocket TV_VSA Roll-Up (LW) 4 2" xfId="0"/>
    <cellStyle name="_PJ_Pocket TV_VSA Roll-Up (LW)_By Region" xfId="0"/>
    <cellStyle name="_PJ_Pocket TV_VSA Roll-Up (LW)_CORP SG&amp;A" xfId="0"/>
    <cellStyle name="_PJ_Pocket TV_VSA Roll-Up (LW)_LCD" xfId="0"/>
    <cellStyle name="_PJ_Pocket TV_VSA Roll-Up (LW)_PJ" xfId="0"/>
    <cellStyle name="_PJ_Pocket_TV" xfId="0"/>
    <cellStyle name="_PJ_Pocket_TV 2" xfId="0"/>
    <cellStyle name="_PJ_Pocket_TV 3" xfId="0"/>
    <cellStyle name="_PJ_Pocket_TV 4" xfId="0"/>
    <cellStyle name="_PJ_Pocket_TV_By Region" xfId="0"/>
    <cellStyle name="_PJ_Pocket_TV_CORP SG&amp;A" xfId="0"/>
    <cellStyle name="_PJ_Pocket_TV_GPS OTHER" xfId="0"/>
    <cellStyle name="_PJ_Pocket_TV_GPS OTHER 2" xfId="0"/>
    <cellStyle name="_PJ_Pocket_TV_GPS OTHER 3" xfId="0"/>
    <cellStyle name="_PJ_Pocket_TV_GPS OTHER 4" xfId="0"/>
    <cellStyle name="_PJ_Pocket_TV_GPS OTHER 4 2" xfId="0"/>
    <cellStyle name="_PJ_Pocket_TV_GPS OTHER_By Region" xfId="0"/>
    <cellStyle name="_PJ_Pocket_TV_GPS OTHER_CORP SG&amp;A" xfId="0"/>
    <cellStyle name="_PJ_Pocket_TV_GPS OTHER_LCD" xfId="0"/>
    <cellStyle name="_PJ_Pocket_TV_GPS OTHER_PJ" xfId="0"/>
    <cellStyle name="_PJ_Pocket_TV_PC Products" xfId="0"/>
    <cellStyle name="_PJ_Pocket_TV_PC Products 2" xfId="0"/>
    <cellStyle name="_PJ_Pocket_TV_PC Products 3" xfId="0"/>
    <cellStyle name="_PJ_Pocket_TV_PC Products 4" xfId="0"/>
    <cellStyle name="_PJ_Pocket_TV_PC Products 4 2" xfId="0"/>
    <cellStyle name="_PJ_Pocket_TV_PC Products_By Region" xfId="0"/>
    <cellStyle name="_PJ_Pocket_TV_PC Products_CORP SG&amp;A" xfId="0"/>
    <cellStyle name="_PJ_Pocket_TV_PC Products_LCD" xfId="0"/>
    <cellStyle name="_PJ_Pocket_TV_PC Products_PJ" xfId="0"/>
    <cellStyle name="_PJ_Pocket_TV_VSA 111014" xfId="0"/>
    <cellStyle name="_PJ_Pocket_TV_VSA 111014 2" xfId="0"/>
    <cellStyle name="_PJ_Pocket_TV_VSA 111014 3" xfId="0"/>
    <cellStyle name="_PJ_Pocket_TV_VSA 111014 4" xfId="0"/>
    <cellStyle name="_PJ_Pocket_TV_VSA 111014 4 2" xfId="0"/>
    <cellStyle name="_PJ_Pocket_TV_VSA 111014_By Region" xfId="0"/>
    <cellStyle name="_PJ_Pocket_TV_VSA 111014_CORP SG&amp;A" xfId="0"/>
    <cellStyle name="_PJ_Pocket_TV_VSA 111014_LCD" xfId="0"/>
    <cellStyle name="_PJ_Pocket_TV_VSA 111014_PJ" xfId="0"/>
    <cellStyle name="_PJ_Pocket_TV_VSA Roll-Up (LW)" xfId="0"/>
    <cellStyle name="_PJ_Pocket_TV_VSA Roll-Up (LW) 2" xfId="0"/>
    <cellStyle name="_PJ_Pocket_TV_VSA Roll-Up (LW) 3" xfId="0"/>
    <cellStyle name="_PJ_Pocket_TV_VSA Roll-Up (LW) 4" xfId="0"/>
    <cellStyle name="_PJ_Pocket_TV_VSA Roll-Up (LW) 4 2" xfId="0"/>
    <cellStyle name="_PJ_Pocket_TV_VSA Roll-Up (LW)_By Region" xfId="0"/>
    <cellStyle name="_PJ_Pocket_TV_VSA Roll-Up (LW)_CORP SG&amp;A" xfId="0"/>
    <cellStyle name="_PJ_Pocket_TV_VSA Roll-Up (LW)_LCD" xfId="0"/>
    <cellStyle name="_PJ_Pocket_TV_VSA Roll-Up (LW)_PJ" xfId="0"/>
    <cellStyle name="_PJ_TV" xfId="0"/>
    <cellStyle name="_PJ_TV 2" xfId="0"/>
    <cellStyle name="_PJ_TV 3" xfId="0"/>
    <cellStyle name="_PJ_TV 4" xfId="0"/>
    <cellStyle name="_PJ_TV_By Region" xfId="0"/>
    <cellStyle name="_PJ_TV_CORP SG&amp;A" xfId="0"/>
    <cellStyle name="_PJ_TV_GPS OTHER" xfId="0"/>
    <cellStyle name="_PJ_TV_GPS OTHER 2" xfId="0"/>
    <cellStyle name="_PJ_TV_GPS OTHER 3" xfId="0"/>
    <cellStyle name="_PJ_TV_GPS OTHER 4" xfId="0"/>
    <cellStyle name="_PJ_TV_GPS OTHER 4 2" xfId="0"/>
    <cellStyle name="_PJ_TV_GPS OTHER_By Region" xfId="0"/>
    <cellStyle name="_PJ_TV_GPS OTHER_CORP SG&amp;A" xfId="0"/>
    <cellStyle name="_PJ_TV_GPS OTHER_LCD" xfId="0"/>
    <cellStyle name="_PJ_TV_GPS OTHER_PJ" xfId="0"/>
    <cellStyle name="_PJ_TV_PC Products" xfId="0"/>
    <cellStyle name="_PJ_TV_PC Products 2" xfId="0"/>
    <cellStyle name="_PJ_TV_PC Products 3" xfId="0"/>
    <cellStyle name="_PJ_TV_PC Products 4" xfId="0"/>
    <cellStyle name="_PJ_TV_PC Products 4 2" xfId="0"/>
    <cellStyle name="_PJ_TV_PC Products_By Region" xfId="0"/>
    <cellStyle name="_PJ_TV_PC Products_CORP SG&amp;A" xfId="0"/>
    <cellStyle name="_PJ_TV_PC Products_LCD" xfId="0"/>
    <cellStyle name="_PJ_TV_PC Products_PJ" xfId="0"/>
    <cellStyle name="_PJ_TV_VSA 111014" xfId="0"/>
    <cellStyle name="_PJ_TV_VSA 111014 2" xfId="0"/>
    <cellStyle name="_PJ_TV_VSA 111014 3" xfId="0"/>
    <cellStyle name="_PJ_TV_VSA 111014 4" xfId="0"/>
    <cellStyle name="_PJ_TV_VSA 111014 4 2" xfId="0"/>
    <cellStyle name="_PJ_TV_VSA 111014_By Region" xfId="0"/>
    <cellStyle name="_PJ_TV_VSA 111014_CORP SG&amp;A" xfId="0"/>
    <cellStyle name="_PJ_TV_VSA 111014_LCD" xfId="0"/>
    <cellStyle name="_PJ_TV_VSA 111014_PJ" xfId="0"/>
    <cellStyle name="_PJ_TV_VSA Roll-Up (LW)" xfId="0"/>
    <cellStyle name="_PJ_TV_VSA Roll-Up (LW) 2" xfId="0"/>
    <cellStyle name="_PJ_TV_VSA Roll-Up (LW) 3" xfId="0"/>
    <cellStyle name="_PJ_TV_VSA Roll-Up (LW) 4" xfId="0"/>
    <cellStyle name="_PJ_TV_VSA Roll-Up (LW) 4 2" xfId="0"/>
    <cellStyle name="_PJ_TV_VSA Roll-Up (LW)_By Region" xfId="0"/>
    <cellStyle name="_PJ_TV_VSA Roll-Up (LW)_CORP SG&amp;A" xfId="0"/>
    <cellStyle name="_PJ_TV_VSA Roll-Up (LW)_LCD" xfId="0"/>
    <cellStyle name="_PJ_TV_VSA Roll-Up (LW)_PJ" xfId="0"/>
    <cellStyle name="_PJ_VD" xfId="0"/>
    <cellStyle name="_PJ_VD 2" xfId="0"/>
    <cellStyle name="_PJ_VD 3" xfId="0"/>
    <cellStyle name="_PJ_VD 4" xfId="0"/>
    <cellStyle name="_PJ_VD_By Region" xfId="0"/>
    <cellStyle name="_PJ_VD_CORP SG&amp;A" xfId="0"/>
    <cellStyle name="_PJ_VD_GPS OTHER" xfId="0"/>
    <cellStyle name="_PJ_VD_GPS OTHER 2" xfId="0"/>
    <cellStyle name="_PJ_VD_GPS OTHER 3" xfId="0"/>
    <cellStyle name="_PJ_VD_GPS OTHER 4" xfId="0"/>
    <cellStyle name="_PJ_VD_GPS OTHER 4 2" xfId="0"/>
    <cellStyle name="_PJ_VD_GPS OTHER_By Region" xfId="0"/>
    <cellStyle name="_PJ_VD_GPS OTHER_CORP SG&amp;A" xfId="0"/>
    <cellStyle name="_PJ_VD_GPS OTHER_LCD" xfId="0"/>
    <cellStyle name="_PJ_VD_GPS OTHER_PJ" xfId="0"/>
    <cellStyle name="_PJ_VD_PC Products" xfId="0"/>
    <cellStyle name="_PJ_VD_PC Products 2" xfId="0"/>
    <cellStyle name="_PJ_VD_PC Products 3" xfId="0"/>
    <cellStyle name="_PJ_VD_PC Products 4" xfId="0"/>
    <cellStyle name="_PJ_VD_PC Products 4 2" xfId="0"/>
    <cellStyle name="_PJ_VD_PC Products_By Region" xfId="0"/>
    <cellStyle name="_PJ_VD_PC Products_CORP SG&amp;A" xfId="0"/>
    <cellStyle name="_PJ_VD_PC Products_LCD" xfId="0"/>
    <cellStyle name="_PJ_VD_PC Products_PJ" xfId="0"/>
    <cellStyle name="_PJ_VD_VSA 111014" xfId="0"/>
    <cellStyle name="_PJ_VD_VSA 111014 2" xfId="0"/>
    <cellStyle name="_PJ_VD_VSA 111014 3" xfId="0"/>
    <cellStyle name="_PJ_VD_VSA 111014 4" xfId="0"/>
    <cellStyle name="_PJ_VD_VSA 111014 4 2" xfId="0"/>
    <cellStyle name="_PJ_VD_VSA 111014_By Region" xfId="0"/>
    <cellStyle name="_PJ_VD_VSA 111014_CORP SG&amp;A" xfId="0"/>
    <cellStyle name="_PJ_VD_VSA 111014_LCD" xfId="0"/>
    <cellStyle name="_PJ_VD_VSA 111014_PJ" xfId="0"/>
    <cellStyle name="_PJ_VD_VSA Roll-Up (LW)" xfId="0"/>
    <cellStyle name="_PJ_VD_VSA Roll-Up (LW) 2" xfId="0"/>
    <cellStyle name="_PJ_VD_VSA Roll-Up (LW) 3" xfId="0"/>
    <cellStyle name="_PJ_VD_VSA Roll-Up (LW) 4" xfId="0"/>
    <cellStyle name="_PJ_VD_VSA Roll-Up (LW) 4 2" xfId="0"/>
    <cellStyle name="_PJ_VD_VSA Roll-Up (LW)_By Region" xfId="0"/>
    <cellStyle name="_PJ_VD_VSA Roll-Up (LW)_CORP SG&amp;A" xfId="0"/>
    <cellStyle name="_PJ_VD_VSA Roll-Up (LW)_LCD" xfId="0"/>
    <cellStyle name="_PJ_VD_VSA Roll-Up (LW)_PJ" xfId="0"/>
    <cellStyle name="_PJ_VSA 111014" xfId="0"/>
    <cellStyle name="_PJ_VSA 111014 2" xfId="0"/>
    <cellStyle name="_PJ_VSA 111014 3" xfId="0"/>
    <cellStyle name="_PJ_VSA 111014 4" xfId="0"/>
    <cellStyle name="_PJ_VSA 111014 4 2" xfId="0"/>
    <cellStyle name="_PJ_VSA 111014_By Region" xfId="0"/>
    <cellStyle name="_PJ_VSA 111014_CORP SG&amp;A" xfId="0"/>
    <cellStyle name="_PJ_VSA 111014_LCD" xfId="0"/>
    <cellStyle name="_PJ_VSA 111014_PJ" xfId="0"/>
    <cellStyle name="_PJ_VSA Roll-Up (LW)" xfId="0"/>
    <cellStyle name="_PJ_VSA Roll-Up (LW) 2" xfId="0"/>
    <cellStyle name="_PJ_VSA Roll-Up (LW) 3" xfId="0"/>
    <cellStyle name="_PJ_VSA Roll-Up (LW) 4" xfId="0"/>
    <cellStyle name="_PJ_VSA Roll-Up (LW) 4 2" xfId="0"/>
    <cellStyle name="_PJ_VSA Roll-Up (LW)_By Region" xfId="0"/>
    <cellStyle name="_PJ_VSA Roll-Up (LW)_CORP SG&amp;A" xfId="0"/>
    <cellStyle name="_PJ_VSA Roll-Up (LW)_LCD" xfId="0"/>
    <cellStyle name="_PJ_VSA Roll-Up (LW)_PJ" xfId="0"/>
    <cellStyle name="_PJ_VSE 2011 Budget" xfId="0"/>
    <cellStyle name="_PJ_VSE 2011 Budget 2" xfId="0"/>
    <cellStyle name="_PJ_VSE 2011 Budget 3" xfId="0"/>
    <cellStyle name="_PJ_VSE 2011 Budget 4" xfId="0"/>
    <cellStyle name="_PJ_VSE 2011 Budget_By Region" xfId="0"/>
    <cellStyle name="_PJ_VSE 2011 Budget_CORP SG&amp;A" xfId="0"/>
    <cellStyle name="_PJ_VSE 2011 Budget_GPS OTHER" xfId="0"/>
    <cellStyle name="_PJ_VSE 2011 Budget_GPS OTHER 2" xfId="0"/>
    <cellStyle name="_PJ_VSE 2011 Budget_GPS OTHER 3" xfId="0"/>
    <cellStyle name="_PJ_VSE 2011 Budget_GPS OTHER 4" xfId="0"/>
    <cellStyle name="_PJ_VSE 2011 Budget_GPS OTHER 4 2" xfId="0"/>
    <cellStyle name="_PJ_VSE 2011 Budget_GPS OTHER_By Region" xfId="0"/>
    <cellStyle name="_PJ_VSE 2011 Budget_GPS OTHER_CORP SG&amp;A" xfId="0"/>
    <cellStyle name="_PJ_VSE 2011 Budget_GPS OTHER_LCD" xfId="0"/>
    <cellStyle name="_PJ_VSE 2011 Budget_GPS OTHER_PJ" xfId="0"/>
    <cellStyle name="_PJ_VSE 2011 Budget_PC Products" xfId="0"/>
    <cellStyle name="_PJ_VSE 2011 Budget_PC Products 2" xfId="0"/>
    <cellStyle name="_PJ_VSE 2011 Budget_PC Products 3" xfId="0"/>
    <cellStyle name="_PJ_VSE 2011 Budget_PC Products 4" xfId="0"/>
    <cellStyle name="_PJ_VSE 2011 Budget_PC Products 4 2" xfId="0"/>
    <cellStyle name="_PJ_VSE 2011 Budget_PC Products_By Region" xfId="0"/>
    <cellStyle name="_PJ_VSE 2011 Budget_PC Products_CORP SG&amp;A" xfId="0"/>
    <cellStyle name="_PJ_VSE 2011 Budget_PC Products_LCD" xfId="0"/>
    <cellStyle name="_PJ_VSE 2011 Budget_PC Products_PJ" xfId="0"/>
    <cellStyle name="_PJ_VSE 2011 Budget_VSA 111014" xfId="0"/>
    <cellStyle name="_PJ_VSE 2011 Budget_VSA 111014 2" xfId="0"/>
    <cellStyle name="_PJ_VSE 2011 Budget_VSA 111014 3" xfId="0"/>
    <cellStyle name="_PJ_VSE 2011 Budget_VSA 111014 4" xfId="0"/>
    <cellStyle name="_PJ_VSE 2011 Budget_VSA 111014 4 2" xfId="0"/>
    <cellStyle name="_PJ_VSE 2011 Budget_VSA 111014_By Region" xfId="0"/>
    <cellStyle name="_PJ_VSE 2011 Budget_VSA 111014_CORP SG&amp;A" xfId="0"/>
    <cellStyle name="_PJ_VSE 2011 Budget_VSA 111014_LCD" xfId="0"/>
    <cellStyle name="_PJ_VSE 2011 Budget_VSA 111014_PJ" xfId="0"/>
    <cellStyle name="_PJ_VSE 2011 Budget_VSA Roll-Up (LW)" xfId="0"/>
    <cellStyle name="_PJ_VSE 2011 Budget_VSA Roll-Up (LW) 2" xfId="0"/>
    <cellStyle name="_PJ_VSE 2011 Budget_VSA Roll-Up (LW) 3" xfId="0"/>
    <cellStyle name="_PJ_VSE 2011 Budget_VSA Roll-Up (LW) 4" xfId="0"/>
    <cellStyle name="_PJ_VSE 2011 Budget_VSA Roll-Up (LW) 4 2" xfId="0"/>
    <cellStyle name="_PJ_VSE 2011 Budget_VSA Roll-Up (LW)_By Region" xfId="0"/>
    <cellStyle name="_PJ_VSE 2011 Budget_VSA Roll-Up (LW)_CORP SG&amp;A" xfId="0"/>
    <cellStyle name="_PJ_VSE 2011 Budget_VSA Roll-Up (LW)_LCD" xfId="0"/>
    <cellStyle name="_PJ_VSE 2011 Budget_VSA Roll-Up (LW)_PJ" xfId="0"/>
    <cellStyle name="_PJ_VSE 2H  WFP review (Spring Global meeting)-conservative Adam working v3" xfId="0"/>
    <cellStyle name="_PJ_VSE 2H  WFP review (Spring Global meeting)-conservative Adam working v3 2" xfId="0"/>
    <cellStyle name="_PJ_VSE 2H  WFP review (Spring Global meeting)-conservative Adam working v3 3" xfId="0"/>
    <cellStyle name="_PJ_VSE 2H Rebalance 110712" xfId="0"/>
    <cellStyle name="_PJ_VSE 2H Rebalance 110712 2" xfId="0"/>
    <cellStyle name="_PJ_VSE 2H Rebalance 110712 3" xfId="0"/>
    <cellStyle name="_PJ_VSE 2H Rebalance 110712 4" xfId="0"/>
    <cellStyle name="_PJ_VSE 2H Rebalance 110712_By Region" xfId="0"/>
    <cellStyle name="_PJ_VSE 2H Rebalance 110712_CORP SG&amp;A" xfId="0"/>
    <cellStyle name="_PJ_VSE WFP 101203" xfId="0"/>
    <cellStyle name="_PJ_VSE WFP 101203 2" xfId="0"/>
    <cellStyle name="_PJ_VSE WFP 101203 3" xfId="0"/>
    <cellStyle name="_PJ_VSE WFP 101203 4" xfId="0"/>
    <cellStyle name="_PJ_VSE WFP 101203_By Region" xfId="0"/>
    <cellStyle name="_PJ_VSE WFP 101203_CORP SG&amp;A" xfId="0"/>
    <cellStyle name="_PJ_VSE WFP 110311" xfId="0"/>
    <cellStyle name="_PJ_VSE WFP 110311 2" xfId="0"/>
    <cellStyle name="_PJ_VSE WFP 110311 3" xfId="0"/>
    <cellStyle name="_PJ_VSE WFP 110311 4" xfId="0"/>
    <cellStyle name="_PJ_VSE WFP 110311_By Region" xfId="0"/>
    <cellStyle name="_PJ_VSE WFP 110311_CORP SG&amp;A" xfId="0"/>
    <cellStyle name="_PJ_VSE WFP 110415" xfId="0"/>
    <cellStyle name="_PJ_VSE WFP 110415 2" xfId="0"/>
    <cellStyle name="_PJ_VSE WFP 110415 3" xfId="0"/>
    <cellStyle name="_PJ_VSE WFP 110415 4" xfId="0"/>
    <cellStyle name="_PJ_VSE WFP 110415_By Region" xfId="0"/>
    <cellStyle name="_PJ_VSE WFP 110415_CORP SG&amp;A" xfId="0"/>
    <cellStyle name="_PJ_VSE WFP_100409" xfId="0"/>
    <cellStyle name="_PJ_VSE WFP_100409 2" xfId="0"/>
    <cellStyle name="_PJ_VSE WFP_100409 3" xfId="0"/>
    <cellStyle name="_PJ_VSE WFP_100409 4" xfId="0"/>
    <cellStyle name="_PJ_VSE WFP_100409_By Region" xfId="0"/>
    <cellStyle name="_PJ_VSE WFP_100409_CORP SG&amp;A" xfId="0"/>
    <cellStyle name="_PJ_VSE WFP_100409_GPS OTHER" xfId="0"/>
    <cellStyle name="_PJ_VSE WFP_100409_GPS OTHER 2" xfId="0"/>
    <cellStyle name="_PJ_VSE WFP_100409_GPS OTHER 3" xfId="0"/>
    <cellStyle name="_PJ_VSE WFP_100409_GPS OTHER 4" xfId="0"/>
    <cellStyle name="_PJ_VSE WFP_100409_GPS OTHER 4 2" xfId="0"/>
    <cellStyle name="_PJ_VSE WFP_100409_GPS OTHER_By Region" xfId="0"/>
    <cellStyle name="_PJ_VSE WFP_100409_GPS OTHER_CORP SG&amp;A" xfId="0"/>
    <cellStyle name="_PJ_VSE WFP_100409_GPS OTHER_LCD" xfId="0"/>
    <cellStyle name="_PJ_VSE WFP_100409_GPS OTHER_PJ" xfId="0"/>
    <cellStyle name="_PJ_VSE WFP_100409_PC Products" xfId="0"/>
    <cellStyle name="_PJ_VSE WFP_100409_PC Products 2" xfId="0"/>
    <cellStyle name="_PJ_VSE WFP_100409_PC Products 3" xfId="0"/>
    <cellStyle name="_PJ_VSE WFP_100409_PC Products 4" xfId="0"/>
    <cellStyle name="_PJ_VSE WFP_100409_PC Products 4 2" xfId="0"/>
    <cellStyle name="_PJ_VSE WFP_100409_PC Products_By Region" xfId="0"/>
    <cellStyle name="_PJ_VSE WFP_100409_PC Products_CORP SG&amp;A" xfId="0"/>
    <cellStyle name="_PJ_VSE WFP_100409_PC Products_LCD" xfId="0"/>
    <cellStyle name="_PJ_VSE WFP_100409_PC Products_PJ" xfId="0"/>
    <cellStyle name="_PJ_VSE WFP_100409_VSA 111014" xfId="0"/>
    <cellStyle name="_PJ_VSE WFP_100409_VSA 111014 2" xfId="0"/>
    <cellStyle name="_PJ_VSE WFP_100409_VSA 111014 3" xfId="0"/>
    <cellStyle name="_PJ_VSE WFP_100409_VSA 111014 4" xfId="0"/>
    <cellStyle name="_PJ_VSE WFP_100409_VSA 111014 4 2" xfId="0"/>
    <cellStyle name="_PJ_VSE WFP_100409_VSA 111014_By Region" xfId="0"/>
    <cellStyle name="_PJ_VSE WFP_100409_VSA 111014_CORP SG&amp;A" xfId="0"/>
    <cellStyle name="_PJ_VSE WFP_100409_VSA 111014_LCD" xfId="0"/>
    <cellStyle name="_PJ_VSE WFP_100409_VSA 111014_PJ" xfId="0"/>
    <cellStyle name="_PJ_VSE WFP_100409_VSA Roll-Up (LW)" xfId="0"/>
    <cellStyle name="_PJ_VSE WFP_100409_VSA Roll-Up (LW) 2" xfId="0"/>
    <cellStyle name="_PJ_VSE WFP_100409_VSA Roll-Up (LW) 3" xfId="0"/>
    <cellStyle name="_PJ_VSE WFP_100409_VSA Roll-Up (LW) 4" xfId="0"/>
    <cellStyle name="_PJ_VSE WFP_100409_VSA Roll-Up (LW) 4 2" xfId="0"/>
    <cellStyle name="_PJ_VSE WFP_100409_VSA Roll-Up (LW)_By Region" xfId="0"/>
    <cellStyle name="_PJ_VSE WFP_100409_VSA Roll-Up (LW)_CORP SG&amp;A" xfId="0"/>
    <cellStyle name="_PJ_VSE WFP_100409_VSA Roll-Up (LW)_LCD" xfId="0"/>
    <cellStyle name="_PJ_VSE WFP_100409_VSA Roll-Up (LW)_PJ" xfId="0"/>
    <cellStyle name="_PJ_VSE WFP_100421 v2" xfId="0"/>
    <cellStyle name="_PJ_VSE WFP_100421 v2 2" xfId="0"/>
    <cellStyle name="_PJ_VSE WFP_100421 v2 3" xfId="0"/>
    <cellStyle name="_PJ_VSE WFP_100421 v2 4" xfId="0"/>
    <cellStyle name="_PJ_VSE WFP_100421 v2_By Region" xfId="0"/>
    <cellStyle name="_PJ_VSE WFP_100421 v2_CORP SG&amp;A" xfId="0"/>
    <cellStyle name="_PJ_VSE WFP_100421 v2_GPS OTHER" xfId="0"/>
    <cellStyle name="_PJ_VSE WFP_100421 v2_GPS OTHER 2" xfId="0"/>
    <cellStyle name="_PJ_VSE WFP_100421 v2_GPS OTHER 3" xfId="0"/>
    <cellStyle name="_PJ_VSE WFP_100421 v2_GPS OTHER 4" xfId="0"/>
    <cellStyle name="_PJ_VSE WFP_100421 v2_GPS OTHER 4 2" xfId="0"/>
    <cellStyle name="_PJ_VSE WFP_100421 v2_GPS OTHER_By Region" xfId="0"/>
    <cellStyle name="_PJ_VSE WFP_100421 v2_GPS OTHER_CORP SG&amp;A" xfId="0"/>
    <cellStyle name="_PJ_VSE WFP_100421 v2_GPS OTHER_LCD" xfId="0"/>
    <cellStyle name="_PJ_VSE WFP_100421 v2_GPS OTHER_PJ" xfId="0"/>
    <cellStyle name="_PJ_VSE WFP_100421 v2_PC Products" xfId="0"/>
    <cellStyle name="_PJ_VSE WFP_100421 v2_PC Products 2" xfId="0"/>
    <cellStyle name="_PJ_VSE WFP_100421 v2_PC Products 3" xfId="0"/>
    <cellStyle name="_PJ_VSE WFP_100421 v2_PC Products 4" xfId="0"/>
    <cellStyle name="_PJ_VSE WFP_100421 v2_PC Products 4 2" xfId="0"/>
    <cellStyle name="_PJ_VSE WFP_100421 v2_PC Products_By Region" xfId="0"/>
    <cellStyle name="_PJ_VSE WFP_100421 v2_PC Products_CORP SG&amp;A" xfId="0"/>
    <cellStyle name="_PJ_VSE WFP_100421 v2_PC Products_LCD" xfId="0"/>
    <cellStyle name="_PJ_VSE WFP_100421 v2_PC Products_PJ" xfId="0"/>
    <cellStyle name="_PJ_VSE WFP_100421 v2_VSA 111014" xfId="0"/>
    <cellStyle name="_PJ_VSE WFP_100421 v2_VSA 111014 2" xfId="0"/>
    <cellStyle name="_PJ_VSE WFP_100421 v2_VSA 111014 3" xfId="0"/>
    <cellStyle name="_PJ_VSE WFP_100421 v2_VSA 111014 4" xfId="0"/>
    <cellStyle name="_PJ_VSE WFP_100421 v2_VSA 111014 4 2" xfId="0"/>
    <cellStyle name="_PJ_VSE WFP_100421 v2_VSA 111014_By Region" xfId="0"/>
    <cellStyle name="_PJ_VSE WFP_100421 v2_VSA 111014_CORP SG&amp;A" xfId="0"/>
    <cellStyle name="_PJ_VSE WFP_100421 v2_VSA 111014_LCD" xfId="0"/>
    <cellStyle name="_PJ_VSE WFP_100421 v2_VSA 111014_PJ" xfId="0"/>
    <cellStyle name="_PJ_VSE WFP_100421 v2_VSA Roll-Up (LW)" xfId="0"/>
    <cellStyle name="_PJ_VSE WFP_100421 v2_VSA Roll-Up (LW) 2" xfId="0"/>
    <cellStyle name="_PJ_VSE WFP_100421 v2_VSA Roll-Up (LW) 3" xfId="0"/>
    <cellStyle name="_PJ_VSE WFP_100421 v2_VSA Roll-Up (LW) 4" xfId="0"/>
    <cellStyle name="_PJ_VSE WFP_100421 v2_VSA Roll-Up (LW) 4 2" xfId="0"/>
    <cellStyle name="_PJ_VSE WFP_100421 v2_VSA Roll-Up (LW)_By Region" xfId="0"/>
    <cellStyle name="_PJ_VSE WFP_100421 v2_VSA Roll-Up (LW)_CORP SG&amp;A" xfId="0"/>
    <cellStyle name="_PJ_VSE WFP_100421 v2_VSA Roll-Up (LW)_LCD" xfId="0"/>
    <cellStyle name="_PJ_VSE WFP_100421 v2_VSA Roll-Up (LW)_PJ" xfId="0"/>
    <cellStyle name="_PJ_VSE WFP_100507" xfId="0"/>
    <cellStyle name="_PJ_VSE WFP_100507 2" xfId="0"/>
    <cellStyle name="_PJ_VSE WFP_100507 3" xfId="0"/>
    <cellStyle name="_PJ_VSE WFP_100507 4" xfId="0"/>
    <cellStyle name="_PJ_VSE WFP_100507_By Region" xfId="0"/>
    <cellStyle name="_PJ_VSE WFP_100507_CORP SG&amp;A" xfId="0"/>
    <cellStyle name="_PJ_VSE WFP_100507_GPS OTHER" xfId="0"/>
    <cellStyle name="_PJ_VSE WFP_100507_GPS OTHER 2" xfId="0"/>
    <cellStyle name="_PJ_VSE WFP_100507_GPS OTHER 3" xfId="0"/>
    <cellStyle name="_PJ_VSE WFP_100507_GPS OTHER 4" xfId="0"/>
    <cellStyle name="_PJ_VSE WFP_100507_GPS OTHER 4 2" xfId="0"/>
    <cellStyle name="_PJ_VSE WFP_100507_GPS OTHER_By Region" xfId="0"/>
    <cellStyle name="_PJ_VSE WFP_100507_GPS OTHER_CORP SG&amp;A" xfId="0"/>
    <cellStyle name="_PJ_VSE WFP_100507_GPS OTHER_LCD" xfId="0"/>
    <cellStyle name="_PJ_VSE WFP_100507_GPS OTHER_PJ" xfId="0"/>
    <cellStyle name="_PJ_VSE WFP_100507_PC Products" xfId="0"/>
    <cellStyle name="_PJ_VSE WFP_100507_PC Products 2" xfId="0"/>
    <cellStyle name="_PJ_VSE WFP_100507_PC Products 3" xfId="0"/>
    <cellStyle name="_PJ_VSE WFP_100507_PC Products 4" xfId="0"/>
    <cellStyle name="_PJ_VSE WFP_100507_PC Products 4 2" xfId="0"/>
    <cellStyle name="_PJ_VSE WFP_100507_PC Products_By Region" xfId="0"/>
    <cellStyle name="_PJ_VSE WFP_100507_PC Products_CORP SG&amp;A" xfId="0"/>
    <cellStyle name="_PJ_VSE WFP_100507_PC Products_LCD" xfId="0"/>
    <cellStyle name="_PJ_VSE WFP_100507_PC Products_PJ" xfId="0"/>
    <cellStyle name="_PJ_VSE WFP_100507_VSA 111014" xfId="0"/>
    <cellStyle name="_PJ_VSE WFP_100507_VSA 111014 2" xfId="0"/>
    <cellStyle name="_PJ_VSE WFP_100507_VSA 111014 3" xfId="0"/>
    <cellStyle name="_PJ_VSE WFP_100507_VSA 111014 4" xfId="0"/>
    <cellStyle name="_PJ_VSE WFP_100507_VSA 111014 4 2" xfId="0"/>
    <cellStyle name="_PJ_VSE WFP_100507_VSA 111014_By Region" xfId="0"/>
    <cellStyle name="_PJ_VSE WFP_100507_VSA 111014_CORP SG&amp;A" xfId="0"/>
    <cellStyle name="_PJ_VSE WFP_100507_VSA 111014_LCD" xfId="0"/>
    <cellStyle name="_PJ_VSE WFP_100507_VSA 111014_PJ" xfId="0"/>
    <cellStyle name="_PJ_VSE WFP_100507_VSA Roll-Up (LW)" xfId="0"/>
    <cellStyle name="_PJ_VSE WFP_100507_VSA Roll-Up (LW) 2" xfId="0"/>
    <cellStyle name="_PJ_VSE WFP_100507_VSA Roll-Up (LW) 3" xfId="0"/>
    <cellStyle name="_PJ_VSE WFP_100507_VSA Roll-Up (LW) 4" xfId="0"/>
    <cellStyle name="_PJ_VSE WFP_100507_VSA Roll-Up (LW) 4 2" xfId="0"/>
    <cellStyle name="_PJ_VSE WFP_100507_VSA Roll-Up (LW)_By Region" xfId="0"/>
    <cellStyle name="_PJ_VSE WFP_100507_VSA Roll-Up (LW)_CORP SG&amp;A" xfId="0"/>
    <cellStyle name="_PJ_VSE WFP_100507_VSA Roll-Up (LW)_LCD" xfId="0"/>
    <cellStyle name="_PJ_VSE WFP_100507_VSA Roll-Up (LW)_PJ" xfId="0"/>
    <cellStyle name="_PJ_VSE WFP_100608" xfId="0"/>
    <cellStyle name="_PJ_VSE WFP_100608 2" xfId="0"/>
    <cellStyle name="_PJ_VSE WFP_100608 3" xfId="0"/>
    <cellStyle name="_PJ_VSE WFP_100608 4" xfId="0"/>
    <cellStyle name="_PJ_VSE WFP_100608_By Region" xfId="0"/>
    <cellStyle name="_PJ_VSE WFP_100608_CORP SG&amp;A" xfId="0"/>
    <cellStyle name="_PJ_VSE WFP_100608_GPS OTHER" xfId="0"/>
    <cellStyle name="_PJ_VSE WFP_100608_GPS OTHER 2" xfId="0"/>
    <cellStyle name="_PJ_VSE WFP_100608_GPS OTHER 3" xfId="0"/>
    <cellStyle name="_PJ_VSE WFP_100608_GPS OTHER 4" xfId="0"/>
    <cellStyle name="_PJ_VSE WFP_100608_GPS OTHER 4 2" xfId="0"/>
    <cellStyle name="_PJ_VSE WFP_100608_GPS OTHER_By Region" xfId="0"/>
    <cellStyle name="_PJ_VSE WFP_100608_GPS OTHER_CORP SG&amp;A" xfId="0"/>
    <cellStyle name="_PJ_VSE WFP_100608_GPS OTHER_LCD" xfId="0"/>
    <cellStyle name="_PJ_VSE WFP_100608_GPS OTHER_PJ" xfId="0"/>
    <cellStyle name="_PJ_VSE WFP_100608_PC Products" xfId="0"/>
    <cellStyle name="_PJ_VSE WFP_100608_PC Products 2" xfId="0"/>
    <cellStyle name="_PJ_VSE WFP_100608_PC Products 3" xfId="0"/>
    <cellStyle name="_PJ_VSE WFP_100608_PC Products 4" xfId="0"/>
    <cellStyle name="_PJ_VSE WFP_100608_PC Products 4 2" xfId="0"/>
    <cellStyle name="_PJ_VSE WFP_100608_PC Products_By Region" xfId="0"/>
    <cellStyle name="_PJ_VSE WFP_100608_PC Products_CORP SG&amp;A" xfId="0"/>
    <cellStyle name="_PJ_VSE WFP_100608_PC Products_LCD" xfId="0"/>
    <cellStyle name="_PJ_VSE WFP_100608_PC Products_PJ" xfId="0"/>
    <cellStyle name="_PJ_VSE WFP_100608_VSA 111014" xfId="0"/>
    <cellStyle name="_PJ_VSE WFP_100608_VSA 111014 2" xfId="0"/>
    <cellStyle name="_PJ_VSE WFP_100608_VSA 111014 3" xfId="0"/>
    <cellStyle name="_PJ_VSE WFP_100608_VSA 111014 4" xfId="0"/>
    <cellStyle name="_PJ_VSE WFP_100608_VSA 111014 4 2" xfId="0"/>
    <cellStyle name="_PJ_VSE WFP_100608_VSA 111014_By Region" xfId="0"/>
    <cellStyle name="_PJ_VSE WFP_100608_VSA 111014_CORP SG&amp;A" xfId="0"/>
    <cellStyle name="_PJ_VSE WFP_100608_VSA 111014_LCD" xfId="0"/>
    <cellStyle name="_PJ_VSE WFP_100608_VSA 111014_PJ" xfId="0"/>
    <cellStyle name="_PJ_VSE WFP_100608_VSA Roll-Up (LW)" xfId="0"/>
    <cellStyle name="_PJ_VSE WFP_100608_VSA Roll-Up (LW) 2" xfId="0"/>
    <cellStyle name="_PJ_VSE WFP_100608_VSA Roll-Up (LW) 3" xfId="0"/>
    <cellStyle name="_PJ_VSE WFP_100608_VSA Roll-Up (LW) 4" xfId="0"/>
    <cellStyle name="_PJ_VSE WFP_100608_VSA Roll-Up (LW) 4 2" xfId="0"/>
    <cellStyle name="_PJ_VSE WFP_100608_VSA Roll-Up (LW)_By Region" xfId="0"/>
    <cellStyle name="_PJ_VSE WFP_100608_VSA Roll-Up (LW)_CORP SG&amp;A" xfId="0"/>
    <cellStyle name="_PJ_VSE WFP_100608_VSA Roll-Up (LW)_LCD" xfId="0"/>
    <cellStyle name="_PJ_VSE WFP_100608_VSA Roll-Up (LW)_PJ" xfId="0"/>
    <cellStyle name="_PJ_VSE WFP_100625" xfId="0"/>
    <cellStyle name="_PJ_VSE WFP_100625 2" xfId="0"/>
    <cellStyle name="_PJ_VSE WFP_100625 3" xfId="0"/>
    <cellStyle name="_PJ_VSE WFP_100625 4" xfId="0"/>
    <cellStyle name="_PJ_VSE WFP_100625_By Region" xfId="0"/>
    <cellStyle name="_PJ_VSE WFP_100625_CORP SG&amp;A" xfId="0"/>
    <cellStyle name="_PJ_VSE WFP_100625_GPS OTHER" xfId="0"/>
    <cellStyle name="_PJ_VSE WFP_100625_GPS OTHER 2" xfId="0"/>
    <cellStyle name="_PJ_VSE WFP_100625_GPS OTHER 3" xfId="0"/>
    <cellStyle name="_PJ_VSE WFP_100625_GPS OTHER 4" xfId="0"/>
    <cellStyle name="_PJ_VSE WFP_100625_GPS OTHER 4 2" xfId="0"/>
    <cellStyle name="_PJ_VSE WFP_100625_GPS OTHER_By Region" xfId="0"/>
    <cellStyle name="_PJ_VSE WFP_100625_GPS OTHER_CORP SG&amp;A" xfId="0"/>
    <cellStyle name="_PJ_VSE WFP_100625_GPS OTHER_LCD" xfId="0"/>
    <cellStyle name="_PJ_VSE WFP_100625_GPS OTHER_PJ" xfId="0"/>
    <cellStyle name="_PJ_VSE WFP_100625_PC Products" xfId="0"/>
    <cellStyle name="_PJ_VSE WFP_100625_PC Products 2" xfId="0"/>
    <cellStyle name="_PJ_VSE WFP_100625_PC Products 3" xfId="0"/>
    <cellStyle name="_PJ_VSE WFP_100625_PC Products 4" xfId="0"/>
    <cellStyle name="_PJ_VSE WFP_100625_PC Products 4 2" xfId="0"/>
    <cellStyle name="_PJ_VSE WFP_100625_PC Products_By Region" xfId="0"/>
    <cellStyle name="_PJ_VSE WFP_100625_PC Products_CORP SG&amp;A" xfId="0"/>
    <cellStyle name="_PJ_VSE WFP_100625_PC Products_LCD" xfId="0"/>
    <cellStyle name="_PJ_VSE WFP_100625_PC Products_PJ" xfId="0"/>
    <cellStyle name="_PJ_VSE WFP_100625_VSA 111014" xfId="0"/>
    <cellStyle name="_PJ_VSE WFP_100625_VSA 111014 2" xfId="0"/>
    <cellStyle name="_PJ_VSE WFP_100625_VSA 111014 3" xfId="0"/>
    <cellStyle name="_PJ_VSE WFP_100625_VSA 111014 4" xfId="0"/>
    <cellStyle name="_PJ_VSE WFP_100625_VSA 111014 4 2" xfId="0"/>
    <cellStyle name="_PJ_VSE WFP_100625_VSA 111014_By Region" xfId="0"/>
    <cellStyle name="_PJ_VSE WFP_100625_VSA 111014_CORP SG&amp;A" xfId="0"/>
    <cellStyle name="_PJ_VSE WFP_100625_VSA 111014_LCD" xfId="0"/>
    <cellStyle name="_PJ_VSE WFP_100625_VSA 111014_PJ" xfId="0"/>
    <cellStyle name="_PJ_VSE WFP_100625_VSA Roll-Up (LW)" xfId="0"/>
    <cellStyle name="_PJ_VSE WFP_100625_VSA Roll-Up (LW) 2" xfId="0"/>
    <cellStyle name="_PJ_VSE WFP_100625_VSA Roll-Up (LW) 3" xfId="0"/>
    <cellStyle name="_PJ_VSE WFP_100625_VSA Roll-Up (LW) 4" xfId="0"/>
    <cellStyle name="_PJ_VSE WFP_100625_VSA Roll-Up (LW) 4 2" xfId="0"/>
    <cellStyle name="_PJ_VSE WFP_100625_VSA Roll-Up (LW)_By Region" xfId="0"/>
    <cellStyle name="_PJ_VSE WFP_100625_VSA Roll-Up (LW)_CORP SG&amp;A" xfId="0"/>
    <cellStyle name="_PJ_VSE WFP_100625_VSA Roll-Up (LW)_LCD" xfId="0"/>
    <cellStyle name="_PJ_VSE WFP_100625_VSA Roll-Up (LW)_PJ" xfId="0"/>
    <cellStyle name="_PJ_VSE WFP_100708_3rd" xfId="0"/>
    <cellStyle name="_PJ_VSE WFP_100708_3rd 2" xfId="0"/>
    <cellStyle name="_PJ_VSE WFP_100708_3rd 3" xfId="0"/>
    <cellStyle name="_PJ_VSE WFP_100708_3rd 4" xfId="0"/>
    <cellStyle name="_PJ_VSE WFP_100708_3rd_By Region" xfId="0"/>
    <cellStyle name="_PJ_VSE WFP_100708_3rd_CORP SG&amp;A" xfId="0"/>
    <cellStyle name="_PJ_VSE WFP_100708_3rd_GPS OTHER" xfId="0"/>
    <cellStyle name="_PJ_VSE WFP_100708_3rd_GPS OTHER 2" xfId="0"/>
    <cellStyle name="_PJ_VSE WFP_100708_3rd_GPS OTHER 3" xfId="0"/>
    <cellStyle name="_PJ_VSE WFP_100708_3rd_GPS OTHER 4" xfId="0"/>
    <cellStyle name="_PJ_VSE WFP_100708_3rd_GPS OTHER 4 2" xfId="0"/>
    <cellStyle name="_PJ_VSE WFP_100708_3rd_GPS OTHER_By Region" xfId="0"/>
    <cellStyle name="_PJ_VSE WFP_100708_3rd_GPS OTHER_CORP SG&amp;A" xfId="0"/>
    <cellStyle name="_PJ_VSE WFP_100708_3rd_GPS OTHER_LCD" xfId="0"/>
    <cellStyle name="_PJ_VSE WFP_100708_3rd_GPS OTHER_PJ" xfId="0"/>
    <cellStyle name="_PJ_VSE WFP_100708_3rd_PC Products" xfId="0"/>
    <cellStyle name="_PJ_VSE WFP_100708_3rd_PC Products 2" xfId="0"/>
    <cellStyle name="_PJ_VSE WFP_100708_3rd_PC Products 3" xfId="0"/>
    <cellStyle name="_PJ_VSE WFP_100708_3rd_PC Products 4" xfId="0"/>
    <cellStyle name="_PJ_VSE WFP_100708_3rd_PC Products 4 2" xfId="0"/>
    <cellStyle name="_PJ_VSE WFP_100708_3rd_PC Products_By Region" xfId="0"/>
    <cellStyle name="_PJ_VSE WFP_100708_3rd_PC Products_CORP SG&amp;A" xfId="0"/>
    <cellStyle name="_PJ_VSE WFP_100708_3rd_PC Products_LCD" xfId="0"/>
    <cellStyle name="_PJ_VSE WFP_100708_3rd_PC Products_PJ" xfId="0"/>
    <cellStyle name="_PJ_VSE WFP_100708_3rd_VSA 111014" xfId="0"/>
    <cellStyle name="_PJ_VSE WFP_100708_3rd_VSA 111014 2" xfId="0"/>
    <cellStyle name="_PJ_VSE WFP_100708_3rd_VSA 111014 3" xfId="0"/>
    <cellStyle name="_PJ_VSE WFP_100708_3rd_VSA 111014 4" xfId="0"/>
    <cellStyle name="_PJ_VSE WFP_100708_3rd_VSA 111014 4 2" xfId="0"/>
    <cellStyle name="_PJ_VSE WFP_100708_3rd_VSA 111014_By Region" xfId="0"/>
    <cellStyle name="_PJ_VSE WFP_100708_3rd_VSA 111014_CORP SG&amp;A" xfId="0"/>
    <cellStyle name="_PJ_VSE WFP_100708_3rd_VSA 111014_LCD" xfId="0"/>
    <cellStyle name="_PJ_VSE WFP_100708_3rd_VSA 111014_PJ" xfId="0"/>
    <cellStyle name="_PJ_VSE WFP_100708_3rd_VSA Roll-Up (LW)" xfId="0"/>
    <cellStyle name="_PJ_VSE WFP_100708_3rd_VSA Roll-Up (LW) 2" xfId="0"/>
    <cellStyle name="_PJ_VSE WFP_100708_3rd_VSA Roll-Up (LW) 3" xfId="0"/>
    <cellStyle name="_PJ_VSE WFP_100708_3rd_VSA Roll-Up (LW) 4" xfId="0"/>
    <cellStyle name="_PJ_VSE WFP_100708_3rd_VSA Roll-Up (LW) 4 2" xfId="0"/>
    <cellStyle name="_PJ_VSE WFP_100708_3rd_VSA Roll-Up (LW)_By Region" xfId="0"/>
    <cellStyle name="_PJ_VSE WFP_100708_3rd_VSA Roll-Up (LW)_CORP SG&amp;A" xfId="0"/>
    <cellStyle name="_PJ_VSE WFP_100708_3rd_VSA Roll-Up (LW)_LCD" xfId="0"/>
    <cellStyle name="_PJ_VSE WFP_100708_3rd_VSA Roll-Up (LW)_PJ" xfId="0"/>
    <cellStyle name="_PJ_VSE WFP_100726" xfId="0"/>
    <cellStyle name="_PJ_VSE WFP_100726 2" xfId="0"/>
    <cellStyle name="_PJ_VSE WFP_100726 3" xfId="0"/>
    <cellStyle name="_PJ_VSE WFP_100726 4" xfId="0"/>
    <cellStyle name="_PJ_VSE WFP_100726-1" xfId="0"/>
    <cellStyle name="_PJ_VSE WFP_100726-1 2" xfId="0"/>
    <cellStyle name="_PJ_VSE WFP_100726-1 3" xfId="0"/>
    <cellStyle name="_PJ_VSE WFP_100726-1 4" xfId="0"/>
    <cellStyle name="_PJ_VSE WFP_100726-1_By Region" xfId="0"/>
    <cellStyle name="_PJ_VSE WFP_100726-1_CORP SG&amp;A" xfId="0"/>
    <cellStyle name="_PJ_VSE WFP_100726-1_GPS OTHER" xfId="0"/>
    <cellStyle name="_PJ_VSE WFP_100726-1_GPS OTHER 2" xfId="0"/>
    <cellStyle name="_PJ_VSE WFP_100726-1_GPS OTHER 3" xfId="0"/>
    <cellStyle name="_PJ_VSE WFP_100726-1_GPS OTHER 4" xfId="0"/>
    <cellStyle name="_PJ_VSE WFP_100726-1_GPS OTHER 4 2" xfId="0"/>
    <cellStyle name="_PJ_VSE WFP_100726-1_GPS OTHER_By Region" xfId="0"/>
    <cellStyle name="_PJ_VSE WFP_100726-1_GPS OTHER_CORP SG&amp;A" xfId="0"/>
    <cellStyle name="_PJ_VSE WFP_100726-1_GPS OTHER_LCD" xfId="0"/>
    <cellStyle name="_PJ_VSE WFP_100726-1_GPS OTHER_PJ" xfId="0"/>
    <cellStyle name="_PJ_VSE WFP_100726-1_PC Products" xfId="0"/>
    <cellStyle name="_PJ_VSE WFP_100726-1_PC Products 2" xfId="0"/>
    <cellStyle name="_PJ_VSE WFP_100726-1_PC Products 3" xfId="0"/>
    <cellStyle name="_PJ_VSE WFP_100726-1_PC Products 4" xfId="0"/>
    <cellStyle name="_PJ_VSE WFP_100726-1_PC Products 4 2" xfId="0"/>
    <cellStyle name="_PJ_VSE WFP_100726-1_PC Products_By Region" xfId="0"/>
    <cellStyle name="_PJ_VSE WFP_100726-1_PC Products_CORP SG&amp;A" xfId="0"/>
    <cellStyle name="_PJ_VSE WFP_100726-1_PC Products_LCD" xfId="0"/>
    <cellStyle name="_PJ_VSE WFP_100726-1_PC Products_PJ" xfId="0"/>
    <cellStyle name="_PJ_VSE WFP_100726-1_VSA 111014" xfId="0"/>
    <cellStyle name="_PJ_VSE WFP_100726-1_VSA 111014 2" xfId="0"/>
    <cellStyle name="_PJ_VSE WFP_100726-1_VSA 111014 3" xfId="0"/>
    <cellStyle name="_PJ_VSE WFP_100726-1_VSA 111014 4" xfId="0"/>
    <cellStyle name="_PJ_VSE WFP_100726-1_VSA 111014 4 2" xfId="0"/>
    <cellStyle name="_PJ_VSE WFP_100726-1_VSA 111014_By Region" xfId="0"/>
    <cellStyle name="_PJ_VSE WFP_100726-1_VSA 111014_CORP SG&amp;A" xfId="0"/>
    <cellStyle name="_PJ_VSE WFP_100726-1_VSA 111014_LCD" xfId="0"/>
    <cellStyle name="_PJ_VSE WFP_100726-1_VSA 111014_PJ" xfId="0"/>
    <cellStyle name="_PJ_VSE WFP_100726-1_VSA Roll-Up (LW)" xfId="0"/>
    <cellStyle name="_PJ_VSE WFP_100726-1_VSA Roll-Up (LW) 2" xfId="0"/>
    <cellStyle name="_PJ_VSE WFP_100726-1_VSA Roll-Up (LW) 3" xfId="0"/>
    <cellStyle name="_PJ_VSE WFP_100726-1_VSA Roll-Up (LW) 4" xfId="0"/>
    <cellStyle name="_PJ_VSE WFP_100726-1_VSA Roll-Up (LW) 4 2" xfId="0"/>
    <cellStyle name="_PJ_VSE WFP_100726-1_VSA Roll-Up (LW)_By Region" xfId="0"/>
    <cellStyle name="_PJ_VSE WFP_100726-1_VSA Roll-Up (LW)_CORP SG&amp;A" xfId="0"/>
    <cellStyle name="_PJ_VSE WFP_100726-1_VSA Roll-Up (LW)_LCD" xfId="0"/>
    <cellStyle name="_PJ_VSE WFP_100726-1_VSA Roll-Up (LW)_PJ" xfId="0"/>
    <cellStyle name="_PJ_VSE WFP_100726-2-yc" xfId="0"/>
    <cellStyle name="_PJ_VSE WFP_100726-2-yc 2" xfId="0"/>
    <cellStyle name="_PJ_VSE WFP_100726-2-yc 3" xfId="0"/>
    <cellStyle name="_PJ_VSE WFP_100726-2-yc 4" xfId="0"/>
    <cellStyle name="_PJ_VSE WFP_100726-2-yc_By Region" xfId="0"/>
    <cellStyle name="_PJ_VSE WFP_100726-2-yc_CORP SG&amp;A" xfId="0"/>
    <cellStyle name="_PJ_VSE WFP_100726-2-yc_GPS OTHER" xfId="0"/>
    <cellStyle name="_PJ_VSE WFP_100726-2-yc_GPS OTHER 2" xfId="0"/>
    <cellStyle name="_PJ_VSE WFP_100726-2-yc_GPS OTHER 3" xfId="0"/>
    <cellStyle name="_PJ_VSE WFP_100726-2-yc_GPS OTHER 4" xfId="0"/>
    <cellStyle name="_PJ_VSE WFP_100726-2-yc_GPS OTHER 4 2" xfId="0"/>
    <cellStyle name="_PJ_VSE WFP_100726-2-yc_GPS OTHER_By Region" xfId="0"/>
    <cellStyle name="_PJ_VSE WFP_100726-2-yc_GPS OTHER_CORP SG&amp;A" xfId="0"/>
    <cellStyle name="_PJ_VSE WFP_100726-2-yc_GPS OTHER_LCD" xfId="0"/>
    <cellStyle name="_PJ_VSE WFP_100726-2-yc_GPS OTHER_PJ" xfId="0"/>
    <cellStyle name="_PJ_VSE WFP_100726-2-yc_PC Products" xfId="0"/>
    <cellStyle name="_PJ_VSE WFP_100726-2-yc_PC Products 2" xfId="0"/>
    <cellStyle name="_PJ_VSE WFP_100726-2-yc_PC Products 3" xfId="0"/>
    <cellStyle name="_PJ_VSE WFP_100726-2-yc_PC Products 4" xfId="0"/>
    <cellStyle name="_PJ_VSE WFP_100726-2-yc_PC Products 4 2" xfId="0"/>
    <cellStyle name="_PJ_VSE WFP_100726-2-yc_PC Products_By Region" xfId="0"/>
    <cellStyle name="_PJ_VSE WFP_100726-2-yc_PC Products_CORP SG&amp;A" xfId="0"/>
    <cellStyle name="_PJ_VSE WFP_100726-2-yc_PC Products_LCD" xfId="0"/>
    <cellStyle name="_PJ_VSE WFP_100726-2-yc_PC Products_PJ" xfId="0"/>
    <cellStyle name="_PJ_VSE WFP_100726-2-yc_VSA 111014" xfId="0"/>
    <cellStyle name="_PJ_VSE WFP_100726-2-yc_VSA 111014 2" xfId="0"/>
    <cellStyle name="_PJ_VSE WFP_100726-2-yc_VSA 111014 3" xfId="0"/>
    <cellStyle name="_PJ_VSE WFP_100726-2-yc_VSA 111014 4" xfId="0"/>
    <cellStyle name="_PJ_VSE WFP_100726-2-yc_VSA 111014 4 2" xfId="0"/>
    <cellStyle name="_PJ_VSE WFP_100726-2-yc_VSA 111014_By Region" xfId="0"/>
    <cellStyle name="_PJ_VSE WFP_100726-2-yc_VSA 111014_CORP SG&amp;A" xfId="0"/>
    <cellStyle name="_PJ_VSE WFP_100726-2-yc_VSA 111014_LCD" xfId="0"/>
    <cellStyle name="_PJ_VSE WFP_100726-2-yc_VSA 111014_PJ" xfId="0"/>
    <cellStyle name="_PJ_VSE WFP_100726-2-yc_VSA Roll-Up (LW)" xfId="0"/>
    <cellStyle name="_PJ_VSE WFP_100726-2-yc_VSA Roll-Up (LW) 2" xfId="0"/>
    <cellStyle name="_PJ_VSE WFP_100726-2-yc_VSA Roll-Up (LW) 3" xfId="0"/>
    <cellStyle name="_PJ_VSE WFP_100726-2-yc_VSA Roll-Up (LW) 4" xfId="0"/>
    <cellStyle name="_PJ_VSE WFP_100726-2-yc_VSA Roll-Up (LW) 4 2" xfId="0"/>
    <cellStyle name="_PJ_VSE WFP_100726-2-yc_VSA Roll-Up (LW)_By Region" xfId="0"/>
    <cellStyle name="_PJ_VSE WFP_100726-2-yc_VSA Roll-Up (LW)_CORP SG&amp;A" xfId="0"/>
    <cellStyle name="_PJ_VSE WFP_100726-2-yc_VSA Roll-Up (LW)_LCD" xfId="0"/>
    <cellStyle name="_PJ_VSE WFP_100726-2-yc_VSA Roll-Up (LW)_PJ" xfId="0"/>
    <cellStyle name="_PJ_VSE WFP_100726_By Region" xfId="0"/>
    <cellStyle name="_PJ_VSE WFP_100726_CORP SG&amp;A" xfId="0"/>
    <cellStyle name="_PJ_VSE WFP_100726_GPS OTHER" xfId="0"/>
    <cellStyle name="_PJ_VSE WFP_100726_GPS OTHER 2" xfId="0"/>
    <cellStyle name="_PJ_VSE WFP_100726_GPS OTHER 3" xfId="0"/>
    <cellStyle name="_PJ_VSE WFP_100726_GPS OTHER 4" xfId="0"/>
    <cellStyle name="_PJ_VSE WFP_100726_GPS OTHER 4 2" xfId="0"/>
    <cellStyle name="_PJ_VSE WFP_100726_GPS OTHER_By Region" xfId="0"/>
    <cellStyle name="_PJ_VSE WFP_100726_GPS OTHER_CORP SG&amp;A" xfId="0"/>
    <cellStyle name="_PJ_VSE WFP_100726_GPS OTHER_LCD" xfId="0"/>
    <cellStyle name="_PJ_VSE WFP_100726_GPS OTHER_PJ" xfId="0"/>
    <cellStyle name="_PJ_VSE WFP_100726_PC Products" xfId="0"/>
    <cellStyle name="_PJ_VSE WFP_100726_PC Products 2" xfId="0"/>
    <cellStyle name="_PJ_VSE WFP_100726_PC Products 3" xfId="0"/>
    <cellStyle name="_PJ_VSE WFP_100726_PC Products 4" xfId="0"/>
    <cellStyle name="_PJ_VSE WFP_100726_PC Products 4 2" xfId="0"/>
    <cellStyle name="_PJ_VSE WFP_100726_PC Products_By Region" xfId="0"/>
    <cellStyle name="_PJ_VSE WFP_100726_PC Products_CORP SG&amp;A" xfId="0"/>
    <cellStyle name="_PJ_VSE WFP_100726_PC Products_LCD" xfId="0"/>
    <cellStyle name="_PJ_VSE WFP_100726_PC Products_PJ" xfId="0"/>
    <cellStyle name="_PJ_VSE WFP_100726_VSA 111014" xfId="0"/>
    <cellStyle name="_PJ_VSE WFP_100726_VSA 111014 2" xfId="0"/>
    <cellStyle name="_PJ_VSE WFP_100726_VSA 111014 3" xfId="0"/>
    <cellStyle name="_PJ_VSE WFP_100726_VSA 111014 4" xfId="0"/>
    <cellStyle name="_PJ_VSE WFP_100726_VSA 111014 4 2" xfId="0"/>
    <cellStyle name="_PJ_VSE WFP_100726_VSA 111014_By Region" xfId="0"/>
    <cellStyle name="_PJ_VSE WFP_100726_VSA 111014_CORP SG&amp;A" xfId="0"/>
    <cellStyle name="_PJ_VSE WFP_100726_VSA 111014_LCD" xfId="0"/>
    <cellStyle name="_PJ_VSE WFP_100726_VSA 111014_PJ" xfId="0"/>
    <cellStyle name="_PJ_VSE WFP_100726_VSA Roll-Up (LW)" xfId="0"/>
    <cellStyle name="_PJ_VSE WFP_100726_VSA Roll-Up (LW) 2" xfId="0"/>
    <cellStyle name="_PJ_VSE WFP_100726_VSA Roll-Up (LW) 3" xfId="0"/>
    <cellStyle name="_PJ_VSE WFP_100726_VSA Roll-Up (LW) 4" xfId="0"/>
    <cellStyle name="_PJ_VSE WFP_100726_VSA Roll-Up (LW) 4 2" xfId="0"/>
    <cellStyle name="_PJ_VSE WFP_100726_VSA Roll-Up (LW)_By Region" xfId="0"/>
    <cellStyle name="_PJ_VSE WFP_100726_VSA Roll-Up (LW)_CORP SG&amp;A" xfId="0"/>
    <cellStyle name="_PJ_VSE WFP_100726_VSA Roll-Up (LW)_LCD" xfId="0"/>
    <cellStyle name="_PJ_VSE WFP_100726_VSA Roll-Up (LW)_PJ" xfId="0"/>
    <cellStyle name="_PJ_VSE WFP_100827-1" xfId="0"/>
    <cellStyle name="_PJ_VSE WFP_100827-1 2" xfId="0"/>
    <cellStyle name="_PJ_VSE WFP_100827-1 3" xfId="0"/>
    <cellStyle name="_PJ_VSE WFP_100827-1 4" xfId="0"/>
    <cellStyle name="_PJ_VSE WFP_100827-1_By Region" xfId="0"/>
    <cellStyle name="_PJ_VSE WFP_100827-1_CORP SG&amp;A" xfId="0"/>
    <cellStyle name="_PJ_VSE WFP_100827-1_GPS OTHER" xfId="0"/>
    <cellStyle name="_PJ_VSE WFP_100827-1_GPS OTHER 2" xfId="0"/>
    <cellStyle name="_PJ_VSE WFP_100827-1_GPS OTHER 3" xfId="0"/>
    <cellStyle name="_PJ_VSE WFP_100827-1_GPS OTHER 4" xfId="0"/>
    <cellStyle name="_PJ_VSE WFP_100827-1_GPS OTHER 4 2" xfId="0"/>
    <cellStyle name="_PJ_VSE WFP_100827-1_GPS OTHER_By Region" xfId="0"/>
    <cellStyle name="_PJ_VSE WFP_100827-1_GPS OTHER_CORP SG&amp;A" xfId="0"/>
    <cellStyle name="_PJ_VSE WFP_100827-1_GPS OTHER_LCD" xfId="0"/>
    <cellStyle name="_PJ_VSE WFP_100827-1_GPS OTHER_PJ" xfId="0"/>
    <cellStyle name="_PJ_VSE WFP_100827-1_PC Products" xfId="0"/>
    <cellStyle name="_PJ_VSE WFP_100827-1_PC Products 2" xfId="0"/>
    <cellStyle name="_PJ_VSE WFP_100827-1_PC Products 3" xfId="0"/>
    <cellStyle name="_PJ_VSE WFP_100827-1_PC Products 4" xfId="0"/>
    <cellStyle name="_PJ_VSE WFP_100827-1_PC Products 4 2" xfId="0"/>
    <cellStyle name="_PJ_VSE WFP_100827-1_PC Products_By Region" xfId="0"/>
    <cellStyle name="_PJ_VSE WFP_100827-1_PC Products_CORP SG&amp;A" xfId="0"/>
    <cellStyle name="_PJ_VSE WFP_100827-1_PC Products_LCD" xfId="0"/>
    <cellStyle name="_PJ_VSE WFP_100827-1_PC Products_PJ" xfId="0"/>
    <cellStyle name="_PJ_VSE WFP_100827-1_VSA 111014" xfId="0"/>
    <cellStyle name="_PJ_VSE WFP_100827-1_VSA 111014 2" xfId="0"/>
    <cellStyle name="_PJ_VSE WFP_100827-1_VSA 111014 3" xfId="0"/>
    <cellStyle name="_PJ_VSE WFP_100827-1_VSA 111014 4" xfId="0"/>
    <cellStyle name="_PJ_VSE WFP_100827-1_VSA 111014 4 2" xfId="0"/>
    <cellStyle name="_PJ_VSE WFP_100827-1_VSA 111014_By Region" xfId="0"/>
    <cellStyle name="_PJ_VSE WFP_100827-1_VSA 111014_CORP SG&amp;A" xfId="0"/>
    <cellStyle name="_PJ_VSE WFP_100827-1_VSA 111014_LCD" xfId="0"/>
    <cellStyle name="_PJ_VSE WFP_100827-1_VSA 111014_PJ" xfId="0"/>
    <cellStyle name="_PJ_VSE WFP_100827-1_VSA Roll-Up (LW)" xfId="0"/>
    <cellStyle name="_PJ_VSE WFP_100827-1_VSA Roll-Up (LW) 2" xfId="0"/>
    <cellStyle name="_PJ_VSE WFP_100827-1_VSA Roll-Up (LW) 3" xfId="0"/>
    <cellStyle name="_PJ_VSE WFP_100827-1_VSA Roll-Up (LW) 4" xfId="0"/>
    <cellStyle name="_PJ_VSE WFP_100827-1_VSA Roll-Up (LW) 4 2" xfId="0"/>
    <cellStyle name="_PJ_VSE WFP_100827-1_VSA Roll-Up (LW)_By Region" xfId="0"/>
    <cellStyle name="_PJ_VSE WFP_100827-1_VSA Roll-Up (LW)_CORP SG&amp;A" xfId="0"/>
    <cellStyle name="_PJ_VSE WFP_100827-1_VSA Roll-Up (LW)_LCD" xfId="0"/>
    <cellStyle name="_PJ_VSE WFP_100827-1_VSA Roll-Up (LW)_PJ" xfId="0"/>
    <cellStyle name="_PJ_VSE WFP_101001" xfId="0"/>
    <cellStyle name="_PJ_VSE WFP_101001 2" xfId="0"/>
    <cellStyle name="_PJ_VSE WFP_101001 3" xfId="0"/>
    <cellStyle name="_PJ_VSE WFP_101001 4" xfId="0"/>
    <cellStyle name="_PJ_VSE WFP_101001_By Region" xfId="0"/>
    <cellStyle name="_PJ_VSE WFP_101001_CORP SG&amp;A" xfId="0"/>
    <cellStyle name="_PJ_VSE WFP_101001_GPS OTHER" xfId="0"/>
    <cellStyle name="_PJ_VSE WFP_101001_GPS OTHER 2" xfId="0"/>
    <cellStyle name="_PJ_VSE WFP_101001_GPS OTHER 3" xfId="0"/>
    <cellStyle name="_PJ_VSE WFP_101001_GPS OTHER 4" xfId="0"/>
    <cellStyle name="_PJ_VSE WFP_101001_GPS OTHER 4 2" xfId="0"/>
    <cellStyle name="_PJ_VSE WFP_101001_GPS OTHER_By Region" xfId="0"/>
    <cellStyle name="_PJ_VSE WFP_101001_GPS OTHER_CORP SG&amp;A" xfId="0"/>
    <cellStyle name="_PJ_VSE WFP_101001_GPS OTHER_LCD" xfId="0"/>
    <cellStyle name="_PJ_VSE WFP_101001_GPS OTHER_PJ" xfId="0"/>
    <cellStyle name="_PJ_VSE WFP_101001_PC Products" xfId="0"/>
    <cellStyle name="_PJ_VSE WFP_101001_PC Products 2" xfId="0"/>
    <cellStyle name="_PJ_VSE WFP_101001_PC Products 3" xfId="0"/>
    <cellStyle name="_PJ_VSE WFP_101001_PC Products 4" xfId="0"/>
    <cellStyle name="_PJ_VSE WFP_101001_PC Products 4 2" xfId="0"/>
    <cellStyle name="_PJ_VSE WFP_101001_PC Products_By Region" xfId="0"/>
    <cellStyle name="_PJ_VSE WFP_101001_PC Products_CORP SG&amp;A" xfId="0"/>
    <cellStyle name="_PJ_VSE WFP_101001_PC Products_LCD" xfId="0"/>
    <cellStyle name="_PJ_VSE WFP_101001_PC Products_PJ" xfId="0"/>
    <cellStyle name="_PJ_VSE WFP_101001_VSA 111014" xfId="0"/>
    <cellStyle name="_PJ_VSE WFP_101001_VSA 111014 2" xfId="0"/>
    <cellStyle name="_PJ_VSE WFP_101001_VSA 111014 3" xfId="0"/>
    <cellStyle name="_PJ_VSE WFP_101001_VSA 111014 4" xfId="0"/>
    <cellStyle name="_PJ_VSE WFP_101001_VSA 111014 4 2" xfId="0"/>
    <cellStyle name="_PJ_VSE WFP_101001_VSA 111014_By Region" xfId="0"/>
    <cellStyle name="_PJ_VSE WFP_101001_VSA 111014_CORP SG&amp;A" xfId="0"/>
    <cellStyle name="_PJ_VSE WFP_101001_VSA 111014_LCD" xfId="0"/>
    <cellStyle name="_PJ_VSE WFP_101001_VSA 111014_PJ" xfId="0"/>
    <cellStyle name="_PJ_VSE WFP_101001_VSA Roll-Up (LW)" xfId="0"/>
    <cellStyle name="_PJ_VSE WFP_101001_VSA Roll-Up (LW) 2" xfId="0"/>
    <cellStyle name="_PJ_VSE WFP_101001_VSA Roll-Up (LW) 3" xfId="0"/>
    <cellStyle name="_PJ_VSE WFP_101001_VSA Roll-Up (LW) 4" xfId="0"/>
    <cellStyle name="_PJ_VSE WFP_101001_VSA Roll-Up (LW) 4 2" xfId="0"/>
    <cellStyle name="_PJ_VSE WFP_101001_VSA Roll-Up (LW)_By Region" xfId="0"/>
    <cellStyle name="_PJ_VSE WFP_101001_VSA Roll-Up (LW)_CORP SG&amp;A" xfId="0"/>
    <cellStyle name="_PJ_VSE WFP_101001_VSA Roll-Up (LW)_LCD" xfId="0"/>
    <cellStyle name="_PJ_VSE WFP_101001_VSA Roll-Up (LW)_PJ" xfId="0"/>
    <cellStyle name="_PJ_VSE WFP_101029-with more ViewPad 7" xfId="0"/>
    <cellStyle name="_PJ_VSE WFP_101029-with more ViewPad 7 2" xfId="0"/>
    <cellStyle name="_PJ_VSE WFP_101029-with more ViewPad 7 3" xfId="0"/>
    <cellStyle name="_PJ_VSE WFP_101029-with more ViewPad 7 4" xfId="0"/>
    <cellStyle name="_PJ_VSE WFP_101029-with more ViewPad 7_By Region" xfId="0"/>
    <cellStyle name="_PJ_VSE WFP_101029-with more ViewPad 7_CORP SG&amp;A" xfId="0"/>
    <cellStyle name="_PJ_VSE WFP_101029-with more ViewPad 7_GPS OTHER" xfId="0"/>
    <cellStyle name="_PJ_VSE WFP_101029-with more ViewPad 7_GPS OTHER 2" xfId="0"/>
    <cellStyle name="_PJ_VSE WFP_101029-with more ViewPad 7_GPS OTHER 3" xfId="0"/>
    <cellStyle name="_PJ_VSE WFP_101029-with more ViewPad 7_GPS OTHER 4" xfId="0"/>
    <cellStyle name="_PJ_VSE WFP_101029-with more ViewPad 7_GPS OTHER 4 2" xfId="0"/>
    <cellStyle name="_PJ_VSE WFP_101029-with more ViewPad 7_GPS OTHER_By Region" xfId="0"/>
    <cellStyle name="_PJ_VSE WFP_101029-with more ViewPad 7_GPS OTHER_CORP SG&amp;A" xfId="0"/>
    <cellStyle name="_PJ_VSE WFP_101029-with more ViewPad 7_GPS OTHER_LCD" xfId="0"/>
    <cellStyle name="_PJ_VSE WFP_101029-with more ViewPad 7_GPS OTHER_PJ" xfId="0"/>
    <cellStyle name="_PJ_VSE WFP_101029-with more ViewPad 7_PC Products" xfId="0"/>
    <cellStyle name="_PJ_VSE WFP_101029-with more ViewPad 7_PC Products 2" xfId="0"/>
    <cellStyle name="_PJ_VSE WFP_101029-with more ViewPad 7_PC Products 3" xfId="0"/>
    <cellStyle name="_PJ_VSE WFP_101029-with more ViewPad 7_PC Products 4" xfId="0"/>
    <cellStyle name="_PJ_VSE WFP_101029-with more ViewPad 7_PC Products 4 2" xfId="0"/>
    <cellStyle name="_PJ_VSE WFP_101029-with more ViewPad 7_PC Products_By Region" xfId="0"/>
    <cellStyle name="_PJ_VSE WFP_101029-with more ViewPad 7_PC Products_CORP SG&amp;A" xfId="0"/>
    <cellStyle name="_PJ_VSE WFP_101029-with more ViewPad 7_PC Products_LCD" xfId="0"/>
    <cellStyle name="_PJ_VSE WFP_101029-with more ViewPad 7_PC Products_PJ" xfId="0"/>
    <cellStyle name="_PJ_VSE WFP_101029-with more ViewPad 7_VSA 111014" xfId="0"/>
    <cellStyle name="_PJ_VSE WFP_101029-with more ViewPad 7_VSA 111014 2" xfId="0"/>
    <cellStyle name="_PJ_VSE WFP_101029-with more ViewPad 7_VSA 111014 3" xfId="0"/>
    <cellStyle name="_PJ_VSE WFP_101029-with more ViewPad 7_VSA 111014 4" xfId="0"/>
    <cellStyle name="_PJ_VSE WFP_101029-with more ViewPad 7_VSA 111014 4 2" xfId="0"/>
    <cellStyle name="_PJ_VSE WFP_101029-with more ViewPad 7_VSA 111014_By Region" xfId="0"/>
    <cellStyle name="_PJ_VSE WFP_101029-with more ViewPad 7_VSA 111014_CORP SG&amp;A" xfId="0"/>
    <cellStyle name="_PJ_VSE WFP_101029-with more ViewPad 7_VSA 111014_LCD" xfId="0"/>
    <cellStyle name="_PJ_VSE WFP_101029-with more ViewPad 7_VSA 111014_PJ" xfId="0"/>
    <cellStyle name="_PJ_VSE WFP_101029-with more ViewPad 7_VSA Roll-Up (LW)" xfId="0"/>
    <cellStyle name="_PJ_VSE WFP_101029-with more ViewPad 7_VSA Roll-Up (LW) 2" xfId="0"/>
    <cellStyle name="_PJ_VSE WFP_101029-with more ViewPad 7_VSA Roll-Up (LW) 3" xfId="0"/>
    <cellStyle name="_PJ_VSE WFP_101029-with more ViewPad 7_VSA Roll-Up (LW) 4" xfId="0"/>
    <cellStyle name="_PJ_VSE WFP_101029-with more ViewPad 7_VSA Roll-Up (LW) 4 2" xfId="0"/>
    <cellStyle name="_PJ_VSE WFP_101029-with more ViewPad 7_VSA Roll-Up (LW)_By Region" xfId="0"/>
    <cellStyle name="_PJ_VSE WFP_101029-with more ViewPad 7_VSA Roll-Up (LW)_CORP SG&amp;A" xfId="0"/>
    <cellStyle name="_PJ_VSE WFP_101029-with more ViewPad 7_VSA Roll-Up (LW)_LCD" xfId="0"/>
    <cellStyle name="_PJ_VSE WFP_101029-with more ViewPad 7_VSA Roll-Up (LW)_PJ" xfId="0"/>
    <cellStyle name="_PMP DCR" xfId="0"/>
    <cellStyle name="_PMP DCR 2" xfId="0"/>
    <cellStyle name="_PMP DCR_VSE DCR Planning Model and Trend Charts 20100118" xfId="0"/>
    <cellStyle name="_PMP DCR_VSE DCR Planning Model and Trend Charts 20100118 2" xfId="0"/>
    <cellStyle name="_PMP DCR_VSE DCR Planning Model and Trend Charts 20100315" xfId="0"/>
    <cellStyle name="_PMP DCR_VSE DCR Planning Model and Trend Charts 20100315 2" xfId="0"/>
    <cellStyle name="_POCKET-TV DCR" xfId="0"/>
    <cellStyle name="_POCKET-TV DCR 2" xfId="0"/>
    <cellStyle name="_POCKET-TV DCR_VSE DCR Planning Model and Trend Charts 20100118" xfId="0"/>
    <cellStyle name="_POCKET-TV DCR_VSE DCR Planning Model and Trend Charts 20100118 2" xfId="0"/>
    <cellStyle name="_POCKET-TV DCR_VSE DCR Planning Model and Trend Charts 20100315" xfId="0"/>
    <cellStyle name="_POCKET-TV DCR_VSE DCR Planning Model and Trend Charts 20100315 2" xfId="0"/>
    <cellStyle name="_Pocket_TV" xfId="0"/>
    <cellStyle name="_Pocket_TV 2" xfId="0"/>
    <cellStyle name="_Pocket_TV 3" xfId="0"/>
    <cellStyle name="_Pocket_TV 4" xfId="0"/>
    <cellStyle name="_Pocket_TV 5" xfId="0"/>
    <cellStyle name="_Pocket_TV_By Region" xfId="0"/>
    <cellStyle name="_Pocket_TV_CIS" xfId="0"/>
    <cellStyle name="_Pocket_TV_CIS 2" xfId="0"/>
    <cellStyle name="_Pocket_TV_CIS 3" xfId="0"/>
    <cellStyle name="_Pocket_TV_CIS 4" xfId="0"/>
    <cellStyle name="_Pocket_TV_CIS_By Region" xfId="0"/>
    <cellStyle name="_Pocket_TV_CIS_CORP SG&amp;A" xfId="0"/>
    <cellStyle name="_Pocket_TV_CIS_GPS OTHER" xfId="0"/>
    <cellStyle name="_Pocket_TV_CIS_GPS OTHER 2" xfId="0"/>
    <cellStyle name="_Pocket_TV_CIS_GPS OTHER 3" xfId="0"/>
    <cellStyle name="_Pocket_TV_CIS_GPS OTHER 4" xfId="0"/>
    <cellStyle name="_Pocket_TV_CIS_GPS OTHER 4 2" xfId="0"/>
    <cellStyle name="_Pocket_TV_CIS_GPS OTHER_By Region" xfId="0"/>
    <cellStyle name="_Pocket_TV_CIS_GPS OTHER_CORP SG&amp;A" xfId="0"/>
    <cellStyle name="_Pocket_TV_CIS_GPS OTHER_LCD" xfId="0"/>
    <cellStyle name="_Pocket_TV_CIS_GPS OTHER_PJ" xfId="0"/>
    <cellStyle name="_Pocket_TV_CIS_PC Products" xfId="0"/>
    <cellStyle name="_Pocket_TV_CIS_PC Products 2" xfId="0"/>
    <cellStyle name="_Pocket_TV_CIS_PC Products 3" xfId="0"/>
    <cellStyle name="_Pocket_TV_CIS_PC Products 4" xfId="0"/>
    <cellStyle name="_Pocket_TV_CIS_PC Products 4 2" xfId="0"/>
    <cellStyle name="_Pocket_TV_CIS_PC Products_By Region" xfId="0"/>
    <cellStyle name="_Pocket_TV_CIS_PC Products_CORP SG&amp;A" xfId="0"/>
    <cellStyle name="_Pocket_TV_CIS_PC Products_LCD" xfId="0"/>
    <cellStyle name="_Pocket_TV_CIS_PC Products_PJ" xfId="0"/>
    <cellStyle name="_Pocket_TV_CIS_VSA 111014" xfId="0"/>
    <cellStyle name="_Pocket_TV_CIS_VSA 111014 2" xfId="0"/>
    <cellStyle name="_Pocket_TV_CIS_VSA 111014 3" xfId="0"/>
    <cellStyle name="_Pocket_TV_CIS_VSA 111014 4" xfId="0"/>
    <cellStyle name="_Pocket_TV_CIS_VSA 111014 4 2" xfId="0"/>
    <cellStyle name="_Pocket_TV_CIS_VSA 111014_By Region" xfId="0"/>
    <cellStyle name="_Pocket_TV_CIS_VSA 111014_CORP SG&amp;A" xfId="0"/>
    <cellStyle name="_Pocket_TV_CIS_VSA 111014_LCD" xfId="0"/>
    <cellStyle name="_Pocket_TV_CIS_VSA 111014_PJ" xfId="0"/>
    <cellStyle name="_Pocket_TV_CIS_VSA Roll-Up (LW)" xfId="0"/>
    <cellStyle name="_Pocket_TV_CIS_VSA Roll-Up (LW) 2" xfId="0"/>
    <cellStyle name="_Pocket_TV_CIS_VSA Roll-Up (LW) 3" xfId="0"/>
    <cellStyle name="_Pocket_TV_CIS_VSA Roll-Up (LW) 4" xfId="0"/>
    <cellStyle name="_Pocket_TV_CIS_VSA Roll-Up (LW) 4 2" xfId="0"/>
    <cellStyle name="_Pocket_TV_CIS_VSA Roll-Up (LW)_By Region" xfId="0"/>
    <cellStyle name="_Pocket_TV_CIS_VSA Roll-Up (LW)_CORP SG&amp;A" xfId="0"/>
    <cellStyle name="_Pocket_TV_CIS_VSA Roll-Up (LW)_LCD" xfId="0"/>
    <cellStyle name="_Pocket_TV_CIS_VSA Roll-Up (LW)_PJ" xfId="0"/>
    <cellStyle name="_Pocket_TV_CORP SG&amp;A" xfId="0"/>
    <cellStyle name="_Pocket_TV_CRT" xfId="0"/>
    <cellStyle name="_Pocket_TV_CRT 2" xfId="0"/>
    <cellStyle name="_Pocket_TV_CRT 3" xfId="0"/>
    <cellStyle name="_Pocket_TV_CRT 4" xfId="0"/>
    <cellStyle name="_Pocket_TV_CRT_By Region" xfId="0"/>
    <cellStyle name="_Pocket_TV_CRT_CORP SG&amp;A" xfId="0"/>
    <cellStyle name="_Pocket_TV_CRT_GPS OTHER" xfId="0"/>
    <cellStyle name="_Pocket_TV_CRT_GPS OTHER 2" xfId="0"/>
    <cellStyle name="_Pocket_TV_CRT_GPS OTHER 3" xfId="0"/>
    <cellStyle name="_Pocket_TV_CRT_GPS OTHER 4" xfId="0"/>
    <cellStyle name="_Pocket_TV_CRT_GPS OTHER 4 2" xfId="0"/>
    <cellStyle name="_Pocket_TV_CRT_GPS OTHER_By Region" xfId="0"/>
    <cellStyle name="_Pocket_TV_CRT_GPS OTHER_CORP SG&amp;A" xfId="0"/>
    <cellStyle name="_Pocket_TV_CRT_GPS OTHER_LCD" xfId="0"/>
    <cellStyle name="_Pocket_TV_CRT_GPS OTHER_PJ" xfId="0"/>
    <cellStyle name="_Pocket_TV_CRT_PC Products" xfId="0"/>
    <cellStyle name="_Pocket_TV_CRT_PC Products 2" xfId="0"/>
    <cellStyle name="_Pocket_TV_CRT_PC Products 3" xfId="0"/>
    <cellStyle name="_Pocket_TV_CRT_PC Products 4" xfId="0"/>
    <cellStyle name="_Pocket_TV_CRT_PC Products 4 2" xfId="0"/>
    <cellStyle name="_Pocket_TV_CRT_PC Products_By Region" xfId="0"/>
    <cellStyle name="_Pocket_TV_CRT_PC Products_CORP SG&amp;A" xfId="0"/>
    <cellStyle name="_Pocket_TV_CRT_PC Products_LCD" xfId="0"/>
    <cellStyle name="_Pocket_TV_CRT_PC Products_PJ" xfId="0"/>
    <cellStyle name="_Pocket_TV_CRT_VSA 111014" xfId="0"/>
    <cellStyle name="_Pocket_TV_CRT_VSA 111014 2" xfId="0"/>
    <cellStyle name="_Pocket_TV_CRT_VSA 111014 3" xfId="0"/>
    <cellStyle name="_Pocket_TV_CRT_VSA 111014 4" xfId="0"/>
    <cellStyle name="_Pocket_TV_CRT_VSA 111014 4 2" xfId="0"/>
    <cellStyle name="_Pocket_TV_CRT_VSA 111014_By Region" xfId="0"/>
    <cellStyle name="_Pocket_TV_CRT_VSA 111014_CORP SG&amp;A" xfId="0"/>
    <cellStyle name="_Pocket_TV_CRT_VSA 111014_LCD" xfId="0"/>
    <cellStyle name="_Pocket_TV_CRT_VSA 111014_PJ" xfId="0"/>
    <cellStyle name="_Pocket_TV_CRT_VSA Roll-Up (LW)" xfId="0"/>
    <cellStyle name="_Pocket_TV_CRT_VSA Roll-Up (LW) 2" xfId="0"/>
    <cellStyle name="_Pocket_TV_CRT_VSA Roll-Up (LW) 3" xfId="0"/>
    <cellStyle name="_Pocket_TV_CRT_VSA Roll-Up (LW) 4" xfId="0"/>
    <cellStyle name="_Pocket_TV_CRT_VSA Roll-Up (LW) 4 2" xfId="0"/>
    <cellStyle name="_Pocket_TV_CRT_VSA Roll-Up (LW)_By Region" xfId="0"/>
    <cellStyle name="_Pocket_TV_CRT_VSA Roll-Up (LW)_CORP SG&amp;A" xfId="0"/>
    <cellStyle name="_Pocket_TV_CRT_VSA Roll-Up (LW)_LCD" xfId="0"/>
    <cellStyle name="_Pocket_TV_CRT_VSA Roll-Up (LW)_PJ" xfId="0"/>
    <cellStyle name="_Pocket_TV_Diff" xfId="0"/>
    <cellStyle name="_Pocket_TV_Diff 2" xfId="0"/>
    <cellStyle name="_Pocket_TV_Diff 3" xfId="0"/>
    <cellStyle name="_Pocket_TV_Diff 4" xfId="0"/>
    <cellStyle name="_Pocket_TV_Diff_By Region" xfId="0"/>
    <cellStyle name="_Pocket_TV_Diff_CORP SG&amp;A" xfId="0"/>
    <cellStyle name="_Pocket_TV_Diff_GPS OTHER" xfId="0"/>
    <cellStyle name="_Pocket_TV_Diff_GPS OTHER 2" xfId="0"/>
    <cellStyle name="_Pocket_TV_Diff_GPS OTHER 3" xfId="0"/>
    <cellStyle name="_Pocket_TV_Diff_GPS OTHER 4" xfId="0"/>
    <cellStyle name="_Pocket_TV_Diff_GPS OTHER 4 2" xfId="0"/>
    <cellStyle name="_Pocket_TV_Diff_GPS OTHER_By Region" xfId="0"/>
    <cellStyle name="_Pocket_TV_Diff_GPS OTHER_CORP SG&amp;A" xfId="0"/>
    <cellStyle name="_Pocket_TV_Diff_GPS OTHER_LCD" xfId="0"/>
    <cellStyle name="_Pocket_TV_Diff_GPS OTHER_PJ" xfId="0"/>
    <cellStyle name="_Pocket_TV_Diff_PC Products" xfId="0"/>
    <cellStyle name="_Pocket_TV_Diff_PC Products 2" xfId="0"/>
    <cellStyle name="_Pocket_TV_Diff_PC Products 3" xfId="0"/>
    <cellStyle name="_Pocket_TV_Diff_PC Products 4" xfId="0"/>
    <cellStyle name="_Pocket_TV_Diff_PC Products 4 2" xfId="0"/>
    <cellStyle name="_Pocket_TV_Diff_PC Products_By Region" xfId="0"/>
    <cellStyle name="_Pocket_TV_Diff_PC Products_CORP SG&amp;A" xfId="0"/>
    <cellStyle name="_Pocket_TV_Diff_PC Products_LCD" xfId="0"/>
    <cellStyle name="_Pocket_TV_Diff_PC Products_PJ" xfId="0"/>
    <cellStyle name="_Pocket_TV_Diff_VSA 111014" xfId="0"/>
    <cellStyle name="_Pocket_TV_Diff_VSA 111014 2" xfId="0"/>
    <cellStyle name="_Pocket_TV_Diff_VSA 111014 3" xfId="0"/>
    <cellStyle name="_Pocket_TV_Diff_VSA 111014 4" xfId="0"/>
    <cellStyle name="_Pocket_TV_Diff_VSA 111014 4 2" xfId="0"/>
    <cellStyle name="_Pocket_TV_Diff_VSA 111014_By Region" xfId="0"/>
    <cellStyle name="_Pocket_TV_Diff_VSA 111014_CORP SG&amp;A" xfId="0"/>
    <cellStyle name="_Pocket_TV_Diff_VSA 111014_LCD" xfId="0"/>
    <cellStyle name="_Pocket_TV_Diff_VSA 111014_PJ" xfId="0"/>
    <cellStyle name="_Pocket_TV_Diff_VSA Roll-Up (LW)" xfId="0"/>
    <cellStyle name="_Pocket_TV_Diff_VSA Roll-Up (LW) 2" xfId="0"/>
    <cellStyle name="_Pocket_TV_Diff_VSA Roll-Up (LW) 3" xfId="0"/>
    <cellStyle name="_Pocket_TV_Diff_VSA Roll-Up (LW) 4" xfId="0"/>
    <cellStyle name="_Pocket_TV_Diff_VSA Roll-Up (LW) 4 2" xfId="0"/>
    <cellStyle name="_Pocket_TV_Diff_VSA Roll-Up (LW)_By Region" xfId="0"/>
    <cellStyle name="_Pocket_TV_Diff_VSA Roll-Up (LW)_CORP SG&amp;A" xfId="0"/>
    <cellStyle name="_Pocket_TV_Diff_VSA Roll-Up (LW)_LCD" xfId="0"/>
    <cellStyle name="_Pocket_TV_Diff_VSA Roll-Up (LW)_PJ" xfId="0"/>
    <cellStyle name="_Pocket_TV_Digital Product" xfId="0"/>
    <cellStyle name="_Pocket_TV_Digital Product 2" xfId="0"/>
    <cellStyle name="_Pocket_TV_Digital Product 3" xfId="0"/>
    <cellStyle name="_Pocket_TV_Digital Product 4" xfId="0"/>
    <cellStyle name="_Pocket_TV_Digital Product_By Region" xfId="0"/>
    <cellStyle name="_Pocket_TV_Digital Product_CORP SG&amp;A" xfId="0"/>
    <cellStyle name="_Pocket_TV_Digital Product_GPS OTHER" xfId="0"/>
    <cellStyle name="_Pocket_TV_Digital Product_GPS OTHER 2" xfId="0"/>
    <cellStyle name="_Pocket_TV_Digital Product_GPS OTHER 3" xfId="0"/>
    <cellStyle name="_Pocket_TV_Digital Product_GPS OTHER 4" xfId="0"/>
    <cellStyle name="_Pocket_TV_Digital Product_GPS OTHER 4 2" xfId="0"/>
    <cellStyle name="_Pocket_TV_Digital Product_GPS OTHER_By Region" xfId="0"/>
    <cellStyle name="_Pocket_TV_Digital Product_GPS OTHER_CORP SG&amp;A" xfId="0"/>
    <cellStyle name="_Pocket_TV_Digital Product_GPS OTHER_LCD" xfId="0"/>
    <cellStyle name="_Pocket_TV_Digital Product_GPS OTHER_PJ" xfId="0"/>
    <cellStyle name="_Pocket_TV_Digital Product_PC Products" xfId="0"/>
    <cellStyle name="_Pocket_TV_Digital Product_PC Products 2" xfId="0"/>
    <cellStyle name="_Pocket_TV_Digital Product_PC Products 3" xfId="0"/>
    <cellStyle name="_Pocket_TV_Digital Product_PC Products 4" xfId="0"/>
    <cellStyle name="_Pocket_TV_Digital Product_PC Products 4 2" xfId="0"/>
    <cellStyle name="_Pocket_TV_Digital Product_PC Products_By Region" xfId="0"/>
    <cellStyle name="_Pocket_TV_Digital Product_PC Products_CORP SG&amp;A" xfId="0"/>
    <cellStyle name="_Pocket_TV_Digital Product_PC Products_LCD" xfId="0"/>
    <cellStyle name="_Pocket_TV_Digital Product_PC Products_PJ" xfId="0"/>
    <cellStyle name="_Pocket_TV_Digital Product_VSA 111014" xfId="0"/>
    <cellStyle name="_Pocket_TV_Digital Product_VSA 111014 2" xfId="0"/>
    <cellStyle name="_Pocket_TV_Digital Product_VSA 111014 3" xfId="0"/>
    <cellStyle name="_Pocket_TV_Digital Product_VSA 111014 4" xfId="0"/>
    <cellStyle name="_Pocket_TV_Digital Product_VSA 111014 4 2" xfId="0"/>
    <cellStyle name="_Pocket_TV_Digital Product_VSA 111014_By Region" xfId="0"/>
    <cellStyle name="_Pocket_TV_Digital Product_VSA 111014_CORP SG&amp;A" xfId="0"/>
    <cellStyle name="_Pocket_TV_Digital Product_VSA 111014_LCD" xfId="0"/>
    <cellStyle name="_Pocket_TV_Digital Product_VSA 111014_PJ" xfId="0"/>
    <cellStyle name="_Pocket_TV_Digital Product_VSA Roll-Up (LW)" xfId="0"/>
    <cellStyle name="_Pocket_TV_Digital Product_VSA Roll-Up (LW) 2" xfId="0"/>
    <cellStyle name="_Pocket_TV_Digital Product_VSA Roll-Up (LW) 3" xfId="0"/>
    <cellStyle name="_Pocket_TV_Digital Product_VSA Roll-Up (LW) 4" xfId="0"/>
    <cellStyle name="_Pocket_TV_Digital Product_VSA Roll-Up (LW) 4 2" xfId="0"/>
    <cellStyle name="_Pocket_TV_Digital Product_VSA Roll-Up (LW)_By Region" xfId="0"/>
    <cellStyle name="_Pocket_TV_Digital Product_VSA Roll-Up (LW)_CORP SG&amp;A" xfId="0"/>
    <cellStyle name="_Pocket_TV_Digital Product_VSA Roll-Up (LW)_LCD" xfId="0"/>
    <cellStyle name="_Pocket_TV_Digital Product_VSA Roll-Up (LW)_PJ" xfId="0"/>
    <cellStyle name="_Pocket_TV_Digital Signage" xfId="0"/>
    <cellStyle name="_Pocket_TV_Digital Signage 2" xfId="0"/>
    <cellStyle name="_Pocket_TV_Digital Signage 3" xfId="0"/>
    <cellStyle name="_Pocket_TV_Digital Signage 4" xfId="0"/>
    <cellStyle name="_Pocket_TV_Digital Signage_By Region" xfId="0"/>
    <cellStyle name="_Pocket_TV_Digital Signage_CORP SG&amp;A" xfId="0"/>
    <cellStyle name="_Pocket_TV_Digital Signage_GPS OTHER" xfId="0"/>
    <cellStyle name="_Pocket_TV_Digital Signage_GPS OTHER 2" xfId="0"/>
    <cellStyle name="_Pocket_TV_Digital Signage_GPS OTHER 3" xfId="0"/>
    <cellStyle name="_Pocket_TV_Digital Signage_GPS OTHER 4" xfId="0"/>
    <cellStyle name="_Pocket_TV_Digital Signage_GPS OTHER 4 2" xfId="0"/>
    <cellStyle name="_Pocket_TV_Digital Signage_GPS OTHER_By Region" xfId="0"/>
    <cellStyle name="_Pocket_TV_Digital Signage_GPS OTHER_CORP SG&amp;A" xfId="0"/>
    <cellStyle name="_Pocket_TV_Digital Signage_GPS OTHER_LCD" xfId="0"/>
    <cellStyle name="_Pocket_TV_Digital Signage_GPS OTHER_PJ" xfId="0"/>
    <cellStyle name="_Pocket_TV_Digital Signage_PC Products" xfId="0"/>
    <cellStyle name="_Pocket_TV_Digital Signage_PC Products 2" xfId="0"/>
    <cellStyle name="_Pocket_TV_Digital Signage_PC Products 3" xfId="0"/>
    <cellStyle name="_Pocket_TV_Digital Signage_PC Products 4" xfId="0"/>
    <cellStyle name="_Pocket_TV_Digital Signage_PC Products 4 2" xfId="0"/>
    <cellStyle name="_Pocket_TV_Digital Signage_PC Products_By Region" xfId="0"/>
    <cellStyle name="_Pocket_TV_Digital Signage_PC Products_CORP SG&amp;A" xfId="0"/>
    <cellStyle name="_Pocket_TV_Digital Signage_PC Products_LCD" xfId="0"/>
    <cellStyle name="_Pocket_TV_Digital Signage_PC Products_PJ" xfId="0"/>
    <cellStyle name="_Pocket_TV_Digital Signage_VSA 111014" xfId="0"/>
    <cellStyle name="_Pocket_TV_Digital Signage_VSA 111014 2" xfId="0"/>
    <cellStyle name="_Pocket_TV_Digital Signage_VSA 111014 3" xfId="0"/>
    <cellStyle name="_Pocket_TV_Digital Signage_VSA 111014 4" xfId="0"/>
    <cellStyle name="_Pocket_TV_Digital Signage_VSA 111014 4 2" xfId="0"/>
    <cellStyle name="_Pocket_TV_Digital Signage_VSA 111014_By Region" xfId="0"/>
    <cellStyle name="_Pocket_TV_Digital Signage_VSA 111014_CORP SG&amp;A" xfId="0"/>
    <cellStyle name="_Pocket_TV_Digital Signage_VSA 111014_LCD" xfId="0"/>
    <cellStyle name="_Pocket_TV_Digital Signage_VSA 111014_PJ" xfId="0"/>
    <cellStyle name="_Pocket_TV_Digital Signage_VSA Roll-Up (LW)" xfId="0"/>
    <cellStyle name="_Pocket_TV_Digital Signage_VSA Roll-Up (LW) 2" xfId="0"/>
    <cellStyle name="_Pocket_TV_Digital Signage_VSA Roll-Up (LW) 3" xfId="0"/>
    <cellStyle name="_Pocket_TV_Digital Signage_VSA Roll-Up (LW) 4" xfId="0"/>
    <cellStyle name="_Pocket_TV_Digital Signage_VSA Roll-Up (LW) 4 2" xfId="0"/>
    <cellStyle name="_Pocket_TV_Digital Signage_VSA Roll-Up (LW)_By Region" xfId="0"/>
    <cellStyle name="_Pocket_TV_Digital Signage_VSA Roll-Up (LW)_CORP SG&amp;A" xfId="0"/>
    <cellStyle name="_Pocket_TV_Digital Signage_VSA Roll-Up (LW)_LCD" xfId="0"/>
    <cellStyle name="_Pocket_TV_Digital Signage_VSA Roll-Up (LW)_PJ" xfId="0"/>
    <cellStyle name="_Pocket_TV_DMA(VMP)" xfId="0"/>
    <cellStyle name="_Pocket_TV_DMA(VMP) 2" xfId="0"/>
    <cellStyle name="_Pocket_TV_DMA(VMP) 3" xfId="0"/>
    <cellStyle name="_Pocket_TV_DMA(VMP) 4" xfId="0"/>
    <cellStyle name="_Pocket_TV_DMA(VMP)_By Region" xfId="0"/>
    <cellStyle name="_Pocket_TV_DMA(VMP)_CORP SG&amp;A" xfId="0"/>
    <cellStyle name="_Pocket_TV_DMA(VMP)_GPS OTHER" xfId="0"/>
    <cellStyle name="_Pocket_TV_DMA(VMP)_GPS OTHER 2" xfId="0"/>
    <cellStyle name="_Pocket_TV_DMA(VMP)_GPS OTHER 3" xfId="0"/>
    <cellStyle name="_Pocket_TV_DMA(VMP)_GPS OTHER 4" xfId="0"/>
    <cellStyle name="_Pocket_TV_DMA(VMP)_GPS OTHER 4 2" xfId="0"/>
    <cellStyle name="_Pocket_TV_DMA(VMP)_GPS OTHER_By Region" xfId="0"/>
    <cellStyle name="_Pocket_TV_DMA(VMP)_GPS OTHER_CORP SG&amp;A" xfId="0"/>
    <cellStyle name="_Pocket_TV_DMA(VMP)_GPS OTHER_LCD" xfId="0"/>
    <cellStyle name="_Pocket_TV_DMA(VMP)_GPS OTHER_PJ" xfId="0"/>
    <cellStyle name="_Pocket_TV_DMA(VMP)_PC Products" xfId="0"/>
    <cellStyle name="_Pocket_TV_DMA(VMP)_PC Products 2" xfId="0"/>
    <cellStyle name="_Pocket_TV_DMA(VMP)_PC Products 3" xfId="0"/>
    <cellStyle name="_Pocket_TV_DMA(VMP)_PC Products 4" xfId="0"/>
    <cellStyle name="_Pocket_TV_DMA(VMP)_PC Products 4 2" xfId="0"/>
    <cellStyle name="_Pocket_TV_DMA(VMP)_PC Products_By Region" xfId="0"/>
    <cellStyle name="_Pocket_TV_DMA(VMP)_PC Products_CORP SG&amp;A" xfId="0"/>
    <cellStyle name="_Pocket_TV_DMA(VMP)_PC Products_LCD" xfId="0"/>
    <cellStyle name="_Pocket_TV_DMA(VMP)_PC Products_PJ" xfId="0"/>
    <cellStyle name="_Pocket_TV_DMA(VMP)_VSA 111014" xfId="0"/>
    <cellStyle name="_Pocket_TV_DMA(VMP)_VSA 111014 2" xfId="0"/>
    <cellStyle name="_Pocket_TV_DMA(VMP)_VSA 111014 3" xfId="0"/>
    <cellStyle name="_Pocket_TV_DMA(VMP)_VSA 111014 4" xfId="0"/>
    <cellStyle name="_Pocket_TV_DMA(VMP)_VSA 111014 4 2" xfId="0"/>
    <cellStyle name="_Pocket_TV_DMA(VMP)_VSA 111014_By Region" xfId="0"/>
    <cellStyle name="_Pocket_TV_DMA(VMP)_VSA 111014_CORP SG&amp;A" xfId="0"/>
    <cellStyle name="_Pocket_TV_DMA(VMP)_VSA 111014_LCD" xfId="0"/>
    <cellStyle name="_Pocket_TV_DMA(VMP)_VSA 111014_PJ" xfId="0"/>
    <cellStyle name="_Pocket_TV_DMA(VMP)_VSA Roll-Up (LW)" xfId="0"/>
    <cellStyle name="_Pocket_TV_DMA(VMP)_VSA Roll-Up (LW) 2" xfId="0"/>
    <cellStyle name="_Pocket_TV_DMA(VMP)_VSA Roll-Up (LW) 3" xfId="0"/>
    <cellStyle name="_Pocket_TV_DMA(VMP)_VSA Roll-Up (LW) 4" xfId="0"/>
    <cellStyle name="_Pocket_TV_DMA(VMP)_VSA Roll-Up (LW) 4 2" xfId="0"/>
    <cellStyle name="_Pocket_TV_DMA(VMP)_VSA Roll-Up (LW)_By Region" xfId="0"/>
    <cellStyle name="_Pocket_TV_DMA(VMP)_VSA Roll-Up (LW)_CORP SG&amp;A" xfId="0"/>
    <cellStyle name="_Pocket_TV_DMA(VMP)_VSA Roll-Up (LW)_LCD" xfId="0"/>
    <cellStyle name="_Pocket_TV_DMA(VMP)_VSA Roll-Up (LW)_PJ" xfId="0"/>
    <cellStyle name="_Pocket_TV_DPF" xfId="0"/>
    <cellStyle name="_Pocket_TV_DPF 2" xfId="0"/>
    <cellStyle name="_Pocket_TV_DPF 3" xfId="0"/>
    <cellStyle name="_Pocket_TV_DPF 4" xfId="0"/>
    <cellStyle name="_Pocket_TV_DPF_By Region" xfId="0"/>
    <cellStyle name="_Pocket_TV_DPF_CORP SG&amp;A" xfId="0"/>
    <cellStyle name="_Pocket_TV_DPF_GPS OTHER" xfId="0"/>
    <cellStyle name="_Pocket_TV_DPF_GPS OTHER 2" xfId="0"/>
    <cellStyle name="_Pocket_TV_DPF_GPS OTHER 3" xfId="0"/>
    <cellStyle name="_Pocket_TV_DPF_GPS OTHER 4" xfId="0"/>
    <cellStyle name="_Pocket_TV_DPF_GPS OTHER 4 2" xfId="0"/>
    <cellStyle name="_Pocket_TV_DPF_GPS OTHER_By Region" xfId="0"/>
    <cellStyle name="_Pocket_TV_DPF_GPS OTHER_CORP SG&amp;A" xfId="0"/>
    <cellStyle name="_Pocket_TV_DPF_GPS OTHER_LCD" xfId="0"/>
    <cellStyle name="_Pocket_TV_DPF_GPS OTHER_PJ" xfId="0"/>
    <cellStyle name="_Pocket_TV_DPF_PC Products" xfId="0"/>
    <cellStyle name="_Pocket_TV_DPF_PC Products 2" xfId="0"/>
    <cellStyle name="_Pocket_TV_DPF_PC Products 3" xfId="0"/>
    <cellStyle name="_Pocket_TV_DPF_PC Products 4" xfId="0"/>
    <cellStyle name="_Pocket_TV_DPF_PC Products 4 2" xfId="0"/>
    <cellStyle name="_Pocket_TV_DPF_PC Products_By Region" xfId="0"/>
    <cellStyle name="_Pocket_TV_DPF_PC Products_CORP SG&amp;A" xfId="0"/>
    <cellStyle name="_Pocket_TV_DPF_PC Products_LCD" xfId="0"/>
    <cellStyle name="_Pocket_TV_DPF_PC Products_PJ" xfId="0"/>
    <cellStyle name="_Pocket_TV_DPF_VSA 111014" xfId="0"/>
    <cellStyle name="_Pocket_TV_DPF_VSA 111014 2" xfId="0"/>
    <cellStyle name="_Pocket_TV_DPF_VSA 111014 3" xfId="0"/>
    <cellStyle name="_Pocket_TV_DPF_VSA 111014 4" xfId="0"/>
    <cellStyle name="_Pocket_TV_DPF_VSA 111014 4 2" xfId="0"/>
    <cellStyle name="_Pocket_TV_DPF_VSA 111014_By Region" xfId="0"/>
    <cellStyle name="_Pocket_TV_DPF_VSA 111014_CORP SG&amp;A" xfId="0"/>
    <cellStyle name="_Pocket_TV_DPF_VSA 111014_LCD" xfId="0"/>
    <cellStyle name="_Pocket_TV_DPF_VSA 111014_PJ" xfId="0"/>
    <cellStyle name="_Pocket_TV_DPF_VSA Roll-Up (LW)" xfId="0"/>
    <cellStyle name="_Pocket_TV_DPF_VSA Roll-Up (LW) 2" xfId="0"/>
    <cellStyle name="_Pocket_TV_DPF_VSA Roll-Up (LW) 3" xfId="0"/>
    <cellStyle name="_Pocket_TV_DPF_VSA Roll-Up (LW) 4" xfId="0"/>
    <cellStyle name="_Pocket_TV_DPF_VSA Roll-Up (LW) 4 2" xfId="0"/>
    <cellStyle name="_Pocket_TV_DPF_VSA Roll-Up (LW)_By Region" xfId="0"/>
    <cellStyle name="_Pocket_TV_DPF_VSA Roll-Up (LW)_CORP SG&amp;A" xfId="0"/>
    <cellStyle name="_Pocket_TV_DPF_VSA Roll-Up (LW)_LCD" xfId="0"/>
    <cellStyle name="_Pocket_TV_DPF_VSA Roll-Up (LW)_PJ" xfId="0"/>
    <cellStyle name="_Pocket_TV_DS" xfId="0"/>
    <cellStyle name="_Pocket_TV_DS 2" xfId="0"/>
    <cellStyle name="_Pocket_TV_DS 3" xfId="0"/>
    <cellStyle name="_Pocket_TV_DS 4" xfId="0"/>
    <cellStyle name="_Pocket_TV_DS_By Region" xfId="0"/>
    <cellStyle name="_Pocket_TV_DS_CORP SG&amp;A" xfId="0"/>
    <cellStyle name="_Pocket_TV_DS_GPS OTHER" xfId="0"/>
    <cellStyle name="_Pocket_TV_DS_GPS OTHER 2" xfId="0"/>
    <cellStyle name="_Pocket_TV_DS_GPS OTHER 3" xfId="0"/>
    <cellStyle name="_Pocket_TV_DS_GPS OTHER 4" xfId="0"/>
    <cellStyle name="_Pocket_TV_DS_GPS OTHER 4 2" xfId="0"/>
    <cellStyle name="_Pocket_TV_DS_GPS OTHER_By Region" xfId="0"/>
    <cellStyle name="_Pocket_TV_DS_GPS OTHER_CORP SG&amp;A" xfId="0"/>
    <cellStyle name="_Pocket_TV_DS_GPS OTHER_LCD" xfId="0"/>
    <cellStyle name="_Pocket_TV_DS_GPS OTHER_PJ" xfId="0"/>
    <cellStyle name="_Pocket_TV_DS_PC Products" xfId="0"/>
    <cellStyle name="_Pocket_TV_DS_PC Products 2" xfId="0"/>
    <cellStyle name="_Pocket_TV_DS_PC Products 3" xfId="0"/>
    <cellStyle name="_Pocket_TV_DS_PC Products 4" xfId="0"/>
    <cellStyle name="_Pocket_TV_DS_PC Products 4 2" xfId="0"/>
    <cellStyle name="_Pocket_TV_DS_PC Products_By Region" xfId="0"/>
    <cellStyle name="_Pocket_TV_DS_PC Products_CORP SG&amp;A" xfId="0"/>
    <cellStyle name="_Pocket_TV_DS_PC Products_LCD" xfId="0"/>
    <cellStyle name="_Pocket_TV_DS_PC Products_PJ" xfId="0"/>
    <cellStyle name="_Pocket_TV_DS_VSA 111014" xfId="0"/>
    <cellStyle name="_Pocket_TV_DS_VSA 111014 2" xfId="0"/>
    <cellStyle name="_Pocket_TV_DS_VSA 111014 3" xfId="0"/>
    <cellStyle name="_Pocket_TV_DS_VSA 111014 4" xfId="0"/>
    <cellStyle name="_Pocket_TV_DS_VSA 111014 4 2" xfId="0"/>
    <cellStyle name="_Pocket_TV_DS_VSA 111014_By Region" xfId="0"/>
    <cellStyle name="_Pocket_TV_DS_VSA 111014_CORP SG&amp;A" xfId="0"/>
    <cellStyle name="_Pocket_TV_DS_VSA 111014_LCD" xfId="0"/>
    <cellStyle name="_Pocket_TV_DS_VSA 111014_PJ" xfId="0"/>
    <cellStyle name="_Pocket_TV_DS_VSA Roll-Up (LW)" xfId="0"/>
    <cellStyle name="_Pocket_TV_DS_VSA Roll-Up (LW) 2" xfId="0"/>
    <cellStyle name="_Pocket_TV_DS_VSA Roll-Up (LW) 3" xfId="0"/>
    <cellStyle name="_Pocket_TV_DS_VSA Roll-Up (LW) 4" xfId="0"/>
    <cellStyle name="_Pocket_TV_DS_VSA Roll-Up (LW) 4 2" xfId="0"/>
    <cellStyle name="_Pocket_TV_DS_VSA Roll-Up (LW)_By Region" xfId="0"/>
    <cellStyle name="_Pocket_TV_DS_VSA Roll-Up (LW)_CORP SG&amp;A" xfId="0"/>
    <cellStyle name="_Pocket_TV_DS_VSA Roll-Up (LW)_LCD" xfId="0"/>
    <cellStyle name="_Pocket_TV_DS_VSA Roll-Up (LW)_PJ" xfId="0"/>
    <cellStyle name="_Pocket_TV_DVD_TV" xfId="0"/>
    <cellStyle name="_Pocket_TV_DVD_TV 2" xfId="0"/>
    <cellStyle name="_Pocket_TV_DVD_TV 3" xfId="0"/>
    <cellStyle name="_Pocket_TV_DVD_TV 4" xfId="0"/>
    <cellStyle name="_Pocket_TV_DVD_TV_By Region" xfId="0"/>
    <cellStyle name="_Pocket_TV_DVD_TV_CORP SG&amp;A" xfId="0"/>
    <cellStyle name="_Pocket_TV_DVD_TV_GPS OTHER" xfId="0"/>
    <cellStyle name="_Pocket_TV_DVD_TV_GPS OTHER 2" xfId="0"/>
    <cellStyle name="_Pocket_TV_DVD_TV_GPS OTHER 3" xfId="0"/>
    <cellStyle name="_Pocket_TV_DVD_TV_GPS OTHER 4" xfId="0"/>
    <cellStyle name="_Pocket_TV_DVD_TV_GPS OTHER 4 2" xfId="0"/>
    <cellStyle name="_Pocket_TV_DVD_TV_GPS OTHER_By Region" xfId="0"/>
    <cellStyle name="_Pocket_TV_DVD_TV_GPS OTHER_CORP SG&amp;A" xfId="0"/>
    <cellStyle name="_Pocket_TV_DVD_TV_GPS OTHER_LCD" xfId="0"/>
    <cellStyle name="_Pocket_TV_DVD_TV_GPS OTHER_PJ" xfId="0"/>
    <cellStyle name="_Pocket_TV_DVD_TV_PC Products" xfId="0"/>
    <cellStyle name="_Pocket_TV_DVD_TV_PC Products 2" xfId="0"/>
    <cellStyle name="_Pocket_TV_DVD_TV_PC Products 3" xfId="0"/>
    <cellStyle name="_Pocket_TV_DVD_TV_PC Products 4" xfId="0"/>
    <cellStyle name="_Pocket_TV_DVD_TV_PC Products 4 2" xfId="0"/>
    <cellStyle name="_Pocket_TV_DVD_TV_PC Products_By Region" xfId="0"/>
    <cellStyle name="_Pocket_TV_DVD_TV_PC Products_CORP SG&amp;A" xfId="0"/>
    <cellStyle name="_Pocket_TV_DVD_TV_PC Products_LCD" xfId="0"/>
    <cellStyle name="_Pocket_TV_DVD_TV_PC Products_PJ" xfId="0"/>
    <cellStyle name="_Pocket_TV_DVD_TV_VSA 111014" xfId="0"/>
    <cellStyle name="_Pocket_TV_DVD_TV_VSA 111014 2" xfId="0"/>
    <cellStyle name="_Pocket_TV_DVD_TV_VSA 111014 3" xfId="0"/>
    <cellStyle name="_Pocket_TV_DVD_TV_VSA 111014 4" xfId="0"/>
    <cellStyle name="_Pocket_TV_DVD_TV_VSA 111014 4 2" xfId="0"/>
    <cellStyle name="_Pocket_TV_DVD_TV_VSA 111014_By Region" xfId="0"/>
    <cellStyle name="_Pocket_TV_DVD_TV_VSA 111014_CORP SG&amp;A" xfId="0"/>
    <cellStyle name="_Pocket_TV_DVD_TV_VSA 111014_LCD" xfId="0"/>
    <cellStyle name="_Pocket_TV_DVD_TV_VSA 111014_PJ" xfId="0"/>
    <cellStyle name="_Pocket_TV_DVD_TV_VSA Roll-Up (LW)" xfId="0"/>
    <cellStyle name="_Pocket_TV_DVD_TV_VSA Roll-Up (LW) 2" xfId="0"/>
    <cellStyle name="_Pocket_TV_DVD_TV_VSA Roll-Up (LW) 3" xfId="0"/>
    <cellStyle name="_Pocket_TV_DVD_TV_VSA Roll-Up (LW) 4" xfId="0"/>
    <cellStyle name="_Pocket_TV_DVD_TV_VSA Roll-Up (LW) 4 2" xfId="0"/>
    <cellStyle name="_Pocket_TV_DVD_TV_VSA Roll-Up (LW)_By Region" xfId="0"/>
    <cellStyle name="_Pocket_TV_DVD_TV_VSA Roll-Up (LW)_CORP SG&amp;A" xfId="0"/>
    <cellStyle name="_Pocket_TV_DVD_TV_VSA Roll-Up (LW)_LCD" xfId="0"/>
    <cellStyle name="_Pocket_TV_DVD_TV_VSA Roll-Up (LW)_PJ" xfId="0"/>
    <cellStyle name="_Pocket_TV_GPS OTHER" xfId="0"/>
    <cellStyle name="_Pocket_TV_GPS OTHER 2" xfId="0"/>
    <cellStyle name="_Pocket_TV_GPS OTHER 3" xfId="0"/>
    <cellStyle name="_Pocket_TV_GPS OTHER 4" xfId="0"/>
    <cellStyle name="_Pocket_TV_GPS OTHER 4 2" xfId="0"/>
    <cellStyle name="_Pocket_TV_GPS OTHER_By Region" xfId="0"/>
    <cellStyle name="_Pocket_TV_GPS OTHER_CORP SG&amp;A" xfId="0"/>
    <cellStyle name="_Pocket_TV_GPS OTHER_LCD" xfId="0"/>
    <cellStyle name="_Pocket_TV_GPS OTHER_PJ" xfId="0"/>
    <cellStyle name="_Pocket_TV_LCD" xfId="0"/>
    <cellStyle name="_Pocket_TV_LCD 2" xfId="0"/>
    <cellStyle name="_Pocket_TV_LCD 3" xfId="0"/>
    <cellStyle name="_Pocket_TV_LCD 4" xfId="0"/>
    <cellStyle name="_Pocket_TV_LCD_By Region" xfId="0"/>
    <cellStyle name="_Pocket_TV_LCD_CORP SG&amp;A" xfId="0"/>
    <cellStyle name="_Pocket_TV_LCD_GPS OTHER" xfId="0"/>
    <cellStyle name="_Pocket_TV_LCD_GPS OTHER 2" xfId="0"/>
    <cellStyle name="_Pocket_TV_LCD_GPS OTHER 3" xfId="0"/>
    <cellStyle name="_Pocket_TV_LCD_GPS OTHER 4" xfId="0"/>
    <cellStyle name="_Pocket_TV_LCD_GPS OTHER 4 2" xfId="0"/>
    <cellStyle name="_Pocket_TV_LCD_GPS OTHER_By Region" xfId="0"/>
    <cellStyle name="_Pocket_TV_LCD_GPS OTHER_CORP SG&amp;A" xfId="0"/>
    <cellStyle name="_Pocket_TV_LCD_GPS OTHER_LCD" xfId="0"/>
    <cellStyle name="_Pocket_TV_LCD_GPS OTHER_PJ" xfId="0"/>
    <cellStyle name="_Pocket_TV_LCD_PC Products" xfId="0"/>
    <cellStyle name="_Pocket_TV_LCD_PC Products 2" xfId="0"/>
    <cellStyle name="_Pocket_TV_LCD_PC Products 3" xfId="0"/>
    <cellStyle name="_Pocket_TV_LCD_PC Products 4" xfId="0"/>
    <cellStyle name="_Pocket_TV_LCD_PC Products 4 2" xfId="0"/>
    <cellStyle name="_Pocket_TV_LCD_PC Products_By Region" xfId="0"/>
    <cellStyle name="_Pocket_TV_LCD_PC Products_CORP SG&amp;A" xfId="0"/>
    <cellStyle name="_Pocket_TV_LCD_PC Products_LCD" xfId="0"/>
    <cellStyle name="_Pocket_TV_LCD_PC Products_PJ" xfId="0"/>
    <cellStyle name="_Pocket_TV_LCD_VSA 111014" xfId="0"/>
    <cellStyle name="_Pocket_TV_LCD_VSA 111014 2" xfId="0"/>
    <cellStyle name="_Pocket_TV_LCD_VSA 111014 3" xfId="0"/>
    <cellStyle name="_Pocket_TV_LCD_VSA 111014 4" xfId="0"/>
    <cellStyle name="_Pocket_TV_LCD_VSA 111014 4 2" xfId="0"/>
    <cellStyle name="_Pocket_TV_LCD_VSA 111014_By Region" xfId="0"/>
    <cellStyle name="_Pocket_TV_LCD_VSA 111014_CORP SG&amp;A" xfId="0"/>
    <cellStyle name="_Pocket_TV_LCD_VSA 111014_LCD" xfId="0"/>
    <cellStyle name="_Pocket_TV_LCD_VSA 111014_PJ" xfId="0"/>
    <cellStyle name="_Pocket_TV_LCD_VSA Roll-Up (LW)" xfId="0"/>
    <cellStyle name="_Pocket_TV_LCD_VSA Roll-Up (LW) 2" xfId="0"/>
    <cellStyle name="_Pocket_TV_LCD_VSA Roll-Up (LW) 3" xfId="0"/>
    <cellStyle name="_Pocket_TV_LCD_VSA Roll-Up (LW) 4" xfId="0"/>
    <cellStyle name="_Pocket_TV_LCD_VSA Roll-Up (LW) 4 2" xfId="0"/>
    <cellStyle name="_Pocket_TV_LCD_VSA Roll-Up (LW)_By Region" xfId="0"/>
    <cellStyle name="_Pocket_TV_LCD_VSA Roll-Up (LW)_CORP SG&amp;A" xfId="0"/>
    <cellStyle name="_Pocket_TV_LCD_VSA Roll-Up (LW)_LCD" xfId="0"/>
    <cellStyle name="_Pocket_TV_LCD_VSA Roll-Up (LW)_PJ" xfId="0"/>
    <cellStyle name="_Pocket_TV_LCDTV" xfId="0"/>
    <cellStyle name="_Pocket_TV_LCDTV 2" xfId="0"/>
    <cellStyle name="_Pocket_TV_LCDTV 3" xfId="0"/>
    <cellStyle name="_Pocket_TV_LCDTV 4" xfId="0"/>
    <cellStyle name="_Pocket_TV_LCDTV_By Region" xfId="0"/>
    <cellStyle name="_Pocket_TV_LCDTV_CORP SG&amp;A" xfId="0"/>
    <cellStyle name="_Pocket_TV_LCDTV_GPS OTHER" xfId="0"/>
    <cellStyle name="_Pocket_TV_LCDTV_GPS OTHER 2" xfId="0"/>
    <cellStyle name="_Pocket_TV_LCDTV_GPS OTHER 3" xfId="0"/>
    <cellStyle name="_Pocket_TV_LCDTV_GPS OTHER 4" xfId="0"/>
    <cellStyle name="_Pocket_TV_LCDTV_GPS OTHER 4 2" xfId="0"/>
    <cellStyle name="_Pocket_TV_LCDTV_GPS OTHER_By Region" xfId="0"/>
    <cellStyle name="_Pocket_TV_LCDTV_GPS OTHER_CORP SG&amp;A" xfId="0"/>
    <cellStyle name="_Pocket_TV_LCDTV_GPS OTHER_LCD" xfId="0"/>
    <cellStyle name="_Pocket_TV_LCDTV_GPS OTHER_PJ" xfId="0"/>
    <cellStyle name="_Pocket_TV_LCDTV_PC Products" xfId="0"/>
    <cellStyle name="_Pocket_TV_LCDTV_PC Products 2" xfId="0"/>
    <cellStyle name="_Pocket_TV_LCDTV_PC Products 3" xfId="0"/>
    <cellStyle name="_Pocket_TV_LCDTV_PC Products 4" xfId="0"/>
    <cellStyle name="_Pocket_TV_LCDTV_PC Products 4 2" xfId="0"/>
    <cellStyle name="_Pocket_TV_LCDTV_PC Products_By Region" xfId="0"/>
    <cellStyle name="_Pocket_TV_LCDTV_PC Products_CORP SG&amp;A" xfId="0"/>
    <cellStyle name="_Pocket_TV_LCDTV_PC Products_LCD" xfId="0"/>
    <cellStyle name="_Pocket_TV_LCDTV_PC Products_PJ" xfId="0"/>
    <cellStyle name="_Pocket_TV_LCDTV_VSA 111014" xfId="0"/>
    <cellStyle name="_Pocket_TV_LCDTV_VSA 111014 2" xfId="0"/>
    <cellStyle name="_Pocket_TV_LCDTV_VSA 111014 3" xfId="0"/>
    <cellStyle name="_Pocket_TV_LCDTV_VSA 111014 4" xfId="0"/>
    <cellStyle name="_Pocket_TV_LCDTV_VSA 111014 4 2" xfId="0"/>
    <cellStyle name="_Pocket_TV_LCDTV_VSA 111014_By Region" xfId="0"/>
    <cellStyle name="_Pocket_TV_LCDTV_VSA 111014_CORP SG&amp;A" xfId="0"/>
    <cellStyle name="_Pocket_TV_LCDTV_VSA 111014_LCD" xfId="0"/>
    <cellStyle name="_Pocket_TV_LCDTV_VSA 111014_PJ" xfId="0"/>
    <cellStyle name="_Pocket_TV_LCDTV_VSA Roll-Up (LW)" xfId="0"/>
    <cellStyle name="_Pocket_TV_LCDTV_VSA Roll-Up (LW) 2" xfId="0"/>
    <cellStyle name="_Pocket_TV_LCDTV_VSA Roll-Up (LW) 3" xfId="0"/>
    <cellStyle name="_Pocket_TV_LCDTV_VSA Roll-Up (LW) 4" xfId="0"/>
    <cellStyle name="_Pocket_TV_LCDTV_VSA Roll-Up (LW) 4 2" xfId="0"/>
    <cellStyle name="_Pocket_TV_LCDTV_VSA Roll-Up (LW)_By Region" xfId="0"/>
    <cellStyle name="_Pocket_TV_LCDTV_VSA Roll-Up (LW)_CORP SG&amp;A" xfId="0"/>
    <cellStyle name="_Pocket_TV_LCDTV_VSA Roll-Up (LW)_LCD" xfId="0"/>
    <cellStyle name="_Pocket_TV_LCDTV_VSA Roll-Up (LW)_PJ" xfId="0"/>
    <cellStyle name="_Pocket_TV_MNT" xfId="0"/>
    <cellStyle name="_Pocket_TV_MNT 2" xfId="0"/>
    <cellStyle name="_Pocket_TV_MNT 3" xfId="0"/>
    <cellStyle name="_Pocket_TV_MNT 4" xfId="0"/>
    <cellStyle name="_Pocket_TV_MNT_By Region" xfId="0"/>
    <cellStyle name="_Pocket_TV_MNT_CORP SG&amp;A" xfId="0"/>
    <cellStyle name="_Pocket_TV_MNT_GPS OTHER" xfId="0"/>
    <cellStyle name="_Pocket_TV_MNT_GPS OTHER 2" xfId="0"/>
    <cellStyle name="_Pocket_TV_MNT_GPS OTHER 3" xfId="0"/>
    <cellStyle name="_Pocket_TV_MNT_GPS OTHER 4" xfId="0"/>
    <cellStyle name="_Pocket_TV_MNT_GPS OTHER 4 2" xfId="0"/>
    <cellStyle name="_Pocket_TV_MNT_GPS OTHER_By Region" xfId="0"/>
    <cellStyle name="_Pocket_TV_MNT_GPS OTHER_CORP SG&amp;A" xfId="0"/>
    <cellStyle name="_Pocket_TV_MNT_GPS OTHER_LCD" xfId="0"/>
    <cellStyle name="_Pocket_TV_MNT_GPS OTHER_PJ" xfId="0"/>
    <cellStyle name="_Pocket_TV_MNT_PC Products" xfId="0"/>
    <cellStyle name="_Pocket_TV_MNT_PC Products 2" xfId="0"/>
    <cellStyle name="_Pocket_TV_MNT_PC Products 3" xfId="0"/>
    <cellStyle name="_Pocket_TV_MNT_PC Products 4" xfId="0"/>
    <cellStyle name="_Pocket_TV_MNT_PC Products 4 2" xfId="0"/>
    <cellStyle name="_Pocket_TV_MNT_PC Products_By Region" xfId="0"/>
    <cellStyle name="_Pocket_TV_MNT_PC Products_CORP SG&amp;A" xfId="0"/>
    <cellStyle name="_Pocket_TV_MNT_PC Products_LCD" xfId="0"/>
    <cellStyle name="_Pocket_TV_MNT_PC Products_PJ" xfId="0"/>
    <cellStyle name="_Pocket_TV_MNT_VSA 111014" xfId="0"/>
    <cellStyle name="_Pocket_TV_MNT_VSA 111014 2" xfId="0"/>
    <cellStyle name="_Pocket_TV_MNT_VSA 111014 3" xfId="0"/>
    <cellStyle name="_Pocket_TV_MNT_VSA 111014 4" xfId="0"/>
    <cellStyle name="_Pocket_TV_MNT_VSA 111014 4 2" xfId="0"/>
    <cellStyle name="_Pocket_TV_MNT_VSA 111014_By Region" xfId="0"/>
    <cellStyle name="_Pocket_TV_MNT_VSA 111014_CORP SG&amp;A" xfId="0"/>
    <cellStyle name="_Pocket_TV_MNT_VSA 111014_LCD" xfId="0"/>
    <cellStyle name="_Pocket_TV_MNT_VSA 111014_PJ" xfId="0"/>
    <cellStyle name="_Pocket_TV_MNT_VSA Roll-Up (LW)" xfId="0"/>
    <cellStyle name="_Pocket_TV_MNT_VSA Roll-Up (LW) 2" xfId="0"/>
    <cellStyle name="_Pocket_TV_MNT_VSA Roll-Up (LW) 3" xfId="0"/>
    <cellStyle name="_Pocket_TV_MNT_VSA Roll-Up (LW) 4" xfId="0"/>
    <cellStyle name="_Pocket_TV_MNT_VSA Roll-Up (LW) 4 2" xfId="0"/>
    <cellStyle name="_Pocket_TV_MNT_VSA Roll-Up (LW)_By Region" xfId="0"/>
    <cellStyle name="_Pocket_TV_MNT_VSA Roll-Up (LW)_CORP SG&amp;A" xfId="0"/>
    <cellStyle name="_Pocket_TV_MNT_VSA Roll-Up (LW)_LCD" xfId="0"/>
    <cellStyle name="_Pocket_TV_MNT_VSA Roll-Up (LW)_PJ" xfId="0"/>
    <cellStyle name="_Pocket_TV_Other" xfId="0"/>
    <cellStyle name="_Pocket_TV_Other 2" xfId="0"/>
    <cellStyle name="_Pocket_TV_Other 3" xfId="0"/>
    <cellStyle name="_Pocket_TV_Other 4" xfId="0"/>
    <cellStyle name="_Pocket_TV_Other_By Region" xfId="0"/>
    <cellStyle name="_Pocket_TV_Other_CORP SG&amp;A" xfId="0"/>
    <cellStyle name="_Pocket_TV_Other_GPS OTHER" xfId="0"/>
    <cellStyle name="_Pocket_TV_Other_GPS OTHER 2" xfId="0"/>
    <cellStyle name="_Pocket_TV_Other_GPS OTHER 3" xfId="0"/>
    <cellStyle name="_Pocket_TV_Other_GPS OTHER 4" xfId="0"/>
    <cellStyle name="_Pocket_TV_Other_GPS OTHER 4 2" xfId="0"/>
    <cellStyle name="_Pocket_TV_Other_GPS OTHER_By Region" xfId="0"/>
    <cellStyle name="_Pocket_TV_Other_GPS OTHER_CORP SG&amp;A" xfId="0"/>
    <cellStyle name="_Pocket_TV_Other_GPS OTHER_LCD" xfId="0"/>
    <cellStyle name="_Pocket_TV_Other_GPS OTHER_PJ" xfId="0"/>
    <cellStyle name="_Pocket_TV_Other_PC Products" xfId="0"/>
    <cellStyle name="_Pocket_TV_Other_PC Products 2" xfId="0"/>
    <cellStyle name="_Pocket_TV_Other_PC Products 3" xfId="0"/>
    <cellStyle name="_Pocket_TV_Other_PC Products 4" xfId="0"/>
    <cellStyle name="_Pocket_TV_Other_PC Products 4 2" xfId="0"/>
    <cellStyle name="_Pocket_TV_Other_PC Products_By Region" xfId="0"/>
    <cellStyle name="_Pocket_TV_Other_PC Products_CORP SG&amp;A" xfId="0"/>
    <cellStyle name="_Pocket_TV_Other_PC Products_LCD" xfId="0"/>
    <cellStyle name="_Pocket_TV_Other_PC Products_PJ" xfId="0"/>
    <cellStyle name="_Pocket_TV_Other_VSA 111014" xfId="0"/>
    <cellStyle name="_Pocket_TV_Other_VSA 111014 2" xfId="0"/>
    <cellStyle name="_Pocket_TV_Other_VSA 111014 3" xfId="0"/>
    <cellStyle name="_Pocket_TV_Other_VSA 111014 4" xfId="0"/>
    <cellStyle name="_Pocket_TV_Other_VSA 111014 4 2" xfId="0"/>
    <cellStyle name="_Pocket_TV_Other_VSA 111014_By Region" xfId="0"/>
    <cellStyle name="_Pocket_TV_Other_VSA 111014_CORP SG&amp;A" xfId="0"/>
    <cellStyle name="_Pocket_TV_Other_VSA 111014_LCD" xfId="0"/>
    <cellStyle name="_Pocket_TV_Other_VSA 111014_PJ" xfId="0"/>
    <cellStyle name="_Pocket_TV_Other_VSA Roll-Up (LW)" xfId="0"/>
    <cellStyle name="_Pocket_TV_Other_VSA Roll-Up (LW) 2" xfId="0"/>
    <cellStyle name="_Pocket_TV_Other_VSA Roll-Up (LW) 3" xfId="0"/>
    <cellStyle name="_Pocket_TV_Other_VSA Roll-Up (LW) 4" xfId="0"/>
    <cellStyle name="_Pocket_TV_Other_VSA Roll-Up (LW) 4 2" xfId="0"/>
    <cellStyle name="_Pocket_TV_Other_VSA Roll-Up (LW)_By Region" xfId="0"/>
    <cellStyle name="_Pocket_TV_Other_VSA Roll-Up (LW)_CORP SG&amp;A" xfId="0"/>
    <cellStyle name="_Pocket_TV_Other_VSA Roll-Up (LW)_LCD" xfId="0"/>
    <cellStyle name="_Pocket_TV_Other_VSA Roll-Up (LW)_PJ" xfId="0"/>
    <cellStyle name="_Pocket_TV_PC" xfId="0"/>
    <cellStyle name="_Pocket_TV_PC 2" xfId="0"/>
    <cellStyle name="_Pocket_TV_PC 3" xfId="0"/>
    <cellStyle name="_Pocket_TV_PC 4" xfId="0"/>
    <cellStyle name="_Pocket_TV_PC Products" xfId="0"/>
    <cellStyle name="_Pocket_TV_PC Products 2" xfId="0"/>
    <cellStyle name="_Pocket_TV_PC Products 3" xfId="0"/>
    <cellStyle name="_Pocket_TV_PC Products 4" xfId="0"/>
    <cellStyle name="_Pocket_TV_PC Products 4 2" xfId="0"/>
    <cellStyle name="_Pocket_TV_PC Products_By Region" xfId="0"/>
    <cellStyle name="_Pocket_TV_PC Products_CORP SG&amp;A" xfId="0"/>
    <cellStyle name="_Pocket_TV_PC Products_LCD" xfId="0"/>
    <cellStyle name="_Pocket_TV_PC Products_PJ" xfId="0"/>
    <cellStyle name="_Pocket_TV_PC_By Region" xfId="0"/>
    <cellStyle name="_Pocket_TV_PC_CORP SG&amp;A" xfId="0"/>
    <cellStyle name="_Pocket_TV_PC_DT" xfId="0"/>
    <cellStyle name="_Pocket_TV_PC_DT 2" xfId="0"/>
    <cellStyle name="_Pocket_TV_PC_DT 3" xfId="0"/>
    <cellStyle name="_Pocket_TV_PC_DT_By Region" xfId="0"/>
    <cellStyle name="_Pocket_TV_PC_GPS OTHER" xfId="0"/>
    <cellStyle name="_Pocket_TV_PC_GPS OTHER 2" xfId="0"/>
    <cellStyle name="_Pocket_TV_PC_GPS OTHER 3" xfId="0"/>
    <cellStyle name="_Pocket_TV_PC_GPS OTHER 4" xfId="0"/>
    <cellStyle name="_Pocket_TV_PC_GPS OTHER 4 2" xfId="0"/>
    <cellStyle name="_Pocket_TV_PC_GPS OTHER_By Region" xfId="0"/>
    <cellStyle name="_Pocket_TV_PC_GPS OTHER_CORP SG&amp;A" xfId="0"/>
    <cellStyle name="_Pocket_TV_PC_GPS OTHER_LCD" xfId="0"/>
    <cellStyle name="_Pocket_TV_PC_GPS OTHER_PJ" xfId="0"/>
    <cellStyle name="_Pocket_TV_PC_PC Products" xfId="0"/>
    <cellStyle name="_Pocket_TV_PC_PC Products 2" xfId="0"/>
    <cellStyle name="_Pocket_TV_PC_PC Products 3" xfId="0"/>
    <cellStyle name="_Pocket_TV_PC_PC Products 4" xfId="0"/>
    <cellStyle name="_Pocket_TV_PC_PC Products 4 2" xfId="0"/>
    <cellStyle name="_Pocket_TV_PC_PC Products_By Region" xfId="0"/>
    <cellStyle name="_Pocket_TV_PC_PC Products_CORP SG&amp;A" xfId="0"/>
    <cellStyle name="_Pocket_TV_PC_PC Products_LCD" xfId="0"/>
    <cellStyle name="_Pocket_TV_PC_PC Products_PJ" xfId="0"/>
    <cellStyle name="_Pocket_TV_PC_TV" xfId="0"/>
    <cellStyle name="_Pocket_TV_PC_TV 2" xfId="0"/>
    <cellStyle name="_Pocket_TV_PC_TV 3" xfId="0"/>
    <cellStyle name="_Pocket_TV_PC_TV 4" xfId="0"/>
    <cellStyle name="_Pocket_TV_PC_TV_By Region" xfId="0"/>
    <cellStyle name="_Pocket_TV_PC_TV_CORP SG&amp;A" xfId="0"/>
    <cellStyle name="_Pocket_TV_PC_TV_GPS OTHER" xfId="0"/>
    <cellStyle name="_Pocket_TV_PC_TV_GPS OTHER 2" xfId="0"/>
    <cellStyle name="_Pocket_TV_PC_TV_GPS OTHER 3" xfId="0"/>
    <cellStyle name="_Pocket_TV_PC_TV_GPS OTHER 4" xfId="0"/>
    <cellStyle name="_Pocket_TV_PC_TV_GPS OTHER 4 2" xfId="0"/>
    <cellStyle name="_Pocket_TV_PC_TV_GPS OTHER_By Region" xfId="0"/>
    <cellStyle name="_Pocket_TV_PC_TV_GPS OTHER_CORP SG&amp;A" xfId="0"/>
    <cellStyle name="_Pocket_TV_PC_TV_GPS OTHER_LCD" xfId="0"/>
    <cellStyle name="_Pocket_TV_PC_TV_GPS OTHER_PJ" xfId="0"/>
    <cellStyle name="_Pocket_TV_PC_TV_PC Products" xfId="0"/>
    <cellStyle name="_Pocket_TV_PC_TV_PC Products 2" xfId="0"/>
    <cellStyle name="_Pocket_TV_PC_TV_PC Products 3" xfId="0"/>
    <cellStyle name="_Pocket_TV_PC_TV_PC Products 4" xfId="0"/>
    <cellStyle name="_Pocket_TV_PC_TV_PC Products 4 2" xfId="0"/>
    <cellStyle name="_Pocket_TV_PC_TV_PC Products_By Region" xfId="0"/>
    <cellStyle name="_Pocket_TV_PC_TV_PC Products_CORP SG&amp;A" xfId="0"/>
    <cellStyle name="_Pocket_TV_PC_TV_PC Products_LCD" xfId="0"/>
    <cellStyle name="_Pocket_TV_PC_TV_PC Products_PJ" xfId="0"/>
    <cellStyle name="_Pocket_TV_PC_TV_VSA 111014" xfId="0"/>
    <cellStyle name="_Pocket_TV_PC_TV_VSA 111014 2" xfId="0"/>
    <cellStyle name="_Pocket_TV_PC_TV_VSA 111014 3" xfId="0"/>
    <cellStyle name="_Pocket_TV_PC_TV_VSA 111014 4" xfId="0"/>
    <cellStyle name="_Pocket_TV_PC_TV_VSA 111014 4 2" xfId="0"/>
    <cellStyle name="_Pocket_TV_PC_TV_VSA 111014_By Region" xfId="0"/>
    <cellStyle name="_Pocket_TV_PC_TV_VSA 111014_CORP SG&amp;A" xfId="0"/>
    <cellStyle name="_Pocket_TV_PC_TV_VSA 111014_LCD" xfId="0"/>
    <cellStyle name="_Pocket_TV_PC_TV_VSA 111014_PJ" xfId="0"/>
    <cellStyle name="_Pocket_TV_PC_TV_VSA Roll-Up (LW)" xfId="0"/>
    <cellStyle name="_Pocket_TV_PC_TV_VSA Roll-Up (LW) 2" xfId="0"/>
    <cellStyle name="_Pocket_TV_PC_TV_VSA Roll-Up (LW) 3" xfId="0"/>
    <cellStyle name="_Pocket_TV_PC_TV_VSA Roll-Up (LW) 4" xfId="0"/>
    <cellStyle name="_Pocket_TV_PC_TV_VSA Roll-Up (LW) 4 2" xfId="0"/>
    <cellStyle name="_Pocket_TV_PC_TV_VSA Roll-Up (LW)_By Region" xfId="0"/>
    <cellStyle name="_Pocket_TV_PC_TV_VSA Roll-Up (LW)_CORP SG&amp;A" xfId="0"/>
    <cellStyle name="_Pocket_TV_PC_TV_VSA Roll-Up (LW)_LCD" xfId="0"/>
    <cellStyle name="_Pocket_TV_PC_TV_VSA Roll-Up (LW)_PJ" xfId="0"/>
    <cellStyle name="_Pocket_TV_PC_VSA 111014" xfId="0"/>
    <cellStyle name="_Pocket_TV_PC_VSA 111014 2" xfId="0"/>
    <cellStyle name="_Pocket_TV_PC_VSA 111014 3" xfId="0"/>
    <cellStyle name="_Pocket_TV_PC_VSA 111014 4" xfId="0"/>
    <cellStyle name="_Pocket_TV_PC_VSA 111014 4 2" xfId="0"/>
    <cellStyle name="_Pocket_TV_PC_VSA 111014_By Region" xfId="0"/>
    <cellStyle name="_Pocket_TV_PC_VSA 111014_CORP SG&amp;A" xfId="0"/>
    <cellStyle name="_Pocket_TV_PC_VSA 111014_LCD" xfId="0"/>
    <cellStyle name="_Pocket_TV_PC_VSA 111014_PJ" xfId="0"/>
    <cellStyle name="_Pocket_TV_PC_VSA Roll-Up (LW)" xfId="0"/>
    <cellStyle name="_Pocket_TV_PC_VSA Roll-Up (LW) 2" xfId="0"/>
    <cellStyle name="_Pocket_TV_PC_VSA Roll-Up (LW) 3" xfId="0"/>
    <cellStyle name="_Pocket_TV_PC_VSA Roll-Up (LW) 4" xfId="0"/>
    <cellStyle name="_Pocket_TV_PC_VSA Roll-Up (LW) 4 2" xfId="0"/>
    <cellStyle name="_Pocket_TV_PC_VSA Roll-Up (LW)_By Region" xfId="0"/>
    <cellStyle name="_Pocket_TV_PC_VSA Roll-Up (LW)_CORP SG&amp;A" xfId="0"/>
    <cellStyle name="_Pocket_TV_PC_VSA Roll-Up (LW)_LCD" xfId="0"/>
    <cellStyle name="_Pocket_TV_PC_VSA Roll-Up (LW)_PJ" xfId="0"/>
    <cellStyle name="_Pocket_TV_PJ" xfId="0"/>
    <cellStyle name="_Pocket_TV_PJ 2" xfId="0"/>
    <cellStyle name="_Pocket_TV_PJ 3" xfId="0"/>
    <cellStyle name="_Pocket_TV_PJ 4" xfId="0"/>
    <cellStyle name="_Pocket_TV_PJ_By Region" xfId="0"/>
    <cellStyle name="_Pocket_TV_PJ_CORP SG&amp;A" xfId="0"/>
    <cellStyle name="_Pocket_TV_PJ_GPS OTHER" xfId="0"/>
    <cellStyle name="_Pocket_TV_PJ_GPS OTHER 2" xfId="0"/>
    <cellStyle name="_Pocket_TV_PJ_GPS OTHER 3" xfId="0"/>
    <cellStyle name="_Pocket_TV_PJ_GPS OTHER 4" xfId="0"/>
    <cellStyle name="_Pocket_TV_PJ_GPS OTHER 4 2" xfId="0"/>
    <cellStyle name="_Pocket_TV_PJ_GPS OTHER_By Region" xfId="0"/>
    <cellStyle name="_Pocket_TV_PJ_GPS OTHER_CORP SG&amp;A" xfId="0"/>
    <cellStyle name="_Pocket_TV_PJ_GPS OTHER_LCD" xfId="0"/>
    <cellStyle name="_Pocket_TV_PJ_GPS OTHER_PJ" xfId="0"/>
    <cellStyle name="_Pocket_TV_PJ_PC Products" xfId="0"/>
    <cellStyle name="_Pocket_TV_PJ_PC Products 2" xfId="0"/>
    <cellStyle name="_Pocket_TV_PJ_PC Products 3" xfId="0"/>
    <cellStyle name="_Pocket_TV_PJ_PC Products 4" xfId="0"/>
    <cellStyle name="_Pocket_TV_PJ_PC Products 4 2" xfId="0"/>
    <cellStyle name="_Pocket_TV_PJ_PC Products_By Region" xfId="0"/>
    <cellStyle name="_Pocket_TV_PJ_PC Products_CORP SG&amp;A" xfId="0"/>
    <cellStyle name="_Pocket_TV_PJ_PC Products_LCD" xfId="0"/>
    <cellStyle name="_Pocket_TV_PJ_PC Products_PJ" xfId="0"/>
    <cellStyle name="_Pocket_TV_PJ_VSA 111014" xfId="0"/>
    <cellStyle name="_Pocket_TV_PJ_VSA 111014 2" xfId="0"/>
    <cellStyle name="_Pocket_TV_PJ_VSA 111014 3" xfId="0"/>
    <cellStyle name="_Pocket_TV_PJ_VSA 111014 4" xfId="0"/>
    <cellStyle name="_Pocket_TV_PJ_VSA 111014 4 2" xfId="0"/>
    <cellStyle name="_Pocket_TV_PJ_VSA 111014_By Region" xfId="0"/>
    <cellStyle name="_Pocket_TV_PJ_VSA 111014_CORP SG&amp;A" xfId="0"/>
    <cellStyle name="_Pocket_TV_PJ_VSA 111014_LCD" xfId="0"/>
    <cellStyle name="_Pocket_TV_PJ_VSA 111014_PJ" xfId="0"/>
    <cellStyle name="_Pocket_TV_PJ_VSA Roll-Up (LW)" xfId="0"/>
    <cellStyle name="_Pocket_TV_PJ_VSA Roll-Up (LW) 2" xfId="0"/>
    <cellStyle name="_Pocket_TV_PJ_VSA Roll-Up (LW) 3" xfId="0"/>
    <cellStyle name="_Pocket_TV_PJ_VSA Roll-Up (LW) 4" xfId="0"/>
    <cellStyle name="_Pocket_TV_PJ_VSA Roll-Up (LW) 4 2" xfId="0"/>
    <cellStyle name="_Pocket_TV_PJ_VSA Roll-Up (LW)_By Region" xfId="0"/>
    <cellStyle name="_Pocket_TV_PJ_VSA Roll-Up (LW)_CORP SG&amp;A" xfId="0"/>
    <cellStyle name="_Pocket_TV_PJ_VSA Roll-Up (LW)_LCD" xfId="0"/>
    <cellStyle name="_Pocket_TV_PJ_VSA Roll-Up (LW)_PJ" xfId="0"/>
    <cellStyle name="_Pocket_TV_PMP(VPD)" xfId="0"/>
    <cellStyle name="_Pocket_TV_PMP(VPD) 2" xfId="0"/>
    <cellStyle name="_Pocket_TV_PMP(VPD) 3" xfId="0"/>
    <cellStyle name="_Pocket_TV_PMP(VPD) 4" xfId="0"/>
    <cellStyle name="_Pocket_TV_PMP(VPD)_By Region" xfId="0"/>
    <cellStyle name="_Pocket_TV_PMP(VPD)_CORP SG&amp;A" xfId="0"/>
    <cellStyle name="_Pocket_TV_PMP(VPD)_GPS OTHER" xfId="0"/>
    <cellStyle name="_Pocket_TV_PMP(VPD)_GPS OTHER 2" xfId="0"/>
    <cellStyle name="_Pocket_TV_PMP(VPD)_GPS OTHER 3" xfId="0"/>
    <cellStyle name="_Pocket_TV_PMP(VPD)_GPS OTHER 4" xfId="0"/>
    <cellStyle name="_Pocket_TV_PMP(VPD)_GPS OTHER 4 2" xfId="0"/>
    <cellStyle name="_Pocket_TV_PMP(VPD)_GPS OTHER_By Region" xfId="0"/>
    <cellStyle name="_Pocket_TV_PMP(VPD)_GPS OTHER_CORP SG&amp;A" xfId="0"/>
    <cellStyle name="_Pocket_TV_PMP(VPD)_GPS OTHER_LCD" xfId="0"/>
    <cellStyle name="_Pocket_TV_PMP(VPD)_GPS OTHER_PJ" xfId="0"/>
    <cellStyle name="_Pocket_TV_PMP(VPD)_PC Products" xfId="0"/>
    <cellStyle name="_Pocket_TV_PMP(VPD)_PC Products 2" xfId="0"/>
    <cellStyle name="_Pocket_TV_PMP(VPD)_PC Products 3" xfId="0"/>
    <cellStyle name="_Pocket_TV_PMP(VPD)_PC Products 4" xfId="0"/>
    <cellStyle name="_Pocket_TV_PMP(VPD)_PC Products 4 2" xfId="0"/>
    <cellStyle name="_Pocket_TV_PMP(VPD)_PC Products_By Region" xfId="0"/>
    <cellStyle name="_Pocket_TV_PMP(VPD)_PC Products_CORP SG&amp;A" xfId="0"/>
    <cellStyle name="_Pocket_TV_PMP(VPD)_PC Products_LCD" xfId="0"/>
    <cellStyle name="_Pocket_TV_PMP(VPD)_PC Products_PJ" xfId="0"/>
    <cellStyle name="_Pocket_TV_PMP(VPD)_VSA 111014" xfId="0"/>
    <cellStyle name="_Pocket_TV_PMP(VPD)_VSA 111014 2" xfId="0"/>
    <cellStyle name="_Pocket_TV_PMP(VPD)_VSA 111014 3" xfId="0"/>
    <cellStyle name="_Pocket_TV_PMP(VPD)_VSA 111014 4" xfId="0"/>
    <cellStyle name="_Pocket_TV_PMP(VPD)_VSA 111014 4 2" xfId="0"/>
    <cellStyle name="_Pocket_TV_PMP(VPD)_VSA 111014_By Region" xfId="0"/>
    <cellStyle name="_Pocket_TV_PMP(VPD)_VSA 111014_CORP SG&amp;A" xfId="0"/>
    <cellStyle name="_Pocket_TV_PMP(VPD)_VSA 111014_LCD" xfId="0"/>
    <cellStyle name="_Pocket_TV_PMP(VPD)_VSA 111014_PJ" xfId="0"/>
    <cellStyle name="_Pocket_TV_PMP(VPD)_VSA Roll-Up (LW)" xfId="0"/>
    <cellStyle name="_Pocket_TV_PMP(VPD)_VSA Roll-Up (LW) 2" xfId="0"/>
    <cellStyle name="_Pocket_TV_PMP(VPD)_VSA Roll-Up (LW) 3" xfId="0"/>
    <cellStyle name="_Pocket_TV_PMP(VPD)_VSA Roll-Up (LW) 4" xfId="0"/>
    <cellStyle name="_Pocket_TV_PMP(VPD)_VSA Roll-Up (LW) 4 2" xfId="0"/>
    <cellStyle name="_Pocket_TV_PMP(VPD)_VSA Roll-Up (LW)_By Region" xfId="0"/>
    <cellStyle name="_Pocket_TV_PMP(VPD)_VSA Roll-Up (LW)_CORP SG&amp;A" xfId="0"/>
    <cellStyle name="_Pocket_TV_PMP(VPD)_VSA Roll-Up (LW)_LCD" xfId="0"/>
    <cellStyle name="_Pocket_TV_PMP(VPD)_VSA Roll-Up (LW)_PJ" xfId="0"/>
    <cellStyle name="_Pocket_TV_Pocket TV" xfId="0"/>
    <cellStyle name="_Pocket_TV_Pocket TV 2" xfId="0"/>
    <cellStyle name="_Pocket_TV_Pocket TV 3" xfId="0"/>
    <cellStyle name="_Pocket_TV_Pocket TV 4" xfId="0"/>
    <cellStyle name="_Pocket_TV_Pocket TV_By Region" xfId="0"/>
    <cellStyle name="_Pocket_TV_Pocket TV_CORP SG&amp;A" xfId="0"/>
    <cellStyle name="_Pocket_TV_Pocket TV_GPS OTHER" xfId="0"/>
    <cellStyle name="_Pocket_TV_Pocket TV_GPS OTHER 2" xfId="0"/>
    <cellStyle name="_Pocket_TV_Pocket TV_GPS OTHER 3" xfId="0"/>
    <cellStyle name="_Pocket_TV_Pocket TV_GPS OTHER 4" xfId="0"/>
    <cellStyle name="_Pocket_TV_Pocket TV_GPS OTHER 4 2" xfId="0"/>
    <cellStyle name="_Pocket_TV_Pocket TV_GPS OTHER_By Region" xfId="0"/>
    <cellStyle name="_Pocket_TV_Pocket TV_GPS OTHER_CORP SG&amp;A" xfId="0"/>
    <cellStyle name="_Pocket_TV_Pocket TV_GPS OTHER_LCD" xfId="0"/>
    <cellStyle name="_Pocket_TV_Pocket TV_GPS OTHER_PJ" xfId="0"/>
    <cellStyle name="_Pocket_TV_Pocket TV_PC Products" xfId="0"/>
    <cellStyle name="_Pocket_TV_Pocket TV_PC Products 2" xfId="0"/>
    <cellStyle name="_Pocket_TV_Pocket TV_PC Products 3" xfId="0"/>
    <cellStyle name="_Pocket_TV_Pocket TV_PC Products 4" xfId="0"/>
    <cellStyle name="_Pocket_TV_Pocket TV_PC Products 4 2" xfId="0"/>
    <cellStyle name="_Pocket_TV_Pocket TV_PC Products_By Region" xfId="0"/>
    <cellStyle name="_Pocket_TV_Pocket TV_PC Products_CORP SG&amp;A" xfId="0"/>
    <cellStyle name="_Pocket_TV_Pocket TV_PC Products_LCD" xfId="0"/>
    <cellStyle name="_Pocket_TV_Pocket TV_PC Products_PJ" xfId="0"/>
    <cellStyle name="_Pocket_TV_Pocket TV_VSA 111014" xfId="0"/>
    <cellStyle name="_Pocket_TV_Pocket TV_VSA 111014 2" xfId="0"/>
    <cellStyle name="_Pocket_TV_Pocket TV_VSA 111014 3" xfId="0"/>
    <cellStyle name="_Pocket_TV_Pocket TV_VSA 111014 4" xfId="0"/>
    <cellStyle name="_Pocket_TV_Pocket TV_VSA 111014 4 2" xfId="0"/>
    <cellStyle name="_Pocket_TV_Pocket TV_VSA 111014_By Region" xfId="0"/>
    <cellStyle name="_Pocket_TV_Pocket TV_VSA 111014_CORP SG&amp;A" xfId="0"/>
    <cellStyle name="_Pocket_TV_Pocket TV_VSA 111014_LCD" xfId="0"/>
    <cellStyle name="_Pocket_TV_Pocket TV_VSA 111014_PJ" xfId="0"/>
    <cellStyle name="_Pocket_TV_Pocket TV_VSA Roll-Up (LW)" xfId="0"/>
    <cellStyle name="_Pocket_TV_Pocket TV_VSA Roll-Up (LW) 2" xfId="0"/>
    <cellStyle name="_Pocket_TV_Pocket TV_VSA Roll-Up (LW) 3" xfId="0"/>
    <cellStyle name="_Pocket_TV_Pocket TV_VSA Roll-Up (LW) 4" xfId="0"/>
    <cellStyle name="_Pocket_TV_Pocket TV_VSA Roll-Up (LW) 4 2" xfId="0"/>
    <cellStyle name="_Pocket_TV_Pocket TV_VSA Roll-Up (LW)_By Region" xfId="0"/>
    <cellStyle name="_Pocket_TV_Pocket TV_VSA Roll-Up (LW)_CORP SG&amp;A" xfId="0"/>
    <cellStyle name="_Pocket_TV_Pocket TV_VSA Roll-Up (LW)_LCD" xfId="0"/>
    <cellStyle name="_Pocket_TV_Pocket TV_VSA Roll-Up (LW)_PJ" xfId="0"/>
    <cellStyle name="_Pocket_TV_Pocket_TV" xfId="0"/>
    <cellStyle name="_Pocket_TV_Pocket_TV 2" xfId="0"/>
    <cellStyle name="_Pocket_TV_Pocket_TV 3" xfId="0"/>
    <cellStyle name="_Pocket_TV_Pocket_TV 4" xfId="0"/>
    <cellStyle name="_Pocket_TV_Pocket_TV_By Region" xfId="0"/>
    <cellStyle name="_Pocket_TV_Pocket_TV_CORP SG&amp;A" xfId="0"/>
    <cellStyle name="_Pocket_TV_Pocket_TV_GPS OTHER" xfId="0"/>
    <cellStyle name="_Pocket_TV_Pocket_TV_GPS OTHER 2" xfId="0"/>
    <cellStyle name="_Pocket_TV_Pocket_TV_GPS OTHER 3" xfId="0"/>
    <cellStyle name="_Pocket_TV_Pocket_TV_GPS OTHER 4" xfId="0"/>
    <cellStyle name="_Pocket_TV_Pocket_TV_GPS OTHER 4 2" xfId="0"/>
    <cellStyle name="_Pocket_TV_Pocket_TV_GPS OTHER_By Region" xfId="0"/>
    <cellStyle name="_Pocket_TV_Pocket_TV_GPS OTHER_CORP SG&amp;A" xfId="0"/>
    <cellStyle name="_Pocket_TV_Pocket_TV_GPS OTHER_LCD" xfId="0"/>
    <cellStyle name="_Pocket_TV_Pocket_TV_GPS OTHER_PJ" xfId="0"/>
    <cellStyle name="_Pocket_TV_Pocket_TV_PC Products" xfId="0"/>
    <cellStyle name="_Pocket_TV_Pocket_TV_PC Products 2" xfId="0"/>
    <cellStyle name="_Pocket_TV_Pocket_TV_PC Products 3" xfId="0"/>
    <cellStyle name="_Pocket_TV_Pocket_TV_PC Products 4" xfId="0"/>
    <cellStyle name="_Pocket_TV_Pocket_TV_PC Products 4 2" xfId="0"/>
    <cellStyle name="_Pocket_TV_Pocket_TV_PC Products_By Region" xfId="0"/>
    <cellStyle name="_Pocket_TV_Pocket_TV_PC Products_CORP SG&amp;A" xfId="0"/>
    <cellStyle name="_Pocket_TV_Pocket_TV_PC Products_LCD" xfId="0"/>
    <cellStyle name="_Pocket_TV_Pocket_TV_PC Products_PJ" xfId="0"/>
    <cellStyle name="_Pocket_TV_Pocket_TV_VSA 111014" xfId="0"/>
    <cellStyle name="_Pocket_TV_Pocket_TV_VSA 111014 2" xfId="0"/>
    <cellStyle name="_Pocket_TV_Pocket_TV_VSA 111014 3" xfId="0"/>
    <cellStyle name="_Pocket_TV_Pocket_TV_VSA 111014 4" xfId="0"/>
    <cellStyle name="_Pocket_TV_Pocket_TV_VSA 111014 4 2" xfId="0"/>
    <cellStyle name="_Pocket_TV_Pocket_TV_VSA 111014_By Region" xfId="0"/>
    <cellStyle name="_Pocket_TV_Pocket_TV_VSA 111014_CORP SG&amp;A" xfId="0"/>
    <cellStyle name="_Pocket_TV_Pocket_TV_VSA 111014_LCD" xfId="0"/>
    <cellStyle name="_Pocket_TV_Pocket_TV_VSA 111014_PJ" xfId="0"/>
    <cellStyle name="_Pocket_TV_Pocket_TV_VSA Roll-Up (LW)" xfId="0"/>
    <cellStyle name="_Pocket_TV_Pocket_TV_VSA Roll-Up (LW) 2" xfId="0"/>
    <cellStyle name="_Pocket_TV_Pocket_TV_VSA Roll-Up (LW) 3" xfId="0"/>
    <cellStyle name="_Pocket_TV_Pocket_TV_VSA Roll-Up (LW) 4" xfId="0"/>
    <cellStyle name="_Pocket_TV_Pocket_TV_VSA Roll-Up (LW) 4 2" xfId="0"/>
    <cellStyle name="_Pocket_TV_Pocket_TV_VSA Roll-Up (LW)_By Region" xfId="0"/>
    <cellStyle name="_Pocket_TV_Pocket_TV_VSA Roll-Up (LW)_CORP SG&amp;A" xfId="0"/>
    <cellStyle name="_Pocket_TV_Pocket_TV_VSA Roll-Up (LW)_LCD" xfId="0"/>
    <cellStyle name="_Pocket_TV_Pocket_TV_VSA Roll-Up (LW)_PJ" xfId="0"/>
    <cellStyle name="_Pocket_TV_TV" xfId="0"/>
    <cellStyle name="_Pocket_TV_TV 2" xfId="0"/>
    <cellStyle name="_Pocket_TV_TV 3" xfId="0"/>
    <cellStyle name="_Pocket_TV_TV 4" xfId="0"/>
    <cellStyle name="_Pocket_TV_TV_By Region" xfId="0"/>
    <cellStyle name="_Pocket_TV_TV_CORP SG&amp;A" xfId="0"/>
    <cellStyle name="_Pocket_TV_TV_GPS OTHER" xfId="0"/>
    <cellStyle name="_Pocket_TV_TV_GPS OTHER 2" xfId="0"/>
    <cellStyle name="_Pocket_TV_TV_GPS OTHER 3" xfId="0"/>
    <cellStyle name="_Pocket_TV_TV_GPS OTHER 4" xfId="0"/>
    <cellStyle name="_Pocket_TV_TV_GPS OTHER 4 2" xfId="0"/>
    <cellStyle name="_Pocket_TV_TV_GPS OTHER_By Region" xfId="0"/>
    <cellStyle name="_Pocket_TV_TV_GPS OTHER_CORP SG&amp;A" xfId="0"/>
    <cellStyle name="_Pocket_TV_TV_GPS OTHER_LCD" xfId="0"/>
    <cellStyle name="_Pocket_TV_TV_GPS OTHER_PJ" xfId="0"/>
    <cellStyle name="_Pocket_TV_TV_PC Products" xfId="0"/>
    <cellStyle name="_Pocket_TV_TV_PC Products 2" xfId="0"/>
    <cellStyle name="_Pocket_TV_TV_PC Products 3" xfId="0"/>
    <cellStyle name="_Pocket_TV_TV_PC Products 4" xfId="0"/>
    <cellStyle name="_Pocket_TV_TV_PC Products 4 2" xfId="0"/>
    <cellStyle name="_Pocket_TV_TV_PC Products_By Region" xfId="0"/>
    <cellStyle name="_Pocket_TV_TV_PC Products_CORP SG&amp;A" xfId="0"/>
    <cellStyle name="_Pocket_TV_TV_PC Products_LCD" xfId="0"/>
    <cellStyle name="_Pocket_TV_TV_PC Products_PJ" xfId="0"/>
    <cellStyle name="_Pocket_TV_TV_VSA 111014" xfId="0"/>
    <cellStyle name="_Pocket_TV_TV_VSA 111014 2" xfId="0"/>
    <cellStyle name="_Pocket_TV_TV_VSA 111014 3" xfId="0"/>
    <cellStyle name="_Pocket_TV_TV_VSA 111014 4" xfId="0"/>
    <cellStyle name="_Pocket_TV_TV_VSA 111014 4 2" xfId="0"/>
    <cellStyle name="_Pocket_TV_TV_VSA 111014_By Region" xfId="0"/>
    <cellStyle name="_Pocket_TV_TV_VSA 111014_CORP SG&amp;A" xfId="0"/>
    <cellStyle name="_Pocket_TV_TV_VSA 111014_LCD" xfId="0"/>
    <cellStyle name="_Pocket_TV_TV_VSA 111014_PJ" xfId="0"/>
    <cellStyle name="_Pocket_TV_TV_VSA Roll-Up (LW)" xfId="0"/>
    <cellStyle name="_Pocket_TV_TV_VSA Roll-Up (LW) 2" xfId="0"/>
    <cellStyle name="_Pocket_TV_TV_VSA Roll-Up (LW) 3" xfId="0"/>
    <cellStyle name="_Pocket_TV_TV_VSA Roll-Up (LW) 4" xfId="0"/>
    <cellStyle name="_Pocket_TV_TV_VSA Roll-Up (LW) 4 2" xfId="0"/>
    <cellStyle name="_Pocket_TV_TV_VSA Roll-Up (LW)_By Region" xfId="0"/>
    <cellStyle name="_Pocket_TV_TV_VSA Roll-Up (LW)_CORP SG&amp;A" xfId="0"/>
    <cellStyle name="_Pocket_TV_TV_VSA Roll-Up (LW)_LCD" xfId="0"/>
    <cellStyle name="_Pocket_TV_TV_VSA Roll-Up (LW)_PJ" xfId="0"/>
    <cellStyle name="_Pocket_TV_VD" xfId="0"/>
    <cellStyle name="_Pocket_TV_VD 2" xfId="0"/>
    <cellStyle name="_Pocket_TV_VD 3" xfId="0"/>
    <cellStyle name="_Pocket_TV_VD 4" xfId="0"/>
    <cellStyle name="_Pocket_TV_VD_By Region" xfId="0"/>
    <cellStyle name="_Pocket_TV_VD_CORP SG&amp;A" xfId="0"/>
    <cellStyle name="_Pocket_TV_VD_GPS OTHER" xfId="0"/>
    <cellStyle name="_Pocket_TV_VD_GPS OTHER 2" xfId="0"/>
    <cellStyle name="_Pocket_TV_VD_GPS OTHER 3" xfId="0"/>
    <cellStyle name="_Pocket_TV_VD_GPS OTHER 4" xfId="0"/>
    <cellStyle name="_Pocket_TV_VD_GPS OTHER 4 2" xfId="0"/>
    <cellStyle name="_Pocket_TV_VD_GPS OTHER_By Region" xfId="0"/>
    <cellStyle name="_Pocket_TV_VD_GPS OTHER_CORP SG&amp;A" xfId="0"/>
    <cellStyle name="_Pocket_TV_VD_GPS OTHER_LCD" xfId="0"/>
    <cellStyle name="_Pocket_TV_VD_GPS OTHER_PJ" xfId="0"/>
    <cellStyle name="_Pocket_TV_VD_PC Products" xfId="0"/>
    <cellStyle name="_Pocket_TV_VD_PC Products 2" xfId="0"/>
    <cellStyle name="_Pocket_TV_VD_PC Products 3" xfId="0"/>
    <cellStyle name="_Pocket_TV_VD_PC Products 4" xfId="0"/>
    <cellStyle name="_Pocket_TV_VD_PC Products 4 2" xfId="0"/>
    <cellStyle name="_Pocket_TV_VD_PC Products_By Region" xfId="0"/>
    <cellStyle name="_Pocket_TV_VD_PC Products_CORP SG&amp;A" xfId="0"/>
    <cellStyle name="_Pocket_TV_VD_PC Products_LCD" xfId="0"/>
    <cellStyle name="_Pocket_TV_VD_PC Products_PJ" xfId="0"/>
    <cellStyle name="_Pocket_TV_VD_VSA 111014" xfId="0"/>
    <cellStyle name="_Pocket_TV_VD_VSA 111014 2" xfId="0"/>
    <cellStyle name="_Pocket_TV_VD_VSA 111014 3" xfId="0"/>
    <cellStyle name="_Pocket_TV_VD_VSA 111014 4" xfId="0"/>
    <cellStyle name="_Pocket_TV_VD_VSA 111014 4 2" xfId="0"/>
    <cellStyle name="_Pocket_TV_VD_VSA 111014_By Region" xfId="0"/>
    <cellStyle name="_Pocket_TV_VD_VSA 111014_CORP SG&amp;A" xfId="0"/>
    <cellStyle name="_Pocket_TV_VD_VSA 111014_LCD" xfId="0"/>
    <cellStyle name="_Pocket_TV_VD_VSA 111014_PJ" xfId="0"/>
    <cellStyle name="_Pocket_TV_VD_VSA Roll-Up (LW)" xfId="0"/>
    <cellStyle name="_Pocket_TV_VD_VSA Roll-Up (LW) 2" xfId="0"/>
    <cellStyle name="_Pocket_TV_VD_VSA Roll-Up (LW) 3" xfId="0"/>
    <cellStyle name="_Pocket_TV_VD_VSA Roll-Up (LW) 4" xfId="0"/>
    <cellStyle name="_Pocket_TV_VD_VSA Roll-Up (LW) 4 2" xfId="0"/>
    <cellStyle name="_Pocket_TV_VD_VSA Roll-Up (LW)_By Region" xfId="0"/>
    <cellStyle name="_Pocket_TV_VD_VSA Roll-Up (LW)_CORP SG&amp;A" xfId="0"/>
    <cellStyle name="_Pocket_TV_VD_VSA Roll-Up (LW)_LCD" xfId="0"/>
    <cellStyle name="_Pocket_TV_VD_VSA Roll-Up (LW)_PJ" xfId="0"/>
    <cellStyle name="_Pocket_TV_VSA 111014" xfId="0"/>
    <cellStyle name="_Pocket_TV_VSA 111014 2" xfId="0"/>
    <cellStyle name="_Pocket_TV_VSA 111014 3" xfId="0"/>
    <cellStyle name="_Pocket_TV_VSA 111014 4" xfId="0"/>
    <cellStyle name="_Pocket_TV_VSA 111014 4 2" xfId="0"/>
    <cellStyle name="_Pocket_TV_VSA 111014_By Region" xfId="0"/>
    <cellStyle name="_Pocket_TV_VSA 111014_CORP SG&amp;A" xfId="0"/>
    <cellStyle name="_Pocket_TV_VSA 111014_LCD" xfId="0"/>
    <cellStyle name="_Pocket_TV_VSA 111014_PJ" xfId="0"/>
    <cellStyle name="_Pocket_TV_VSA Roll-Up (LW)" xfId="0"/>
    <cellStyle name="_Pocket_TV_VSA Roll-Up (LW) 2" xfId="0"/>
    <cellStyle name="_Pocket_TV_VSA Roll-Up (LW) 3" xfId="0"/>
    <cellStyle name="_Pocket_TV_VSA Roll-Up (LW) 4" xfId="0"/>
    <cellStyle name="_Pocket_TV_VSA Roll-Up (LW) 4 2" xfId="0"/>
    <cellStyle name="_Pocket_TV_VSA Roll-Up (LW)_By Region" xfId="0"/>
    <cellStyle name="_Pocket_TV_VSA Roll-Up (LW)_CORP SG&amp;A" xfId="0"/>
    <cellStyle name="_Pocket_TV_VSA Roll-Up (LW)_LCD" xfId="0"/>
    <cellStyle name="_Pocket_TV_VSA Roll-Up (LW)_PJ" xfId="0"/>
    <cellStyle name="_Pocket_TV_VSE 2011 Budget" xfId="0"/>
    <cellStyle name="_Pocket_TV_VSE 2011 Budget 2" xfId="0"/>
    <cellStyle name="_Pocket_TV_VSE 2011 Budget 3" xfId="0"/>
    <cellStyle name="_Pocket_TV_VSE 2011 Budget 4" xfId="0"/>
    <cellStyle name="_Pocket_TV_VSE 2011 Budget_By Region" xfId="0"/>
    <cellStyle name="_Pocket_TV_VSE 2011 Budget_CORP SG&amp;A" xfId="0"/>
    <cellStyle name="_Pocket_TV_VSE 2011 Budget_GPS OTHER" xfId="0"/>
    <cellStyle name="_Pocket_TV_VSE 2011 Budget_GPS OTHER 2" xfId="0"/>
    <cellStyle name="_Pocket_TV_VSE 2011 Budget_GPS OTHER 3" xfId="0"/>
    <cellStyle name="_Pocket_TV_VSE 2011 Budget_GPS OTHER 4" xfId="0"/>
    <cellStyle name="_Pocket_TV_VSE 2011 Budget_GPS OTHER 4 2" xfId="0"/>
    <cellStyle name="_Pocket_TV_VSE 2011 Budget_GPS OTHER_By Region" xfId="0"/>
    <cellStyle name="_Pocket_TV_VSE 2011 Budget_GPS OTHER_CORP SG&amp;A" xfId="0"/>
    <cellStyle name="_Pocket_TV_VSE 2011 Budget_GPS OTHER_LCD" xfId="0"/>
    <cellStyle name="_Pocket_TV_VSE 2011 Budget_GPS OTHER_PJ" xfId="0"/>
    <cellStyle name="_Pocket_TV_VSE 2011 Budget_PC Products" xfId="0"/>
    <cellStyle name="_Pocket_TV_VSE 2011 Budget_PC Products 2" xfId="0"/>
    <cellStyle name="_Pocket_TV_VSE 2011 Budget_PC Products 3" xfId="0"/>
    <cellStyle name="_Pocket_TV_VSE 2011 Budget_PC Products 4" xfId="0"/>
    <cellStyle name="_Pocket_TV_VSE 2011 Budget_PC Products 4 2" xfId="0"/>
    <cellStyle name="_Pocket_TV_VSE 2011 Budget_PC Products_By Region" xfId="0"/>
    <cellStyle name="_Pocket_TV_VSE 2011 Budget_PC Products_CORP SG&amp;A" xfId="0"/>
    <cellStyle name="_Pocket_TV_VSE 2011 Budget_PC Products_LCD" xfId="0"/>
    <cellStyle name="_Pocket_TV_VSE 2011 Budget_PC Products_PJ" xfId="0"/>
    <cellStyle name="_Pocket_TV_VSE 2011 Budget_VSA 111014" xfId="0"/>
    <cellStyle name="_Pocket_TV_VSE 2011 Budget_VSA 111014 2" xfId="0"/>
    <cellStyle name="_Pocket_TV_VSE 2011 Budget_VSA 111014 3" xfId="0"/>
    <cellStyle name="_Pocket_TV_VSE 2011 Budget_VSA 111014 4" xfId="0"/>
    <cellStyle name="_Pocket_TV_VSE 2011 Budget_VSA 111014 4 2" xfId="0"/>
    <cellStyle name="_Pocket_TV_VSE 2011 Budget_VSA 111014_By Region" xfId="0"/>
    <cellStyle name="_Pocket_TV_VSE 2011 Budget_VSA 111014_CORP SG&amp;A" xfId="0"/>
    <cellStyle name="_Pocket_TV_VSE 2011 Budget_VSA 111014_LCD" xfId="0"/>
    <cellStyle name="_Pocket_TV_VSE 2011 Budget_VSA 111014_PJ" xfId="0"/>
    <cellStyle name="_Pocket_TV_VSE 2011 Budget_VSA Roll-Up (LW)" xfId="0"/>
    <cellStyle name="_Pocket_TV_VSE 2011 Budget_VSA Roll-Up (LW) 2" xfId="0"/>
    <cellStyle name="_Pocket_TV_VSE 2011 Budget_VSA Roll-Up (LW) 3" xfId="0"/>
    <cellStyle name="_Pocket_TV_VSE 2011 Budget_VSA Roll-Up (LW) 4" xfId="0"/>
    <cellStyle name="_Pocket_TV_VSE 2011 Budget_VSA Roll-Up (LW) 4 2" xfId="0"/>
    <cellStyle name="_Pocket_TV_VSE 2011 Budget_VSA Roll-Up (LW)_By Region" xfId="0"/>
    <cellStyle name="_Pocket_TV_VSE 2011 Budget_VSA Roll-Up (LW)_CORP SG&amp;A" xfId="0"/>
    <cellStyle name="_Pocket_TV_VSE 2011 Budget_VSA Roll-Up (LW)_LCD" xfId="0"/>
    <cellStyle name="_Pocket_TV_VSE 2011 Budget_VSA Roll-Up (LW)_PJ" xfId="0"/>
    <cellStyle name="_Pocket_TV_VSE 2H  WFP review (Spring Global meeting)-conservative Adam working v3" xfId="0"/>
    <cellStyle name="_Pocket_TV_VSE 2H  WFP review (Spring Global meeting)-conservative Adam working v3 2" xfId="0"/>
    <cellStyle name="_Pocket_TV_VSE 2H  WFP review (Spring Global meeting)-conservative Adam working v3 3" xfId="0"/>
    <cellStyle name="_Pocket_TV_VSE 2H Rebalance 110712" xfId="0"/>
    <cellStyle name="_Pocket_TV_VSE 2H Rebalance 110712 2" xfId="0"/>
    <cellStyle name="_Pocket_TV_VSE 2H Rebalance 110712 3" xfId="0"/>
    <cellStyle name="_Pocket_TV_VSE 2H Rebalance 110712 4" xfId="0"/>
    <cellStyle name="_Pocket_TV_VSE 2H Rebalance 110712_By Region" xfId="0"/>
    <cellStyle name="_Pocket_TV_VSE 2H Rebalance 110712_CORP SG&amp;A" xfId="0"/>
    <cellStyle name="_Pocket_TV_VSE WFP 101203" xfId="0"/>
    <cellStyle name="_Pocket_TV_VSE WFP 101203 2" xfId="0"/>
    <cellStyle name="_Pocket_TV_VSE WFP 101203 3" xfId="0"/>
    <cellStyle name="_Pocket_TV_VSE WFP 101203 4" xfId="0"/>
    <cellStyle name="_Pocket_TV_VSE WFP 101203_By Region" xfId="0"/>
    <cellStyle name="_Pocket_TV_VSE WFP 101203_CORP SG&amp;A" xfId="0"/>
    <cellStyle name="_Pocket_TV_VSE WFP 110311" xfId="0"/>
    <cellStyle name="_Pocket_TV_VSE WFP 110311 2" xfId="0"/>
    <cellStyle name="_Pocket_TV_VSE WFP 110311 3" xfId="0"/>
    <cellStyle name="_Pocket_TV_VSE WFP 110311 4" xfId="0"/>
    <cellStyle name="_Pocket_TV_VSE WFP 110311_By Region" xfId="0"/>
    <cellStyle name="_Pocket_TV_VSE WFP 110311_CORP SG&amp;A" xfId="0"/>
    <cellStyle name="_Pocket_TV_VSE WFP 110415" xfId="0"/>
    <cellStyle name="_Pocket_TV_VSE WFP 110415 2" xfId="0"/>
    <cellStyle name="_Pocket_TV_VSE WFP 110415 3" xfId="0"/>
    <cellStyle name="_Pocket_TV_VSE WFP 110415 4" xfId="0"/>
    <cellStyle name="_Pocket_TV_VSE WFP 110415_By Region" xfId="0"/>
    <cellStyle name="_Pocket_TV_VSE WFP 110415_CORP SG&amp;A" xfId="0"/>
    <cellStyle name="_Pocket_TV_VSE WFP_100409" xfId="0"/>
    <cellStyle name="_Pocket_TV_VSE WFP_100409 2" xfId="0"/>
    <cellStyle name="_Pocket_TV_VSE WFP_100409 3" xfId="0"/>
    <cellStyle name="_Pocket_TV_VSE WFP_100409 4" xfId="0"/>
    <cellStyle name="_Pocket_TV_VSE WFP_100409_By Region" xfId="0"/>
    <cellStyle name="_Pocket_TV_VSE WFP_100409_CORP SG&amp;A" xfId="0"/>
    <cellStyle name="_Pocket_TV_VSE WFP_100409_GPS OTHER" xfId="0"/>
    <cellStyle name="_Pocket_TV_VSE WFP_100409_GPS OTHER 2" xfId="0"/>
    <cellStyle name="_Pocket_TV_VSE WFP_100409_GPS OTHER 3" xfId="0"/>
    <cellStyle name="_Pocket_TV_VSE WFP_100409_GPS OTHER 4" xfId="0"/>
    <cellStyle name="_Pocket_TV_VSE WFP_100409_GPS OTHER 4 2" xfId="0"/>
    <cellStyle name="_Pocket_TV_VSE WFP_100409_GPS OTHER_By Region" xfId="0"/>
    <cellStyle name="_Pocket_TV_VSE WFP_100409_GPS OTHER_CORP SG&amp;A" xfId="0"/>
    <cellStyle name="_Pocket_TV_VSE WFP_100409_GPS OTHER_LCD" xfId="0"/>
    <cellStyle name="_Pocket_TV_VSE WFP_100409_GPS OTHER_PJ" xfId="0"/>
    <cellStyle name="_Pocket_TV_VSE WFP_100409_PC Products" xfId="0"/>
    <cellStyle name="_Pocket_TV_VSE WFP_100409_PC Products 2" xfId="0"/>
    <cellStyle name="_Pocket_TV_VSE WFP_100409_PC Products 3" xfId="0"/>
    <cellStyle name="_Pocket_TV_VSE WFP_100409_PC Products 4" xfId="0"/>
    <cellStyle name="_Pocket_TV_VSE WFP_100409_PC Products 4 2" xfId="0"/>
    <cellStyle name="_Pocket_TV_VSE WFP_100409_PC Products_By Region" xfId="0"/>
    <cellStyle name="_Pocket_TV_VSE WFP_100409_PC Products_CORP SG&amp;A" xfId="0"/>
    <cellStyle name="_Pocket_TV_VSE WFP_100409_PC Products_LCD" xfId="0"/>
    <cellStyle name="_Pocket_TV_VSE WFP_100409_PC Products_PJ" xfId="0"/>
    <cellStyle name="_Pocket_TV_VSE WFP_100409_VSA 111014" xfId="0"/>
    <cellStyle name="_Pocket_TV_VSE WFP_100409_VSA 111014 2" xfId="0"/>
    <cellStyle name="_Pocket_TV_VSE WFP_100409_VSA 111014 3" xfId="0"/>
    <cellStyle name="_Pocket_TV_VSE WFP_100409_VSA 111014 4" xfId="0"/>
    <cellStyle name="_Pocket_TV_VSE WFP_100409_VSA 111014 4 2" xfId="0"/>
    <cellStyle name="_Pocket_TV_VSE WFP_100409_VSA 111014_By Region" xfId="0"/>
    <cellStyle name="_Pocket_TV_VSE WFP_100409_VSA 111014_CORP SG&amp;A" xfId="0"/>
    <cellStyle name="_Pocket_TV_VSE WFP_100409_VSA 111014_LCD" xfId="0"/>
    <cellStyle name="_Pocket_TV_VSE WFP_100409_VSA 111014_PJ" xfId="0"/>
    <cellStyle name="_Pocket_TV_VSE WFP_100409_VSA Roll-Up (LW)" xfId="0"/>
    <cellStyle name="_Pocket_TV_VSE WFP_100409_VSA Roll-Up (LW) 2" xfId="0"/>
    <cellStyle name="_Pocket_TV_VSE WFP_100409_VSA Roll-Up (LW) 3" xfId="0"/>
    <cellStyle name="_Pocket_TV_VSE WFP_100409_VSA Roll-Up (LW) 4" xfId="0"/>
    <cellStyle name="_Pocket_TV_VSE WFP_100409_VSA Roll-Up (LW) 4 2" xfId="0"/>
    <cellStyle name="_Pocket_TV_VSE WFP_100409_VSA Roll-Up (LW)_By Region" xfId="0"/>
    <cellStyle name="_Pocket_TV_VSE WFP_100409_VSA Roll-Up (LW)_CORP SG&amp;A" xfId="0"/>
    <cellStyle name="_Pocket_TV_VSE WFP_100409_VSA Roll-Up (LW)_LCD" xfId="0"/>
    <cellStyle name="_Pocket_TV_VSE WFP_100409_VSA Roll-Up (LW)_PJ" xfId="0"/>
    <cellStyle name="_Pocket_TV_VSE WFP_100421 v2" xfId="0"/>
    <cellStyle name="_Pocket_TV_VSE WFP_100421 v2 2" xfId="0"/>
    <cellStyle name="_Pocket_TV_VSE WFP_100421 v2 3" xfId="0"/>
    <cellStyle name="_Pocket_TV_VSE WFP_100421 v2 4" xfId="0"/>
    <cellStyle name="_Pocket_TV_VSE WFP_100421 v2_By Region" xfId="0"/>
    <cellStyle name="_Pocket_TV_VSE WFP_100421 v2_CORP SG&amp;A" xfId="0"/>
    <cellStyle name="_Pocket_TV_VSE WFP_100421 v2_GPS OTHER" xfId="0"/>
    <cellStyle name="_Pocket_TV_VSE WFP_100421 v2_GPS OTHER 2" xfId="0"/>
    <cellStyle name="_Pocket_TV_VSE WFP_100421 v2_GPS OTHER 3" xfId="0"/>
    <cellStyle name="_Pocket_TV_VSE WFP_100421 v2_GPS OTHER 4" xfId="0"/>
    <cellStyle name="_Pocket_TV_VSE WFP_100421 v2_GPS OTHER 4 2" xfId="0"/>
    <cellStyle name="_Pocket_TV_VSE WFP_100421 v2_GPS OTHER_By Region" xfId="0"/>
    <cellStyle name="_Pocket_TV_VSE WFP_100421 v2_GPS OTHER_CORP SG&amp;A" xfId="0"/>
    <cellStyle name="_Pocket_TV_VSE WFP_100421 v2_GPS OTHER_LCD" xfId="0"/>
    <cellStyle name="_Pocket_TV_VSE WFP_100421 v2_GPS OTHER_PJ" xfId="0"/>
    <cellStyle name="_Pocket_TV_VSE WFP_100421 v2_PC Products" xfId="0"/>
    <cellStyle name="_Pocket_TV_VSE WFP_100421 v2_PC Products 2" xfId="0"/>
    <cellStyle name="_Pocket_TV_VSE WFP_100421 v2_PC Products 3" xfId="0"/>
    <cellStyle name="_Pocket_TV_VSE WFP_100421 v2_PC Products 4" xfId="0"/>
    <cellStyle name="_Pocket_TV_VSE WFP_100421 v2_PC Products 4 2" xfId="0"/>
    <cellStyle name="_Pocket_TV_VSE WFP_100421 v2_PC Products_By Region" xfId="0"/>
    <cellStyle name="_Pocket_TV_VSE WFP_100421 v2_PC Products_CORP SG&amp;A" xfId="0"/>
    <cellStyle name="_Pocket_TV_VSE WFP_100421 v2_PC Products_LCD" xfId="0"/>
    <cellStyle name="_Pocket_TV_VSE WFP_100421 v2_PC Products_PJ" xfId="0"/>
    <cellStyle name="_Pocket_TV_VSE WFP_100421 v2_VSA 111014" xfId="0"/>
    <cellStyle name="_Pocket_TV_VSE WFP_100421 v2_VSA 111014 2" xfId="0"/>
    <cellStyle name="_Pocket_TV_VSE WFP_100421 v2_VSA 111014 3" xfId="0"/>
    <cellStyle name="_Pocket_TV_VSE WFP_100421 v2_VSA 111014 4" xfId="0"/>
    <cellStyle name="_Pocket_TV_VSE WFP_100421 v2_VSA 111014 4 2" xfId="0"/>
    <cellStyle name="_Pocket_TV_VSE WFP_100421 v2_VSA 111014_By Region" xfId="0"/>
    <cellStyle name="_Pocket_TV_VSE WFP_100421 v2_VSA 111014_CORP SG&amp;A" xfId="0"/>
    <cellStyle name="_Pocket_TV_VSE WFP_100421 v2_VSA 111014_LCD" xfId="0"/>
    <cellStyle name="_Pocket_TV_VSE WFP_100421 v2_VSA 111014_PJ" xfId="0"/>
    <cellStyle name="_Pocket_TV_VSE WFP_100421 v2_VSA Roll-Up (LW)" xfId="0"/>
    <cellStyle name="_Pocket_TV_VSE WFP_100421 v2_VSA Roll-Up (LW) 2" xfId="0"/>
    <cellStyle name="_Pocket_TV_VSE WFP_100421 v2_VSA Roll-Up (LW) 3" xfId="0"/>
    <cellStyle name="_Pocket_TV_VSE WFP_100421 v2_VSA Roll-Up (LW) 4" xfId="0"/>
    <cellStyle name="_Pocket_TV_VSE WFP_100421 v2_VSA Roll-Up (LW) 4 2" xfId="0"/>
    <cellStyle name="_Pocket_TV_VSE WFP_100421 v2_VSA Roll-Up (LW)_By Region" xfId="0"/>
    <cellStyle name="_Pocket_TV_VSE WFP_100421 v2_VSA Roll-Up (LW)_CORP SG&amp;A" xfId="0"/>
    <cellStyle name="_Pocket_TV_VSE WFP_100421 v2_VSA Roll-Up (LW)_LCD" xfId="0"/>
    <cellStyle name="_Pocket_TV_VSE WFP_100421 v2_VSA Roll-Up (LW)_PJ" xfId="0"/>
    <cellStyle name="_Pocket_TV_VSE WFP_100507" xfId="0"/>
    <cellStyle name="_Pocket_TV_VSE WFP_100507 2" xfId="0"/>
    <cellStyle name="_Pocket_TV_VSE WFP_100507 3" xfId="0"/>
    <cellStyle name="_Pocket_TV_VSE WFP_100507 4" xfId="0"/>
    <cellStyle name="_Pocket_TV_VSE WFP_100507_By Region" xfId="0"/>
    <cellStyle name="_Pocket_TV_VSE WFP_100507_CORP SG&amp;A" xfId="0"/>
    <cellStyle name="_Pocket_TV_VSE WFP_100507_GPS OTHER" xfId="0"/>
    <cellStyle name="_Pocket_TV_VSE WFP_100507_GPS OTHER 2" xfId="0"/>
    <cellStyle name="_Pocket_TV_VSE WFP_100507_GPS OTHER 3" xfId="0"/>
    <cellStyle name="_Pocket_TV_VSE WFP_100507_GPS OTHER 4" xfId="0"/>
    <cellStyle name="_Pocket_TV_VSE WFP_100507_GPS OTHER 4 2" xfId="0"/>
    <cellStyle name="_Pocket_TV_VSE WFP_100507_GPS OTHER_By Region" xfId="0"/>
    <cellStyle name="_Pocket_TV_VSE WFP_100507_GPS OTHER_CORP SG&amp;A" xfId="0"/>
    <cellStyle name="_Pocket_TV_VSE WFP_100507_GPS OTHER_LCD" xfId="0"/>
    <cellStyle name="_Pocket_TV_VSE WFP_100507_GPS OTHER_PJ" xfId="0"/>
    <cellStyle name="_Pocket_TV_VSE WFP_100507_PC Products" xfId="0"/>
    <cellStyle name="_Pocket_TV_VSE WFP_100507_PC Products 2" xfId="0"/>
    <cellStyle name="_Pocket_TV_VSE WFP_100507_PC Products 3" xfId="0"/>
    <cellStyle name="_Pocket_TV_VSE WFP_100507_PC Products 4" xfId="0"/>
    <cellStyle name="_Pocket_TV_VSE WFP_100507_PC Products 4 2" xfId="0"/>
    <cellStyle name="_Pocket_TV_VSE WFP_100507_PC Products_By Region" xfId="0"/>
    <cellStyle name="_Pocket_TV_VSE WFP_100507_PC Products_CORP SG&amp;A" xfId="0"/>
    <cellStyle name="_Pocket_TV_VSE WFP_100507_PC Products_LCD" xfId="0"/>
    <cellStyle name="_Pocket_TV_VSE WFP_100507_PC Products_PJ" xfId="0"/>
    <cellStyle name="_Pocket_TV_VSE WFP_100507_VSA 111014" xfId="0"/>
    <cellStyle name="_Pocket_TV_VSE WFP_100507_VSA 111014 2" xfId="0"/>
    <cellStyle name="_Pocket_TV_VSE WFP_100507_VSA 111014 3" xfId="0"/>
    <cellStyle name="_Pocket_TV_VSE WFP_100507_VSA 111014 4" xfId="0"/>
    <cellStyle name="_Pocket_TV_VSE WFP_100507_VSA 111014 4 2" xfId="0"/>
    <cellStyle name="_Pocket_TV_VSE WFP_100507_VSA 111014_By Region" xfId="0"/>
    <cellStyle name="_Pocket_TV_VSE WFP_100507_VSA 111014_CORP SG&amp;A" xfId="0"/>
    <cellStyle name="_Pocket_TV_VSE WFP_100507_VSA 111014_LCD" xfId="0"/>
    <cellStyle name="_Pocket_TV_VSE WFP_100507_VSA 111014_PJ" xfId="0"/>
    <cellStyle name="_Pocket_TV_VSE WFP_100507_VSA Roll-Up (LW)" xfId="0"/>
    <cellStyle name="_Pocket_TV_VSE WFP_100507_VSA Roll-Up (LW) 2" xfId="0"/>
    <cellStyle name="_Pocket_TV_VSE WFP_100507_VSA Roll-Up (LW) 3" xfId="0"/>
    <cellStyle name="_Pocket_TV_VSE WFP_100507_VSA Roll-Up (LW) 4" xfId="0"/>
    <cellStyle name="_Pocket_TV_VSE WFP_100507_VSA Roll-Up (LW) 4 2" xfId="0"/>
    <cellStyle name="_Pocket_TV_VSE WFP_100507_VSA Roll-Up (LW)_By Region" xfId="0"/>
    <cellStyle name="_Pocket_TV_VSE WFP_100507_VSA Roll-Up (LW)_CORP SG&amp;A" xfId="0"/>
    <cellStyle name="_Pocket_TV_VSE WFP_100507_VSA Roll-Up (LW)_LCD" xfId="0"/>
    <cellStyle name="_Pocket_TV_VSE WFP_100507_VSA Roll-Up (LW)_PJ" xfId="0"/>
    <cellStyle name="_Pocket_TV_VSE WFP_100608" xfId="0"/>
    <cellStyle name="_Pocket_TV_VSE WFP_100608 2" xfId="0"/>
    <cellStyle name="_Pocket_TV_VSE WFP_100608 3" xfId="0"/>
    <cellStyle name="_Pocket_TV_VSE WFP_100608 4" xfId="0"/>
    <cellStyle name="_Pocket_TV_VSE WFP_100608_By Region" xfId="0"/>
    <cellStyle name="_Pocket_TV_VSE WFP_100608_CORP SG&amp;A" xfId="0"/>
    <cellStyle name="_Pocket_TV_VSE WFP_100608_GPS OTHER" xfId="0"/>
    <cellStyle name="_Pocket_TV_VSE WFP_100608_GPS OTHER 2" xfId="0"/>
    <cellStyle name="_Pocket_TV_VSE WFP_100608_GPS OTHER 3" xfId="0"/>
    <cellStyle name="_Pocket_TV_VSE WFP_100608_GPS OTHER 4" xfId="0"/>
    <cellStyle name="_Pocket_TV_VSE WFP_100608_GPS OTHER 4 2" xfId="0"/>
    <cellStyle name="_Pocket_TV_VSE WFP_100608_GPS OTHER_By Region" xfId="0"/>
    <cellStyle name="_Pocket_TV_VSE WFP_100608_GPS OTHER_CORP SG&amp;A" xfId="0"/>
    <cellStyle name="_Pocket_TV_VSE WFP_100608_GPS OTHER_LCD" xfId="0"/>
    <cellStyle name="_Pocket_TV_VSE WFP_100608_GPS OTHER_PJ" xfId="0"/>
    <cellStyle name="_Pocket_TV_VSE WFP_100608_PC Products" xfId="0"/>
    <cellStyle name="_Pocket_TV_VSE WFP_100608_PC Products 2" xfId="0"/>
    <cellStyle name="_Pocket_TV_VSE WFP_100608_PC Products 3" xfId="0"/>
    <cellStyle name="_Pocket_TV_VSE WFP_100608_PC Products 4" xfId="0"/>
    <cellStyle name="_Pocket_TV_VSE WFP_100608_PC Products 4 2" xfId="0"/>
    <cellStyle name="_Pocket_TV_VSE WFP_100608_PC Products_By Region" xfId="0"/>
    <cellStyle name="_Pocket_TV_VSE WFP_100608_PC Products_CORP SG&amp;A" xfId="0"/>
    <cellStyle name="_Pocket_TV_VSE WFP_100608_PC Products_LCD" xfId="0"/>
    <cellStyle name="_Pocket_TV_VSE WFP_100608_PC Products_PJ" xfId="0"/>
    <cellStyle name="_Pocket_TV_VSE WFP_100608_VSA 111014" xfId="0"/>
    <cellStyle name="_Pocket_TV_VSE WFP_100608_VSA 111014 2" xfId="0"/>
    <cellStyle name="_Pocket_TV_VSE WFP_100608_VSA 111014 3" xfId="0"/>
    <cellStyle name="_Pocket_TV_VSE WFP_100608_VSA 111014 4" xfId="0"/>
    <cellStyle name="_Pocket_TV_VSE WFP_100608_VSA 111014 4 2" xfId="0"/>
    <cellStyle name="_Pocket_TV_VSE WFP_100608_VSA 111014_By Region" xfId="0"/>
    <cellStyle name="_Pocket_TV_VSE WFP_100608_VSA 111014_CORP SG&amp;A" xfId="0"/>
    <cellStyle name="_Pocket_TV_VSE WFP_100608_VSA 111014_LCD" xfId="0"/>
    <cellStyle name="_Pocket_TV_VSE WFP_100608_VSA 111014_PJ" xfId="0"/>
    <cellStyle name="_Pocket_TV_VSE WFP_100608_VSA Roll-Up (LW)" xfId="0"/>
    <cellStyle name="_Pocket_TV_VSE WFP_100608_VSA Roll-Up (LW) 2" xfId="0"/>
    <cellStyle name="_Pocket_TV_VSE WFP_100608_VSA Roll-Up (LW) 3" xfId="0"/>
    <cellStyle name="_Pocket_TV_VSE WFP_100608_VSA Roll-Up (LW) 4" xfId="0"/>
    <cellStyle name="_Pocket_TV_VSE WFP_100608_VSA Roll-Up (LW) 4 2" xfId="0"/>
    <cellStyle name="_Pocket_TV_VSE WFP_100608_VSA Roll-Up (LW)_By Region" xfId="0"/>
    <cellStyle name="_Pocket_TV_VSE WFP_100608_VSA Roll-Up (LW)_CORP SG&amp;A" xfId="0"/>
    <cellStyle name="_Pocket_TV_VSE WFP_100608_VSA Roll-Up (LW)_LCD" xfId="0"/>
    <cellStyle name="_Pocket_TV_VSE WFP_100608_VSA Roll-Up (LW)_PJ" xfId="0"/>
    <cellStyle name="_Pocket_TV_VSE WFP_100625" xfId="0"/>
    <cellStyle name="_Pocket_TV_VSE WFP_100625 2" xfId="0"/>
    <cellStyle name="_Pocket_TV_VSE WFP_100625 3" xfId="0"/>
    <cellStyle name="_Pocket_TV_VSE WFP_100625 4" xfId="0"/>
    <cellStyle name="_Pocket_TV_VSE WFP_100625_By Region" xfId="0"/>
    <cellStyle name="_Pocket_TV_VSE WFP_100625_CORP SG&amp;A" xfId="0"/>
    <cellStyle name="_Pocket_TV_VSE WFP_100625_GPS OTHER" xfId="0"/>
    <cellStyle name="_Pocket_TV_VSE WFP_100625_GPS OTHER 2" xfId="0"/>
    <cellStyle name="_Pocket_TV_VSE WFP_100625_GPS OTHER 3" xfId="0"/>
    <cellStyle name="_Pocket_TV_VSE WFP_100625_GPS OTHER 4" xfId="0"/>
    <cellStyle name="_Pocket_TV_VSE WFP_100625_GPS OTHER 4 2" xfId="0"/>
    <cellStyle name="_Pocket_TV_VSE WFP_100625_GPS OTHER_By Region" xfId="0"/>
    <cellStyle name="_Pocket_TV_VSE WFP_100625_GPS OTHER_CORP SG&amp;A" xfId="0"/>
    <cellStyle name="_Pocket_TV_VSE WFP_100625_GPS OTHER_LCD" xfId="0"/>
    <cellStyle name="_Pocket_TV_VSE WFP_100625_GPS OTHER_PJ" xfId="0"/>
    <cellStyle name="_Pocket_TV_VSE WFP_100625_PC Products" xfId="0"/>
    <cellStyle name="_Pocket_TV_VSE WFP_100625_PC Products 2" xfId="0"/>
    <cellStyle name="_Pocket_TV_VSE WFP_100625_PC Products 3" xfId="0"/>
    <cellStyle name="_Pocket_TV_VSE WFP_100625_PC Products 4" xfId="0"/>
    <cellStyle name="_Pocket_TV_VSE WFP_100625_PC Products 4 2" xfId="0"/>
    <cellStyle name="_Pocket_TV_VSE WFP_100625_PC Products_By Region" xfId="0"/>
    <cellStyle name="_Pocket_TV_VSE WFP_100625_PC Products_CORP SG&amp;A" xfId="0"/>
    <cellStyle name="_Pocket_TV_VSE WFP_100625_PC Products_LCD" xfId="0"/>
    <cellStyle name="_Pocket_TV_VSE WFP_100625_PC Products_PJ" xfId="0"/>
    <cellStyle name="_Pocket_TV_VSE WFP_100625_VSA 111014" xfId="0"/>
    <cellStyle name="_Pocket_TV_VSE WFP_100625_VSA 111014 2" xfId="0"/>
    <cellStyle name="_Pocket_TV_VSE WFP_100625_VSA 111014 3" xfId="0"/>
    <cellStyle name="_Pocket_TV_VSE WFP_100625_VSA 111014 4" xfId="0"/>
    <cellStyle name="_Pocket_TV_VSE WFP_100625_VSA 111014 4 2" xfId="0"/>
    <cellStyle name="_Pocket_TV_VSE WFP_100625_VSA 111014_By Region" xfId="0"/>
    <cellStyle name="_Pocket_TV_VSE WFP_100625_VSA 111014_CORP SG&amp;A" xfId="0"/>
    <cellStyle name="_Pocket_TV_VSE WFP_100625_VSA 111014_LCD" xfId="0"/>
    <cellStyle name="_Pocket_TV_VSE WFP_100625_VSA 111014_PJ" xfId="0"/>
    <cellStyle name="_Pocket_TV_VSE WFP_100625_VSA Roll-Up (LW)" xfId="0"/>
    <cellStyle name="_Pocket_TV_VSE WFP_100625_VSA Roll-Up (LW) 2" xfId="0"/>
    <cellStyle name="_Pocket_TV_VSE WFP_100625_VSA Roll-Up (LW) 3" xfId="0"/>
    <cellStyle name="_Pocket_TV_VSE WFP_100625_VSA Roll-Up (LW) 4" xfId="0"/>
    <cellStyle name="_Pocket_TV_VSE WFP_100625_VSA Roll-Up (LW) 4 2" xfId="0"/>
    <cellStyle name="_Pocket_TV_VSE WFP_100625_VSA Roll-Up (LW)_By Region" xfId="0"/>
    <cellStyle name="_Pocket_TV_VSE WFP_100625_VSA Roll-Up (LW)_CORP SG&amp;A" xfId="0"/>
    <cellStyle name="_Pocket_TV_VSE WFP_100625_VSA Roll-Up (LW)_LCD" xfId="0"/>
    <cellStyle name="_Pocket_TV_VSE WFP_100625_VSA Roll-Up (LW)_PJ" xfId="0"/>
    <cellStyle name="_Pocket_TV_VSE WFP_100708_3rd" xfId="0"/>
    <cellStyle name="_Pocket_TV_VSE WFP_100708_3rd 2" xfId="0"/>
    <cellStyle name="_Pocket_TV_VSE WFP_100708_3rd 3" xfId="0"/>
    <cellStyle name="_Pocket_TV_VSE WFP_100708_3rd 4" xfId="0"/>
    <cellStyle name="_Pocket_TV_VSE WFP_100708_3rd_By Region" xfId="0"/>
    <cellStyle name="_Pocket_TV_VSE WFP_100708_3rd_CORP SG&amp;A" xfId="0"/>
    <cellStyle name="_Pocket_TV_VSE WFP_100708_3rd_GPS OTHER" xfId="0"/>
    <cellStyle name="_Pocket_TV_VSE WFP_100708_3rd_GPS OTHER 2" xfId="0"/>
    <cellStyle name="_Pocket_TV_VSE WFP_100708_3rd_GPS OTHER 3" xfId="0"/>
    <cellStyle name="_Pocket_TV_VSE WFP_100708_3rd_GPS OTHER 4" xfId="0"/>
    <cellStyle name="_Pocket_TV_VSE WFP_100708_3rd_GPS OTHER 4 2" xfId="0"/>
    <cellStyle name="_Pocket_TV_VSE WFP_100708_3rd_GPS OTHER_By Region" xfId="0"/>
    <cellStyle name="_Pocket_TV_VSE WFP_100708_3rd_GPS OTHER_CORP SG&amp;A" xfId="0"/>
    <cellStyle name="_Pocket_TV_VSE WFP_100708_3rd_GPS OTHER_LCD" xfId="0"/>
    <cellStyle name="_Pocket_TV_VSE WFP_100708_3rd_GPS OTHER_PJ" xfId="0"/>
    <cellStyle name="_Pocket_TV_VSE WFP_100708_3rd_PC Products" xfId="0"/>
    <cellStyle name="_Pocket_TV_VSE WFP_100708_3rd_PC Products 2" xfId="0"/>
    <cellStyle name="_Pocket_TV_VSE WFP_100708_3rd_PC Products 3" xfId="0"/>
    <cellStyle name="_Pocket_TV_VSE WFP_100708_3rd_PC Products 4" xfId="0"/>
    <cellStyle name="_Pocket_TV_VSE WFP_100708_3rd_PC Products 4 2" xfId="0"/>
    <cellStyle name="_Pocket_TV_VSE WFP_100708_3rd_PC Products_By Region" xfId="0"/>
    <cellStyle name="_Pocket_TV_VSE WFP_100708_3rd_PC Products_CORP SG&amp;A" xfId="0"/>
    <cellStyle name="_Pocket_TV_VSE WFP_100708_3rd_PC Products_LCD" xfId="0"/>
    <cellStyle name="_Pocket_TV_VSE WFP_100708_3rd_PC Products_PJ" xfId="0"/>
    <cellStyle name="_Pocket_TV_VSE WFP_100708_3rd_VSA 111014" xfId="0"/>
    <cellStyle name="_Pocket_TV_VSE WFP_100708_3rd_VSA 111014 2" xfId="0"/>
    <cellStyle name="_Pocket_TV_VSE WFP_100708_3rd_VSA 111014 3" xfId="0"/>
    <cellStyle name="_Pocket_TV_VSE WFP_100708_3rd_VSA 111014 4" xfId="0"/>
    <cellStyle name="_Pocket_TV_VSE WFP_100708_3rd_VSA 111014 4 2" xfId="0"/>
    <cellStyle name="_Pocket_TV_VSE WFP_100708_3rd_VSA 111014_By Region" xfId="0"/>
    <cellStyle name="_Pocket_TV_VSE WFP_100708_3rd_VSA 111014_CORP SG&amp;A" xfId="0"/>
    <cellStyle name="_Pocket_TV_VSE WFP_100708_3rd_VSA 111014_LCD" xfId="0"/>
    <cellStyle name="_Pocket_TV_VSE WFP_100708_3rd_VSA 111014_PJ" xfId="0"/>
    <cellStyle name="_Pocket_TV_VSE WFP_100708_3rd_VSA Roll-Up (LW)" xfId="0"/>
    <cellStyle name="_Pocket_TV_VSE WFP_100708_3rd_VSA Roll-Up (LW) 2" xfId="0"/>
    <cellStyle name="_Pocket_TV_VSE WFP_100708_3rd_VSA Roll-Up (LW) 3" xfId="0"/>
    <cellStyle name="_Pocket_TV_VSE WFP_100708_3rd_VSA Roll-Up (LW) 4" xfId="0"/>
    <cellStyle name="_Pocket_TV_VSE WFP_100708_3rd_VSA Roll-Up (LW) 4 2" xfId="0"/>
    <cellStyle name="_Pocket_TV_VSE WFP_100708_3rd_VSA Roll-Up (LW)_By Region" xfId="0"/>
    <cellStyle name="_Pocket_TV_VSE WFP_100708_3rd_VSA Roll-Up (LW)_CORP SG&amp;A" xfId="0"/>
    <cellStyle name="_Pocket_TV_VSE WFP_100708_3rd_VSA Roll-Up (LW)_LCD" xfId="0"/>
    <cellStyle name="_Pocket_TV_VSE WFP_100708_3rd_VSA Roll-Up (LW)_PJ" xfId="0"/>
    <cellStyle name="_Pocket_TV_VSE WFP_100726" xfId="0"/>
    <cellStyle name="_Pocket_TV_VSE WFP_100726 2" xfId="0"/>
    <cellStyle name="_Pocket_TV_VSE WFP_100726 3" xfId="0"/>
    <cellStyle name="_Pocket_TV_VSE WFP_100726 4" xfId="0"/>
    <cellStyle name="_Pocket_TV_VSE WFP_100726-1" xfId="0"/>
    <cellStyle name="_Pocket_TV_VSE WFP_100726-1 2" xfId="0"/>
    <cellStyle name="_Pocket_TV_VSE WFP_100726-1 3" xfId="0"/>
    <cellStyle name="_Pocket_TV_VSE WFP_100726-1 4" xfId="0"/>
    <cellStyle name="_Pocket_TV_VSE WFP_100726-1_By Region" xfId="0"/>
    <cellStyle name="_Pocket_TV_VSE WFP_100726-1_CORP SG&amp;A" xfId="0"/>
    <cellStyle name="_Pocket_TV_VSE WFP_100726-1_GPS OTHER" xfId="0"/>
    <cellStyle name="_Pocket_TV_VSE WFP_100726-1_GPS OTHER 2" xfId="0"/>
    <cellStyle name="_Pocket_TV_VSE WFP_100726-1_GPS OTHER 3" xfId="0"/>
    <cellStyle name="_Pocket_TV_VSE WFP_100726-1_GPS OTHER 4" xfId="0"/>
    <cellStyle name="_Pocket_TV_VSE WFP_100726-1_GPS OTHER 4 2" xfId="0"/>
    <cellStyle name="_Pocket_TV_VSE WFP_100726-1_GPS OTHER_By Region" xfId="0"/>
    <cellStyle name="_Pocket_TV_VSE WFP_100726-1_GPS OTHER_CORP SG&amp;A" xfId="0"/>
    <cellStyle name="_Pocket_TV_VSE WFP_100726-1_GPS OTHER_LCD" xfId="0"/>
    <cellStyle name="_Pocket_TV_VSE WFP_100726-1_GPS OTHER_PJ" xfId="0"/>
    <cellStyle name="_Pocket_TV_VSE WFP_100726-1_PC Products" xfId="0"/>
    <cellStyle name="_Pocket_TV_VSE WFP_100726-1_PC Products 2" xfId="0"/>
    <cellStyle name="_Pocket_TV_VSE WFP_100726-1_PC Products 3" xfId="0"/>
    <cellStyle name="_Pocket_TV_VSE WFP_100726-1_PC Products 4" xfId="0"/>
    <cellStyle name="_Pocket_TV_VSE WFP_100726-1_PC Products 4 2" xfId="0"/>
    <cellStyle name="_Pocket_TV_VSE WFP_100726-1_PC Products_By Region" xfId="0"/>
    <cellStyle name="_Pocket_TV_VSE WFP_100726-1_PC Products_CORP SG&amp;A" xfId="0"/>
    <cellStyle name="_Pocket_TV_VSE WFP_100726-1_PC Products_LCD" xfId="0"/>
    <cellStyle name="_Pocket_TV_VSE WFP_100726-1_PC Products_PJ" xfId="0"/>
    <cellStyle name="_Pocket_TV_VSE WFP_100726-1_VSA 111014" xfId="0"/>
    <cellStyle name="_Pocket_TV_VSE WFP_100726-1_VSA 111014 2" xfId="0"/>
    <cellStyle name="_Pocket_TV_VSE WFP_100726-1_VSA 111014 3" xfId="0"/>
    <cellStyle name="_Pocket_TV_VSE WFP_100726-1_VSA 111014 4" xfId="0"/>
    <cellStyle name="_Pocket_TV_VSE WFP_100726-1_VSA 111014 4 2" xfId="0"/>
    <cellStyle name="_Pocket_TV_VSE WFP_100726-1_VSA 111014_By Region" xfId="0"/>
    <cellStyle name="_Pocket_TV_VSE WFP_100726-1_VSA 111014_CORP SG&amp;A" xfId="0"/>
    <cellStyle name="_Pocket_TV_VSE WFP_100726-1_VSA 111014_LCD" xfId="0"/>
    <cellStyle name="_Pocket_TV_VSE WFP_100726-1_VSA 111014_PJ" xfId="0"/>
    <cellStyle name="_Pocket_TV_VSE WFP_100726-1_VSA Roll-Up (LW)" xfId="0"/>
    <cellStyle name="_Pocket_TV_VSE WFP_100726-1_VSA Roll-Up (LW) 2" xfId="0"/>
    <cellStyle name="_Pocket_TV_VSE WFP_100726-1_VSA Roll-Up (LW) 3" xfId="0"/>
    <cellStyle name="_Pocket_TV_VSE WFP_100726-1_VSA Roll-Up (LW) 4" xfId="0"/>
    <cellStyle name="_Pocket_TV_VSE WFP_100726-1_VSA Roll-Up (LW) 4 2" xfId="0"/>
    <cellStyle name="_Pocket_TV_VSE WFP_100726-1_VSA Roll-Up (LW)_By Region" xfId="0"/>
    <cellStyle name="_Pocket_TV_VSE WFP_100726-1_VSA Roll-Up (LW)_CORP SG&amp;A" xfId="0"/>
    <cellStyle name="_Pocket_TV_VSE WFP_100726-1_VSA Roll-Up (LW)_LCD" xfId="0"/>
    <cellStyle name="_Pocket_TV_VSE WFP_100726-1_VSA Roll-Up (LW)_PJ" xfId="0"/>
    <cellStyle name="_Pocket_TV_VSE WFP_100726-2-yc" xfId="0"/>
    <cellStyle name="_Pocket_TV_VSE WFP_100726-2-yc 2" xfId="0"/>
    <cellStyle name="_Pocket_TV_VSE WFP_100726-2-yc 3" xfId="0"/>
    <cellStyle name="_Pocket_TV_VSE WFP_100726-2-yc 4" xfId="0"/>
    <cellStyle name="_Pocket_TV_VSE WFP_100726-2-yc_By Region" xfId="0"/>
    <cellStyle name="_Pocket_TV_VSE WFP_100726-2-yc_CORP SG&amp;A" xfId="0"/>
    <cellStyle name="_Pocket_TV_VSE WFP_100726-2-yc_GPS OTHER" xfId="0"/>
    <cellStyle name="_Pocket_TV_VSE WFP_100726-2-yc_GPS OTHER 2" xfId="0"/>
    <cellStyle name="_Pocket_TV_VSE WFP_100726-2-yc_GPS OTHER 3" xfId="0"/>
    <cellStyle name="_Pocket_TV_VSE WFP_100726-2-yc_GPS OTHER 4" xfId="0"/>
    <cellStyle name="_Pocket_TV_VSE WFP_100726-2-yc_GPS OTHER 4 2" xfId="0"/>
    <cellStyle name="_Pocket_TV_VSE WFP_100726-2-yc_GPS OTHER_By Region" xfId="0"/>
    <cellStyle name="_Pocket_TV_VSE WFP_100726-2-yc_GPS OTHER_CORP SG&amp;A" xfId="0"/>
    <cellStyle name="_Pocket_TV_VSE WFP_100726-2-yc_GPS OTHER_LCD" xfId="0"/>
    <cellStyle name="_Pocket_TV_VSE WFP_100726-2-yc_GPS OTHER_PJ" xfId="0"/>
    <cellStyle name="_Pocket_TV_VSE WFP_100726-2-yc_PC Products" xfId="0"/>
    <cellStyle name="_Pocket_TV_VSE WFP_100726-2-yc_PC Products 2" xfId="0"/>
    <cellStyle name="_Pocket_TV_VSE WFP_100726-2-yc_PC Products 3" xfId="0"/>
    <cellStyle name="_Pocket_TV_VSE WFP_100726-2-yc_PC Products 4" xfId="0"/>
    <cellStyle name="_Pocket_TV_VSE WFP_100726-2-yc_PC Products 4 2" xfId="0"/>
    <cellStyle name="_Pocket_TV_VSE WFP_100726-2-yc_PC Products_By Region" xfId="0"/>
    <cellStyle name="_Pocket_TV_VSE WFP_100726-2-yc_PC Products_CORP SG&amp;A" xfId="0"/>
    <cellStyle name="_Pocket_TV_VSE WFP_100726-2-yc_PC Products_LCD" xfId="0"/>
    <cellStyle name="_Pocket_TV_VSE WFP_100726-2-yc_PC Products_PJ" xfId="0"/>
    <cellStyle name="_Pocket_TV_VSE WFP_100726-2-yc_VSA 111014" xfId="0"/>
    <cellStyle name="_Pocket_TV_VSE WFP_100726-2-yc_VSA 111014 2" xfId="0"/>
    <cellStyle name="_Pocket_TV_VSE WFP_100726-2-yc_VSA 111014 3" xfId="0"/>
    <cellStyle name="_Pocket_TV_VSE WFP_100726-2-yc_VSA 111014 4" xfId="0"/>
    <cellStyle name="_Pocket_TV_VSE WFP_100726-2-yc_VSA 111014 4 2" xfId="0"/>
    <cellStyle name="_Pocket_TV_VSE WFP_100726-2-yc_VSA 111014_By Region" xfId="0"/>
    <cellStyle name="_Pocket_TV_VSE WFP_100726-2-yc_VSA 111014_CORP SG&amp;A" xfId="0"/>
    <cellStyle name="_Pocket_TV_VSE WFP_100726-2-yc_VSA 111014_LCD" xfId="0"/>
    <cellStyle name="_Pocket_TV_VSE WFP_100726-2-yc_VSA 111014_PJ" xfId="0"/>
    <cellStyle name="_Pocket_TV_VSE WFP_100726-2-yc_VSA Roll-Up (LW)" xfId="0"/>
    <cellStyle name="_Pocket_TV_VSE WFP_100726-2-yc_VSA Roll-Up (LW) 2" xfId="0"/>
    <cellStyle name="_Pocket_TV_VSE WFP_100726-2-yc_VSA Roll-Up (LW) 3" xfId="0"/>
    <cellStyle name="_Pocket_TV_VSE WFP_100726-2-yc_VSA Roll-Up (LW) 4" xfId="0"/>
    <cellStyle name="_Pocket_TV_VSE WFP_100726-2-yc_VSA Roll-Up (LW) 4 2" xfId="0"/>
    <cellStyle name="_Pocket_TV_VSE WFP_100726-2-yc_VSA Roll-Up (LW)_By Region" xfId="0"/>
    <cellStyle name="_Pocket_TV_VSE WFP_100726-2-yc_VSA Roll-Up (LW)_CORP SG&amp;A" xfId="0"/>
    <cellStyle name="_Pocket_TV_VSE WFP_100726-2-yc_VSA Roll-Up (LW)_LCD" xfId="0"/>
    <cellStyle name="_Pocket_TV_VSE WFP_100726-2-yc_VSA Roll-Up (LW)_PJ" xfId="0"/>
    <cellStyle name="_Pocket_TV_VSE WFP_100726_By Region" xfId="0"/>
    <cellStyle name="_Pocket_TV_VSE WFP_100726_CORP SG&amp;A" xfId="0"/>
    <cellStyle name="_Pocket_TV_VSE WFP_100726_GPS OTHER" xfId="0"/>
    <cellStyle name="_Pocket_TV_VSE WFP_100726_GPS OTHER 2" xfId="0"/>
    <cellStyle name="_Pocket_TV_VSE WFP_100726_GPS OTHER 3" xfId="0"/>
    <cellStyle name="_Pocket_TV_VSE WFP_100726_GPS OTHER 4" xfId="0"/>
    <cellStyle name="_Pocket_TV_VSE WFP_100726_GPS OTHER 4 2" xfId="0"/>
    <cellStyle name="_Pocket_TV_VSE WFP_100726_GPS OTHER_By Region" xfId="0"/>
    <cellStyle name="_Pocket_TV_VSE WFP_100726_GPS OTHER_CORP SG&amp;A" xfId="0"/>
    <cellStyle name="_Pocket_TV_VSE WFP_100726_GPS OTHER_LCD" xfId="0"/>
    <cellStyle name="_Pocket_TV_VSE WFP_100726_GPS OTHER_PJ" xfId="0"/>
    <cellStyle name="_Pocket_TV_VSE WFP_100726_PC Products" xfId="0"/>
    <cellStyle name="_Pocket_TV_VSE WFP_100726_PC Products 2" xfId="0"/>
    <cellStyle name="_Pocket_TV_VSE WFP_100726_PC Products 3" xfId="0"/>
    <cellStyle name="_Pocket_TV_VSE WFP_100726_PC Products 4" xfId="0"/>
    <cellStyle name="_Pocket_TV_VSE WFP_100726_PC Products 4 2" xfId="0"/>
    <cellStyle name="_Pocket_TV_VSE WFP_100726_PC Products_By Region" xfId="0"/>
    <cellStyle name="_Pocket_TV_VSE WFP_100726_PC Products_CORP SG&amp;A" xfId="0"/>
    <cellStyle name="_Pocket_TV_VSE WFP_100726_PC Products_LCD" xfId="0"/>
    <cellStyle name="_Pocket_TV_VSE WFP_100726_PC Products_PJ" xfId="0"/>
    <cellStyle name="_Pocket_TV_VSE WFP_100726_VSA 111014" xfId="0"/>
    <cellStyle name="_Pocket_TV_VSE WFP_100726_VSA 111014 2" xfId="0"/>
    <cellStyle name="_Pocket_TV_VSE WFP_100726_VSA 111014 3" xfId="0"/>
    <cellStyle name="_Pocket_TV_VSE WFP_100726_VSA 111014 4" xfId="0"/>
    <cellStyle name="_Pocket_TV_VSE WFP_100726_VSA 111014 4 2" xfId="0"/>
    <cellStyle name="_Pocket_TV_VSE WFP_100726_VSA 111014_By Region" xfId="0"/>
    <cellStyle name="_Pocket_TV_VSE WFP_100726_VSA 111014_CORP SG&amp;A" xfId="0"/>
    <cellStyle name="_Pocket_TV_VSE WFP_100726_VSA 111014_LCD" xfId="0"/>
    <cellStyle name="_Pocket_TV_VSE WFP_100726_VSA 111014_PJ" xfId="0"/>
    <cellStyle name="_Pocket_TV_VSE WFP_100726_VSA Roll-Up (LW)" xfId="0"/>
    <cellStyle name="_Pocket_TV_VSE WFP_100726_VSA Roll-Up (LW) 2" xfId="0"/>
    <cellStyle name="_Pocket_TV_VSE WFP_100726_VSA Roll-Up (LW) 3" xfId="0"/>
    <cellStyle name="_Pocket_TV_VSE WFP_100726_VSA Roll-Up (LW) 4" xfId="0"/>
    <cellStyle name="_Pocket_TV_VSE WFP_100726_VSA Roll-Up (LW) 4 2" xfId="0"/>
    <cellStyle name="_Pocket_TV_VSE WFP_100726_VSA Roll-Up (LW)_By Region" xfId="0"/>
    <cellStyle name="_Pocket_TV_VSE WFP_100726_VSA Roll-Up (LW)_CORP SG&amp;A" xfId="0"/>
    <cellStyle name="_Pocket_TV_VSE WFP_100726_VSA Roll-Up (LW)_LCD" xfId="0"/>
    <cellStyle name="_Pocket_TV_VSE WFP_100726_VSA Roll-Up (LW)_PJ" xfId="0"/>
    <cellStyle name="_Pocket_TV_VSE WFP_100827-1" xfId="0"/>
    <cellStyle name="_Pocket_TV_VSE WFP_100827-1 2" xfId="0"/>
    <cellStyle name="_Pocket_TV_VSE WFP_100827-1 3" xfId="0"/>
    <cellStyle name="_Pocket_TV_VSE WFP_100827-1 4" xfId="0"/>
    <cellStyle name="_Pocket_TV_VSE WFP_100827-1_By Region" xfId="0"/>
    <cellStyle name="_Pocket_TV_VSE WFP_100827-1_CORP SG&amp;A" xfId="0"/>
    <cellStyle name="_Pocket_TV_VSE WFP_100827-1_GPS OTHER" xfId="0"/>
    <cellStyle name="_Pocket_TV_VSE WFP_100827-1_GPS OTHER 2" xfId="0"/>
    <cellStyle name="_Pocket_TV_VSE WFP_100827-1_GPS OTHER 3" xfId="0"/>
    <cellStyle name="_Pocket_TV_VSE WFP_100827-1_GPS OTHER 4" xfId="0"/>
    <cellStyle name="_Pocket_TV_VSE WFP_100827-1_GPS OTHER 4 2" xfId="0"/>
    <cellStyle name="_Pocket_TV_VSE WFP_100827-1_GPS OTHER_By Region" xfId="0"/>
    <cellStyle name="_Pocket_TV_VSE WFP_100827-1_GPS OTHER_CORP SG&amp;A" xfId="0"/>
    <cellStyle name="_Pocket_TV_VSE WFP_100827-1_GPS OTHER_LCD" xfId="0"/>
    <cellStyle name="_Pocket_TV_VSE WFP_100827-1_GPS OTHER_PJ" xfId="0"/>
    <cellStyle name="_Pocket_TV_VSE WFP_100827-1_PC Products" xfId="0"/>
    <cellStyle name="_Pocket_TV_VSE WFP_100827-1_PC Products 2" xfId="0"/>
    <cellStyle name="_Pocket_TV_VSE WFP_100827-1_PC Products 3" xfId="0"/>
    <cellStyle name="_Pocket_TV_VSE WFP_100827-1_PC Products 4" xfId="0"/>
    <cellStyle name="_Pocket_TV_VSE WFP_100827-1_PC Products 4 2" xfId="0"/>
    <cellStyle name="_Pocket_TV_VSE WFP_100827-1_PC Products_By Region" xfId="0"/>
    <cellStyle name="_Pocket_TV_VSE WFP_100827-1_PC Products_CORP SG&amp;A" xfId="0"/>
    <cellStyle name="_Pocket_TV_VSE WFP_100827-1_PC Products_LCD" xfId="0"/>
    <cellStyle name="_Pocket_TV_VSE WFP_100827-1_PC Products_PJ" xfId="0"/>
    <cellStyle name="_Pocket_TV_VSE WFP_100827-1_VSA 111014" xfId="0"/>
    <cellStyle name="_Pocket_TV_VSE WFP_100827-1_VSA 111014 2" xfId="0"/>
    <cellStyle name="_Pocket_TV_VSE WFP_100827-1_VSA 111014 3" xfId="0"/>
    <cellStyle name="_Pocket_TV_VSE WFP_100827-1_VSA 111014 4" xfId="0"/>
    <cellStyle name="_Pocket_TV_VSE WFP_100827-1_VSA 111014 4 2" xfId="0"/>
    <cellStyle name="_Pocket_TV_VSE WFP_100827-1_VSA 111014_By Region" xfId="0"/>
    <cellStyle name="_Pocket_TV_VSE WFP_100827-1_VSA 111014_CORP SG&amp;A" xfId="0"/>
    <cellStyle name="_Pocket_TV_VSE WFP_100827-1_VSA 111014_LCD" xfId="0"/>
    <cellStyle name="_Pocket_TV_VSE WFP_100827-1_VSA 111014_PJ" xfId="0"/>
    <cellStyle name="_Pocket_TV_VSE WFP_100827-1_VSA Roll-Up (LW)" xfId="0"/>
    <cellStyle name="_Pocket_TV_VSE WFP_100827-1_VSA Roll-Up (LW) 2" xfId="0"/>
    <cellStyle name="_Pocket_TV_VSE WFP_100827-1_VSA Roll-Up (LW) 3" xfId="0"/>
    <cellStyle name="_Pocket_TV_VSE WFP_100827-1_VSA Roll-Up (LW) 4" xfId="0"/>
    <cellStyle name="_Pocket_TV_VSE WFP_100827-1_VSA Roll-Up (LW) 4 2" xfId="0"/>
    <cellStyle name="_Pocket_TV_VSE WFP_100827-1_VSA Roll-Up (LW)_By Region" xfId="0"/>
    <cellStyle name="_Pocket_TV_VSE WFP_100827-1_VSA Roll-Up (LW)_CORP SG&amp;A" xfId="0"/>
    <cellStyle name="_Pocket_TV_VSE WFP_100827-1_VSA Roll-Up (LW)_LCD" xfId="0"/>
    <cellStyle name="_Pocket_TV_VSE WFP_100827-1_VSA Roll-Up (LW)_PJ" xfId="0"/>
    <cellStyle name="_Pocket_TV_VSE WFP_101001" xfId="0"/>
    <cellStyle name="_Pocket_TV_VSE WFP_101001 2" xfId="0"/>
    <cellStyle name="_Pocket_TV_VSE WFP_101001 3" xfId="0"/>
    <cellStyle name="_Pocket_TV_VSE WFP_101001 4" xfId="0"/>
    <cellStyle name="_Pocket_TV_VSE WFP_101001_By Region" xfId="0"/>
    <cellStyle name="_Pocket_TV_VSE WFP_101001_CORP SG&amp;A" xfId="0"/>
    <cellStyle name="_Pocket_TV_VSE WFP_101001_GPS OTHER" xfId="0"/>
    <cellStyle name="_Pocket_TV_VSE WFP_101001_GPS OTHER 2" xfId="0"/>
    <cellStyle name="_Pocket_TV_VSE WFP_101001_GPS OTHER 3" xfId="0"/>
    <cellStyle name="_Pocket_TV_VSE WFP_101001_GPS OTHER 4" xfId="0"/>
    <cellStyle name="_Pocket_TV_VSE WFP_101001_GPS OTHER 4 2" xfId="0"/>
    <cellStyle name="_Pocket_TV_VSE WFP_101001_GPS OTHER_By Region" xfId="0"/>
    <cellStyle name="_Pocket_TV_VSE WFP_101001_GPS OTHER_CORP SG&amp;A" xfId="0"/>
    <cellStyle name="_Pocket_TV_VSE WFP_101001_GPS OTHER_LCD" xfId="0"/>
    <cellStyle name="_Pocket_TV_VSE WFP_101001_GPS OTHER_PJ" xfId="0"/>
    <cellStyle name="_Pocket_TV_VSE WFP_101001_PC Products" xfId="0"/>
    <cellStyle name="_Pocket_TV_VSE WFP_101001_PC Products 2" xfId="0"/>
    <cellStyle name="_Pocket_TV_VSE WFP_101001_PC Products 3" xfId="0"/>
    <cellStyle name="_Pocket_TV_VSE WFP_101001_PC Products 4" xfId="0"/>
    <cellStyle name="_Pocket_TV_VSE WFP_101001_PC Products 4 2" xfId="0"/>
    <cellStyle name="_Pocket_TV_VSE WFP_101001_PC Products_By Region" xfId="0"/>
    <cellStyle name="_Pocket_TV_VSE WFP_101001_PC Products_CORP SG&amp;A" xfId="0"/>
    <cellStyle name="_Pocket_TV_VSE WFP_101001_PC Products_LCD" xfId="0"/>
    <cellStyle name="_Pocket_TV_VSE WFP_101001_PC Products_PJ" xfId="0"/>
    <cellStyle name="_Pocket_TV_VSE WFP_101001_VSA 111014" xfId="0"/>
    <cellStyle name="_Pocket_TV_VSE WFP_101001_VSA 111014 2" xfId="0"/>
    <cellStyle name="_Pocket_TV_VSE WFP_101001_VSA 111014 3" xfId="0"/>
    <cellStyle name="_Pocket_TV_VSE WFP_101001_VSA 111014 4" xfId="0"/>
    <cellStyle name="_Pocket_TV_VSE WFP_101001_VSA 111014 4 2" xfId="0"/>
    <cellStyle name="_Pocket_TV_VSE WFP_101001_VSA 111014_By Region" xfId="0"/>
    <cellStyle name="_Pocket_TV_VSE WFP_101001_VSA 111014_CORP SG&amp;A" xfId="0"/>
    <cellStyle name="_Pocket_TV_VSE WFP_101001_VSA 111014_LCD" xfId="0"/>
    <cellStyle name="_Pocket_TV_VSE WFP_101001_VSA 111014_PJ" xfId="0"/>
    <cellStyle name="_Pocket_TV_VSE WFP_101001_VSA Roll-Up (LW)" xfId="0"/>
    <cellStyle name="_Pocket_TV_VSE WFP_101001_VSA Roll-Up (LW) 2" xfId="0"/>
    <cellStyle name="_Pocket_TV_VSE WFP_101001_VSA Roll-Up (LW) 3" xfId="0"/>
    <cellStyle name="_Pocket_TV_VSE WFP_101001_VSA Roll-Up (LW) 4" xfId="0"/>
    <cellStyle name="_Pocket_TV_VSE WFP_101001_VSA Roll-Up (LW) 4 2" xfId="0"/>
    <cellStyle name="_Pocket_TV_VSE WFP_101001_VSA Roll-Up (LW)_By Region" xfId="0"/>
    <cellStyle name="_Pocket_TV_VSE WFP_101001_VSA Roll-Up (LW)_CORP SG&amp;A" xfId="0"/>
    <cellStyle name="_Pocket_TV_VSE WFP_101001_VSA Roll-Up (LW)_LCD" xfId="0"/>
    <cellStyle name="_Pocket_TV_VSE WFP_101001_VSA Roll-Up (LW)_PJ" xfId="0"/>
    <cellStyle name="_Pocket_TV_VSE WFP_101029-with more ViewPad 7" xfId="0"/>
    <cellStyle name="_Pocket_TV_VSE WFP_101029-with more ViewPad 7 2" xfId="0"/>
    <cellStyle name="_Pocket_TV_VSE WFP_101029-with more ViewPad 7 3" xfId="0"/>
    <cellStyle name="_Pocket_TV_VSE WFP_101029-with more ViewPad 7 4" xfId="0"/>
    <cellStyle name="_Pocket_TV_VSE WFP_101029-with more ViewPad 7_By Region" xfId="0"/>
    <cellStyle name="_Pocket_TV_VSE WFP_101029-with more ViewPad 7_CORP SG&amp;A" xfId="0"/>
    <cellStyle name="_Pocket_TV_VSE WFP_101029-with more ViewPad 7_GPS OTHER" xfId="0"/>
    <cellStyle name="_Pocket_TV_VSE WFP_101029-with more ViewPad 7_GPS OTHER 2" xfId="0"/>
    <cellStyle name="_Pocket_TV_VSE WFP_101029-with more ViewPad 7_GPS OTHER 3" xfId="0"/>
    <cellStyle name="_Pocket_TV_VSE WFP_101029-with more ViewPad 7_GPS OTHER 4" xfId="0"/>
    <cellStyle name="_Pocket_TV_VSE WFP_101029-with more ViewPad 7_GPS OTHER 4 2" xfId="0"/>
    <cellStyle name="_Pocket_TV_VSE WFP_101029-with more ViewPad 7_GPS OTHER_By Region" xfId="0"/>
    <cellStyle name="_Pocket_TV_VSE WFP_101029-with more ViewPad 7_GPS OTHER_CORP SG&amp;A" xfId="0"/>
    <cellStyle name="_Pocket_TV_VSE WFP_101029-with more ViewPad 7_GPS OTHER_LCD" xfId="0"/>
    <cellStyle name="_Pocket_TV_VSE WFP_101029-with more ViewPad 7_GPS OTHER_PJ" xfId="0"/>
    <cellStyle name="_Pocket_TV_VSE WFP_101029-with more ViewPad 7_PC Products" xfId="0"/>
    <cellStyle name="_Pocket_TV_VSE WFP_101029-with more ViewPad 7_PC Products 2" xfId="0"/>
    <cellStyle name="_Pocket_TV_VSE WFP_101029-with more ViewPad 7_PC Products 3" xfId="0"/>
    <cellStyle name="_Pocket_TV_VSE WFP_101029-with more ViewPad 7_PC Products 4" xfId="0"/>
    <cellStyle name="_Pocket_TV_VSE WFP_101029-with more ViewPad 7_PC Products 4 2" xfId="0"/>
    <cellStyle name="_Pocket_TV_VSE WFP_101029-with more ViewPad 7_PC Products_By Region" xfId="0"/>
    <cellStyle name="_Pocket_TV_VSE WFP_101029-with more ViewPad 7_PC Products_CORP SG&amp;A" xfId="0"/>
    <cellStyle name="_Pocket_TV_VSE WFP_101029-with more ViewPad 7_PC Products_LCD" xfId="0"/>
    <cellStyle name="_Pocket_TV_VSE WFP_101029-with more ViewPad 7_PC Products_PJ" xfId="0"/>
    <cellStyle name="_Pocket_TV_VSE WFP_101029-with more ViewPad 7_VSA 111014" xfId="0"/>
    <cellStyle name="_Pocket_TV_VSE WFP_101029-with more ViewPad 7_VSA 111014 2" xfId="0"/>
    <cellStyle name="_Pocket_TV_VSE WFP_101029-with more ViewPad 7_VSA 111014 3" xfId="0"/>
    <cellStyle name="_Pocket_TV_VSE WFP_101029-with more ViewPad 7_VSA 111014 4" xfId="0"/>
    <cellStyle name="_Pocket_TV_VSE WFP_101029-with more ViewPad 7_VSA 111014 4 2" xfId="0"/>
    <cellStyle name="_Pocket_TV_VSE WFP_101029-with more ViewPad 7_VSA 111014_By Region" xfId="0"/>
    <cellStyle name="_Pocket_TV_VSE WFP_101029-with more ViewPad 7_VSA 111014_CORP SG&amp;A" xfId="0"/>
    <cellStyle name="_Pocket_TV_VSE WFP_101029-with more ViewPad 7_VSA 111014_LCD" xfId="0"/>
    <cellStyle name="_Pocket_TV_VSE WFP_101029-with more ViewPad 7_VSA 111014_PJ" xfId="0"/>
    <cellStyle name="_Pocket_TV_VSE WFP_101029-with more ViewPad 7_VSA Roll-Up (LW)" xfId="0"/>
    <cellStyle name="_Pocket_TV_VSE WFP_101029-with more ViewPad 7_VSA Roll-Up (LW) 2" xfId="0"/>
    <cellStyle name="_Pocket_TV_VSE WFP_101029-with more ViewPad 7_VSA Roll-Up (LW) 3" xfId="0"/>
    <cellStyle name="_Pocket_TV_VSE WFP_101029-with more ViewPad 7_VSA Roll-Up (LW) 4" xfId="0"/>
    <cellStyle name="_Pocket_TV_VSE WFP_101029-with more ViewPad 7_VSA Roll-Up (LW) 4 2" xfId="0"/>
    <cellStyle name="_Pocket_TV_VSE WFP_101029-with more ViewPad 7_VSA Roll-Up (LW)_By Region" xfId="0"/>
    <cellStyle name="_Pocket_TV_VSE WFP_101029-with more ViewPad 7_VSA Roll-Up (LW)_CORP SG&amp;A" xfId="0"/>
    <cellStyle name="_Pocket_TV_VSE WFP_101029-with more ViewPad 7_VSA Roll-Up (LW)_LCD" xfId="0"/>
    <cellStyle name="_Pocket_TV_VSE WFP_101029-with more ViewPad 7_VSA Roll-Up (LW)_PJ" xfId="0"/>
    <cellStyle name="_Product" xfId="0"/>
    <cellStyle name="_Product 2" xfId="0"/>
    <cellStyle name="_Product payment_101001" xfId="0"/>
    <cellStyle name="_Product payment_101001 2" xfId="0"/>
    <cellStyle name="_Proview_WR_TREATMENT" xfId="0"/>
    <cellStyle name="_Proview_WR_TREATMENT 2" xfId="0"/>
    <cellStyle name="_Proview_WR_TREATMENT_Sheet1" xfId="0"/>
    <cellStyle name="_Proview_WR_TREATMENT_Sheet1 2" xfId="0"/>
    <cellStyle name="_Proview_WR_TREATMENT_Sheet1_Clean Data" xfId="0"/>
    <cellStyle name="_Proview_WR_TREATMENT_Sheet1_Clean Data 2" xfId="0"/>
    <cellStyle name="_Proview_WR_TREATMENT_Sheet1_Clean Data_1" xfId="0"/>
    <cellStyle name="_Proview_WR_TREATMENT_Sheet1_Clean Data_1 2" xfId="0"/>
    <cellStyle name="_Proview_WR_TREATMENT_Sheet1_Clean Data_Clean Data" xfId="0"/>
    <cellStyle name="_Proview_WR_TREATMENT_Sheet1_Clean Data_Clean Data 2" xfId="0"/>
    <cellStyle name="_Proview_WR_TREATMENT_Sheet1_Sheet1" xfId="0"/>
    <cellStyle name="_Proview_WR_TREATMENT_Sheet1_Sheet1 2" xfId="0"/>
    <cellStyle name="_Provision 0708 A stock" xfId="0"/>
    <cellStyle name="_Provision 0708 A stock 2" xfId="0"/>
    <cellStyle name="_Qisda" xfId="0"/>
    <cellStyle name="_Qisda 2" xfId="0"/>
    <cellStyle name="_Qisda Corp" xfId="0"/>
    <cellStyle name="_Qisda Corp 2" xfId="0"/>
    <cellStyle name="_Qisda Corporation" xfId="0"/>
    <cellStyle name="_Qisda Corporation 2" xfId="0"/>
    <cellStyle name="_Qisda Corporation 2 2" xfId="0"/>
    <cellStyle name="_Qisda Corporation 2_cash balance" xfId="0"/>
    <cellStyle name="_Qisda Corporation 2_cash balance 2" xfId="0"/>
    <cellStyle name="_Qisda Corporation 3" xfId="0"/>
    <cellStyle name="_Qisda Corporation 3 2" xfId="0"/>
    <cellStyle name="_Qisda Corporation 3_cash balance" xfId="0"/>
    <cellStyle name="_Qisda Corporation 3_cash balance 2" xfId="0"/>
    <cellStyle name="_Qisda Corporation 4" xfId="0"/>
    <cellStyle name="_Qisda Corporation 4 2" xfId="0"/>
    <cellStyle name="_Qisda Corporation 4_cash balance" xfId="0"/>
    <cellStyle name="_Qisda Corporation 4_cash balance 2" xfId="0"/>
    <cellStyle name="_Qisda Corporation 5" xfId="0"/>
    <cellStyle name="_Qisda Corporation 5 2" xfId="0"/>
    <cellStyle name="_Qisda Corporation 6" xfId="0"/>
    <cellStyle name="_Raw data" xfId="0"/>
    <cellStyle name="_Raw data 2" xfId="0"/>
    <cellStyle name="_Raw data_13-wk VSI_Revised" xfId="0"/>
    <cellStyle name="_Raw data_13-wk VSI_Revised 2" xfId="0"/>
    <cellStyle name="_Raw data_DCR" xfId="0"/>
    <cellStyle name="_Raw data_DCR 2" xfId="0"/>
    <cellStyle name="_Raw data_VSE DCR Planning Model and Trend Charts 20100118" xfId="0"/>
    <cellStyle name="_Raw data_VSE DCR Planning Model and Trend Charts 20100118 2" xfId="0"/>
    <cellStyle name="_Raw data_VSE DCR Planning Model and Trend Charts 20100315" xfId="0"/>
    <cellStyle name="_Raw data_VSE DCR Planning Model and Trend Charts 20100315 2" xfId="0"/>
    <cellStyle name="_Raw data_WMR VSI" xfId="0"/>
    <cellStyle name="_Raw data_WMR VSI 2" xfId="0"/>
    <cellStyle name="_RETIREMEN vsi" xfId="0"/>
    <cellStyle name="_RETIREMEN vsi 2" xfId="0"/>
    <cellStyle name="_RETIREMEN vsi_2011 FA (TWD) vsi" xfId="0"/>
    <cellStyle name="_RETIREMEN vsi_2011 FA (TWD) vsi 2" xfId="0"/>
    <cellStyle name="_RETIREMEN vsi_2011 FA (TWD) vsi_RETIREMEN vsi" xfId="0"/>
    <cellStyle name="_RETIREMEN vsi_2011 FA (TWD) vsi_RETIREMEN vsi 2" xfId="0"/>
    <cellStyle name="_RETIREMEN vsi_2011 FA (USD) vsi " xfId="0"/>
    <cellStyle name="_RETIREMEN vsi_2011 FA (USD) vsi  2" xfId="0"/>
    <cellStyle name="_RETIREMEN vsi_2012 FA (TWD) vsi" xfId="0"/>
    <cellStyle name="_RETIREMEN vsi_2012 FA (TWD) vsi 2" xfId="0"/>
    <cellStyle name="_RETIREMEN vsi_2012 FA (USD) vsi " xfId="0"/>
    <cellStyle name="_RETIREMEN vsi_2012 FA (USD) vsi  2" xfId="0"/>
    <cellStyle name="_RETIREMEN vsi_RETIREMEN vsi" xfId="0"/>
    <cellStyle name="_RETIREMEN vsi_RETIREMEN vsi 2" xfId="0"/>
    <cellStyle name="_RETIREMEN vsi_TB-TWD" xfId="0"/>
    <cellStyle name="_RETIREMEN vsi_TB-TWD 2" xfId="0"/>
    <cellStyle name="_RETIREMEN vsi_VSI FA Rollforward 1003" xfId="0"/>
    <cellStyle name="_RETIREMEN vsi_VSI FA Rollforward 1003 2" xfId="0"/>
    <cellStyle name="_RETIREMEN vsi_VSI FA Rollforward 1003_RETIREMEN vsi" xfId="0"/>
    <cellStyle name="_RETIREMEN vsi_VSI FA Rollforward 1003_RETIREMEN vsi 2" xfId="0"/>
    <cellStyle name="_RMA report May" xfId="0"/>
    <cellStyle name="_RMA report May 2" xfId="0"/>
    <cellStyle name="_RMA report May_Clean Data" xfId="0"/>
    <cellStyle name="_RMA report May_Clean Data 2" xfId="0"/>
    <cellStyle name="_rollforwrd ytd AUG08(NTD)" xfId="0"/>
    <cellStyle name="_rollforwrd ytd AUG08(NTD) 2" xfId="0"/>
    <cellStyle name="_rollforwrd ytd NOV08(NTD)" xfId="0"/>
    <cellStyle name="_rollforwrd ytd NOV08(NTD) 2" xfId="0"/>
    <cellStyle name="_Sales 0808" xfId="0"/>
    <cellStyle name="_Sales 0808 2" xfId="0"/>
    <cellStyle name="_SEK" xfId="0"/>
    <cellStyle name="_SEK 2" xfId="0"/>
    <cellStyle name="_SEP-10 VSI Consolidated BS" xfId="0"/>
    <cellStyle name="_SEP-10 VSI Consolidated BS 2" xfId="0"/>
    <cellStyle name="_SEP-10 VSI Consolidated P&amp;L" xfId="0"/>
    <cellStyle name="_SEP-10 VSI Consolidated P&amp;L 2" xfId="0"/>
    <cellStyle name="_SEP-10 VSI Consolidated SG&amp;A" xfId="0"/>
    <cellStyle name="_SEP-10 VSI Consolidated SG&amp;A 2" xfId="0"/>
    <cellStyle name="_Sheet1" xfId="0"/>
    <cellStyle name="_Sheet1 2" xfId="0"/>
    <cellStyle name="_Sheet1 2 2" xfId="0"/>
    <cellStyle name="_Sheet1 2 3" xfId="0"/>
    <cellStyle name="_Sheet1 3" xfId="0"/>
    <cellStyle name="_Sheet1 4" xfId="0"/>
    <cellStyle name="_Sheet1_1" xfId="0"/>
    <cellStyle name="_Sheet1_1 2" xfId="0"/>
    <cellStyle name="_Sheet1_1_Andrei" xfId="0"/>
    <cellStyle name="_Sheet1_1_Andrei 2" xfId="0"/>
    <cellStyle name="_Sheet1_1_CBB" xfId="0"/>
    <cellStyle name="_Sheet1_1_CBB 2" xfId="0"/>
    <cellStyle name="_Sheet1_1_Clean Data" xfId="0"/>
    <cellStyle name="_Sheet1_1_Clean Data 2" xfId="0"/>
    <cellStyle name="_Sheet1_1_Clean Data_Duplication" xfId="0"/>
    <cellStyle name="_Sheet1_1_Clean Data_Duplication 2" xfId="0"/>
    <cellStyle name="_Sheet1_1_Clean Data_Repair Cost %" xfId="0"/>
    <cellStyle name="_Sheet1_1_Clean Data_Repair Cost % 2" xfId="0"/>
    <cellStyle name="_Sheet1_1_Clean Data_Sheet3" xfId="0"/>
    <cellStyle name="_Sheet1_1_Clean Data_Sheet3 2" xfId="0"/>
    <cellStyle name="_Sheet1_1_Clean Data_Sheet4" xfId="0"/>
    <cellStyle name="_Sheet1_1_Clean Data_Sheet4 2" xfId="0"/>
    <cellStyle name="_Sheet1_1_Clean Data_T_90dAYS_Duplicates_Clean" xfId="0"/>
    <cellStyle name="_Sheet1_1_Clean Data_T_90dAYS_Duplicates_Clean 2" xfId="0"/>
    <cellStyle name="_Sheet1_1_Clean Data_validation" xfId="0"/>
    <cellStyle name="_Sheet1_1_Clean Data_validation 2" xfId="0"/>
    <cellStyle name="_Sheet1_1_Duplication" xfId="0"/>
    <cellStyle name="_Sheet1_1_Duplication 2" xfId="0"/>
    <cellStyle name="_Sheet1_1_Repair Cost %" xfId="0"/>
    <cellStyle name="_Sheet1_1_Repair Cost % 2" xfId="0"/>
    <cellStyle name="_Sheet1_1_Sheet1" xfId="0"/>
    <cellStyle name="_Sheet1_1_Sheet1 2" xfId="0"/>
    <cellStyle name="_Sheet1_1_Sheet1_1" xfId="0"/>
    <cellStyle name="_Sheet1_1_Sheet1_1 2" xfId="0"/>
    <cellStyle name="_Sheet1_1_Sheet3" xfId="0"/>
    <cellStyle name="_Sheet1_1_Sheet3 2" xfId="0"/>
    <cellStyle name="_Sheet1_1_Sheet4" xfId="0"/>
    <cellStyle name="_Sheet1_1_Sheet4 2" xfId="0"/>
    <cellStyle name="_Sheet1_1_T_90dAYS_Duplicates_Clean" xfId="0"/>
    <cellStyle name="_Sheet1_1_T_90dAYS_Duplicates_Clean 2" xfId="0"/>
    <cellStyle name="_Sheet1_1_validation" xfId="0"/>
    <cellStyle name="_Sheet1_1_validation 2" xfId="0"/>
    <cellStyle name="_Sheet1_2" xfId="0"/>
    <cellStyle name="_Sheet1_2 2" xfId="0"/>
    <cellStyle name="_Sheet1_3" xfId="0"/>
    <cellStyle name="_Sheet1_3 2" xfId="0"/>
    <cellStyle name="_Sheet1_3_Clean Data" xfId="0"/>
    <cellStyle name="_Sheet1_3_Clean Data 2" xfId="0"/>
    <cellStyle name="_Sheet1_3_Clean Data_1" xfId="0"/>
    <cellStyle name="_Sheet1_3_Clean Data_1 2" xfId="0"/>
    <cellStyle name="_Sheet1_3_Clean Data_Clean Data" xfId="0"/>
    <cellStyle name="_Sheet1_3_Clean Data_Clean Data 2" xfId="0"/>
    <cellStyle name="_Sheet1_3_Sheet1" xfId="0"/>
    <cellStyle name="_Sheet1_3_Sheet1 2" xfId="0"/>
    <cellStyle name="_Sheet1_Andrei" xfId="0"/>
    <cellStyle name="_Sheet1_Andrei 2" xfId="0"/>
    <cellStyle name="_Sheet1_Berd approved" xfId="0"/>
    <cellStyle name="_Sheet1_Berd approved 2" xfId="0"/>
    <cellStyle name="_Sheet1_Berd approved by Jessie" xfId="0"/>
    <cellStyle name="_Sheet1_Berd approved by Jessie 2" xfId="0"/>
    <cellStyle name="_Sheet1_CBB" xfId="0"/>
    <cellStyle name="_Sheet1_CBB 2" xfId="0"/>
    <cellStyle name="_Sheet1_Clean Data" xfId="0"/>
    <cellStyle name="_Sheet1_Clean Data 2" xfId="0"/>
    <cellStyle name="_Sheet1_Sheet1" xfId="0"/>
    <cellStyle name="_Sheet1_Sheet1 2" xfId="0"/>
    <cellStyle name="_Sheet1_Sheet1_Clean Data" xfId="0"/>
    <cellStyle name="_Sheet1_Sheet1_Clean Data 2" xfId="0"/>
    <cellStyle name="_Sheet1_Sheet1_Repair Cost %" xfId="0"/>
    <cellStyle name="_Sheet1_Sheet1_Repair Cost % 2" xfId="0"/>
    <cellStyle name="_Sheet1_Sheet1_Sheet1" xfId="0"/>
    <cellStyle name="_Sheet1_Sheet1_Sheet1 2" xfId="0"/>
    <cellStyle name="_Sheet1_Sheet1_T_90dAYS_Duplicates_Clean" xfId="0"/>
    <cellStyle name="_Sheet1_Sheet1_T_90dAYS_Duplicates_Clean 2" xfId="0"/>
    <cellStyle name="_Sheet1_Sheet2" xfId="0"/>
    <cellStyle name="_Sheet1_Sheet2 2" xfId="0"/>
    <cellStyle name="_Sheet1_Sheet3" xfId="0"/>
    <cellStyle name="_Sheet1_Sheet3 2" xfId="0"/>
    <cellStyle name="_Sheet1_Sheet4" xfId="0"/>
    <cellStyle name="_Sheet1_Sheet4 2" xfId="0"/>
    <cellStyle name="_Sheet1_Sheet5" xfId="0"/>
    <cellStyle name="_Sheet1_Sheet5 2" xfId="0"/>
    <cellStyle name="_Sheet1_Sheet6" xfId="0"/>
    <cellStyle name="_Sheet1_Sheet6 2" xfId="0"/>
    <cellStyle name="_Sheet1_T_90dAYS_Duplicates_Clean" xfId="0"/>
    <cellStyle name="_Sheet1_T_90dAYS_Duplicates_Clean 2" xfId="0"/>
    <cellStyle name="_Sheet1_validation" xfId="0"/>
    <cellStyle name="_Sheet1_validation 2" xfId="0"/>
    <cellStyle name="_Sheet1_Warranty_Data" xfId="0"/>
    <cellStyle name="_Sheet1_Warranty_Data 2" xfId="0"/>
    <cellStyle name="_sheet2" xfId="0"/>
    <cellStyle name="_sheet2 2" xfId="0"/>
    <cellStyle name="_Sheet2 3" xfId="0"/>
    <cellStyle name="_Sheet2_Before Allocation" xfId="0"/>
    <cellStyle name="_Sheet2_Duplication" xfId="0"/>
    <cellStyle name="_Sheet2_Duplication 2" xfId="0"/>
    <cellStyle name="_Sheet2_Repair Cost %" xfId="0"/>
    <cellStyle name="_Sheet2_Repair Cost % 2" xfId="0"/>
    <cellStyle name="_Sheet2_Sheet3" xfId="0"/>
    <cellStyle name="_Sheet2_Sheet3 2" xfId="0"/>
    <cellStyle name="_Sheet2_Sheet4" xfId="0"/>
    <cellStyle name="_Sheet2_Sheet4 2" xfId="0"/>
    <cellStyle name="_Sheet2_Simulation 03-14" xfId="0"/>
    <cellStyle name="_Sheet2_T_90dAYS_Duplicates_Clean" xfId="0"/>
    <cellStyle name="_Sheet2_T_90dAYS_Duplicates_Clean 2" xfId="0"/>
    <cellStyle name="_Sheet2_validation" xfId="0"/>
    <cellStyle name="_Sheet2_validation 2" xfId="0"/>
    <cellStyle name="_Sheet3" xfId="0"/>
    <cellStyle name="_Sheet3 2" xfId="0"/>
    <cellStyle name="_Sheet3 3" xfId="0"/>
    <cellStyle name="_sheet4" xfId="0"/>
    <cellStyle name="_sheet4 2" xfId="0"/>
    <cellStyle name="_Sheet4 3" xfId="0"/>
    <cellStyle name="_Sheet5" xfId="0"/>
    <cellStyle name="_Sheet5 2" xfId="0"/>
    <cellStyle name="_Sheet6" xfId="0"/>
    <cellStyle name="_Sheet6 2" xfId="0"/>
    <cellStyle name="_Simulation 03-14" xfId="0"/>
    <cellStyle name="_T_90dAYS_Duplicates_Clean" xfId="0"/>
    <cellStyle name="_T_90dAYS_Duplicates_Clean 2" xfId="0"/>
    <cellStyle name="_T_90dAYS_Duplicates_Clean_1" xfId="0"/>
    <cellStyle name="_T_90dAYS_Duplicates_Clean_1 2" xfId="0"/>
    <cellStyle name="_TB-09(charges)" xfId="0"/>
    <cellStyle name="_TB-09(charges) 2" xfId="0"/>
    <cellStyle name="_TB-09(charges) 2 2" xfId="0"/>
    <cellStyle name="_TB-09(charges) 2_Analysis " xfId="0"/>
    <cellStyle name="_TB-09(charges) 2_Analysis  2" xfId="0"/>
    <cellStyle name="_TB-09(charges) 2_Analysis _CORP SG&amp;A" xfId="0"/>
    <cellStyle name="_TB-09(charges) 2_CORP SG&amp;A" xfId="0"/>
    <cellStyle name="_TB-09(charges) 2_TB-2011(charges)" xfId="0"/>
    <cellStyle name="_TB-09(charges) 2_TB-2011(charges) 2" xfId="0"/>
    <cellStyle name="_TB-09(charges) 2_TB-2011(charges)_CORP SG&amp;A" xfId="0"/>
    <cellStyle name="_TB-09(charges) 2_TB-2012(charges)" xfId="0"/>
    <cellStyle name="_TB-09(charges) 2_TB-2012(charges) 2" xfId="0"/>
    <cellStyle name="_TB-09(charges) 2_TB-2012(charges)_CORP SG&amp;A" xfId="0"/>
    <cellStyle name="_TB-09(charges) 3" xfId="0"/>
    <cellStyle name="_TB-09(charges) 3 2" xfId="0"/>
    <cellStyle name="_TB-09(charges) 3_Analysis " xfId="0"/>
    <cellStyle name="_TB-09(charges) 3_Analysis  2" xfId="0"/>
    <cellStyle name="_TB-09(charges) 3_Analysis _CORP SG&amp;A" xfId="0"/>
    <cellStyle name="_TB-09(charges) 3_CORP SG&amp;A" xfId="0"/>
    <cellStyle name="_TB-09(charges) 3_TB-2011(charges)" xfId="0"/>
    <cellStyle name="_TB-09(charges) 3_TB-2011(charges) 2" xfId="0"/>
    <cellStyle name="_TB-09(charges) 3_TB-2011(charges)_CORP SG&amp;A" xfId="0"/>
    <cellStyle name="_TB-09(charges) 3_TB-2012(charges)" xfId="0"/>
    <cellStyle name="_TB-09(charges) 3_TB-2012(charges) 2" xfId="0"/>
    <cellStyle name="_TB-09(charges) 3_TB-2012(charges)_CORP SG&amp;A" xfId="0"/>
    <cellStyle name="_TB-09(charges) 4" xfId="0"/>
    <cellStyle name="_TB-09(charges)_CORP SG&amp;A" xfId="0"/>
    <cellStyle name="_TechView" xfId="0"/>
    <cellStyle name="_TechView 2" xfId="0"/>
    <cellStyle name="_Top Victory" xfId="0"/>
    <cellStyle name="_Top Victory 2" xfId="0"/>
    <cellStyle name="_U VSKR RMA report - HVT 2007_FEB" xfId="0"/>
    <cellStyle name="_U VSKR RMA report - HVT 2007_FEB 2" xfId="0"/>
    <cellStyle name="_Unity Sales" xfId="0"/>
    <cellStyle name="_Unity Sales 2" xfId="0"/>
    <cellStyle name="_validation" xfId="0"/>
    <cellStyle name="_validation 2" xfId="0"/>
    <cellStyle name="_VALUE_WWFMaster2006Q1_Final" xfId="0"/>
    <cellStyle name="_VALUE_WWFMaster2006Q1_Final_DS_2008Q2_LCDCostForecast_DataTables" xfId="0"/>
    <cellStyle name="_VALUE_WWFMaster2006Q1_Final_DS_2008Q2_LCDCostForecast_DataTables_DS_2008Q4_LCDCostForecast_DataTables" xfId="0"/>
    <cellStyle name="_VDL" xfId="0"/>
    <cellStyle name="_VDL 2" xfId="0"/>
    <cellStyle name="_VDL_080822 WMR-VSC" xfId="0"/>
    <cellStyle name="_VDL_080822 WMR-VSC 2" xfId="0"/>
    <cellStyle name="_VDL_080829 WMR" xfId="0"/>
    <cellStyle name="_VDL_080829 WMR 2" xfId="0"/>
    <cellStyle name="_VDL_080905 WMR-VSC" xfId="0"/>
    <cellStyle name="_VDL_080905 WMR-VSC 2" xfId="0"/>
    <cellStyle name="_VDL_080912 WMR-VSC" xfId="0"/>
    <cellStyle name="_VDL_080912 WMR-VSC 2" xfId="0"/>
    <cellStyle name="_VDL_080919 WMR-VSC" xfId="0"/>
    <cellStyle name="_VDL_080919 WMR-VSC 2" xfId="0"/>
    <cellStyle name="_VDL_080926 WMR-VSC" xfId="0"/>
    <cellStyle name="_VDL_080926 WMR-VSC 2" xfId="0"/>
    <cellStyle name="_VDL_081003 WMR-VSC_1" xfId="0"/>
    <cellStyle name="_VDL_081003 WMR-VSC_1 2" xfId="0"/>
    <cellStyle name="_VDL_081010 WMR-VSC" xfId="0"/>
    <cellStyle name="_VDL_081010 WMR-VSC 2" xfId="0"/>
    <cellStyle name="_VDL_081017 WMR-VSC_1" xfId="0"/>
    <cellStyle name="_VDL_081017 WMR-VSC_1 2" xfId="0"/>
    <cellStyle name="_VDL_081024 WMR-VSC" xfId="0"/>
    <cellStyle name="_VDL_081024 WMR-VSC 2" xfId="0"/>
    <cellStyle name="_VDL_081031 WMR-VSC" xfId="0"/>
    <cellStyle name="_VDL_081031 WMR-VSC 2" xfId="0"/>
    <cellStyle name="_VDL_081107 WMR-VSC (2)" xfId="0"/>
    <cellStyle name="_VDL_081107 WMR-VSC (2) 2" xfId="0"/>
    <cellStyle name="_VDL_081107 WMR-VSC_1" xfId="0"/>
    <cellStyle name="_VDL_081107 WMR-VSC_1 2" xfId="0"/>
    <cellStyle name="_VDL_081114 WMR-VSC" xfId="0"/>
    <cellStyle name="_VDL_081114 WMR-VSC 2" xfId="0"/>
    <cellStyle name="_VDL_081121 WMR-VSC" xfId="0"/>
    <cellStyle name="_VDL_081121 WMR-VSC 2" xfId="0"/>
    <cellStyle name="_VDL_081128 WMR-VSC" xfId="0"/>
    <cellStyle name="_VDL_081128 WMR-VSC 2" xfId="0"/>
    <cellStyle name="_VDL_081128 WMR-VSC_1" xfId="0"/>
    <cellStyle name="_VDL_081128 WMR-VSC_1 2" xfId="0"/>
    <cellStyle name="_VDL_081205 WMR-VSC" xfId="0"/>
    <cellStyle name="_VDL_081205 WMR-VSC 2" xfId="0"/>
    <cellStyle name="_VDL_081212 WMR-VSC" xfId="0"/>
    <cellStyle name="_VDL_081212 WMR-VSC 2" xfId="0"/>
    <cellStyle name="_VDL_081219 WMR-VSC" xfId="0"/>
    <cellStyle name="_VDL_081219 WMR-VSC 2" xfId="0"/>
    <cellStyle name="_VDL_090102 WMR-VSC" xfId="0"/>
    <cellStyle name="_VDL_090102 WMR-VSC 2" xfId="0"/>
    <cellStyle name="_VDL_090424 WMR_VSE (2)" xfId="0"/>
    <cellStyle name="_VDL_090424 WMR_VSE (2) 2" xfId="0"/>
    <cellStyle name="_VDL_090703 WMR-VSC" xfId="0"/>
    <cellStyle name="_VDL_090703 WMR-VSC 2" xfId="0"/>
    <cellStyle name="_VDL_AP Turn Days old" xfId="0"/>
    <cellStyle name="_VDL_AP Turn Days old 2" xfId="0"/>
    <cellStyle name="_VDL_Charts" xfId="0"/>
    <cellStyle name="_VDL_Charts 2" xfId="0"/>
    <cellStyle name="_VDL_NEW WMR" xfId="0"/>
    <cellStyle name="_VDL_NEW WMR 2" xfId="0"/>
    <cellStyle name="_VDL_VDL" xfId="0"/>
    <cellStyle name="_VDL_VDL 2" xfId="0"/>
    <cellStyle name="_VDL_VSA" xfId="0"/>
    <cellStyle name="_VDL_VSA 2" xfId="0"/>
    <cellStyle name="_VDL_VSA Cash Flow Model (6-4-07)" xfId="0"/>
    <cellStyle name="_VDL_VSA Cash Flow Model (6-4-07) 2" xfId="0"/>
    <cellStyle name="_VDL_VSACE" xfId="0"/>
    <cellStyle name="_VDL_VSACE 2" xfId="0"/>
    <cellStyle name="_VDL_VSC" xfId="0"/>
    <cellStyle name="_VDL_VSC 2" xfId="0"/>
    <cellStyle name="_VDL_VSCN" xfId="0"/>
    <cellStyle name="_VDL_VSCN 2" xfId="0"/>
    <cellStyle name="_VDL_VSE" xfId="0"/>
    <cellStyle name="_VDL_VSE 2" xfId="0"/>
    <cellStyle name="_VDL_VSI" xfId="0"/>
    <cellStyle name="_VDL_VSI 2" xfId="0"/>
    <cellStyle name="_VDL_WMR" xfId="0"/>
    <cellStyle name="_VDL_WMR (by QTY)" xfId="0"/>
    <cellStyle name="_VDL_WMR (by QTY) 2" xfId="0"/>
    <cellStyle name="_VDL_WMR 2" xfId="0"/>
    <cellStyle name="_VDL_WMR 3" xfId="0"/>
    <cellStyle name="_VDL_WMR 4" xfId="0"/>
    <cellStyle name="_VSA" xfId="0"/>
    <cellStyle name="_VSA 091113" xfId="0"/>
    <cellStyle name="_VSA 091113 2" xfId="0"/>
    <cellStyle name="_VSA 2" xfId="0"/>
    <cellStyle name="_VSA Cash Flow Forecast 12-12-08 Test" xfId="0"/>
    <cellStyle name="_VSA Cash Flow Forecast 12-12-08 Test 2" xfId="0"/>
    <cellStyle name="_VSA15" xfId="0"/>
    <cellStyle name="_VSA15 2" xfId="0"/>
    <cellStyle name="_VSA17" xfId="0"/>
    <cellStyle name="_VSA17 2" xfId="0"/>
    <cellStyle name="_VSA19" xfId="0"/>
    <cellStyle name="_VSA19 2" xfId="0"/>
    <cellStyle name="_VSA19_CORP SG&amp;A" xfId="0"/>
    <cellStyle name="_VSA19W" xfId="0"/>
    <cellStyle name="_VSA19W 2" xfId="0"/>
    <cellStyle name="_VSA_Charts" xfId="0"/>
    <cellStyle name="_VSA_Charts 2" xfId="0"/>
    <cellStyle name="_VSCN" xfId="0"/>
    <cellStyle name="_VSCN 2" xfId="0"/>
    <cellStyle name="_VSCN15" xfId="0"/>
    <cellStyle name="_VSCN15 2" xfId="0"/>
    <cellStyle name="_VSCN17" xfId="0"/>
    <cellStyle name="_VSCN17 2" xfId="0"/>
    <cellStyle name="_VSCN17_CORP SG&amp;A" xfId="0"/>
    <cellStyle name="_VSCN19" xfId="0"/>
    <cellStyle name="_VSCN19 2" xfId="0"/>
    <cellStyle name="_VSCN19W" xfId="0"/>
    <cellStyle name="_VSCN19W 2" xfId="0"/>
    <cellStyle name="_VSCN_080822 WMR-VSC" xfId="0"/>
    <cellStyle name="_VSCN_080822 WMR-VSC 2" xfId="0"/>
    <cellStyle name="_VSCN_080829 WMR" xfId="0"/>
    <cellStyle name="_VSCN_080829 WMR 2" xfId="0"/>
    <cellStyle name="_VSCN_080905 WMR-VSC" xfId="0"/>
    <cellStyle name="_VSCN_080905 WMR-VSC 2" xfId="0"/>
    <cellStyle name="_VSCN_080912 WMR-VSC" xfId="0"/>
    <cellStyle name="_VSCN_080912 WMR-VSC 2" xfId="0"/>
    <cellStyle name="_VSCN_080919 WMR-VSC" xfId="0"/>
    <cellStyle name="_VSCN_080919 WMR-VSC 2" xfId="0"/>
    <cellStyle name="_VSCN_080926 WMR-VSC" xfId="0"/>
    <cellStyle name="_VSCN_080926 WMR-VSC 2" xfId="0"/>
    <cellStyle name="_VSCN_081003 WMR-VSC_1" xfId="0"/>
    <cellStyle name="_VSCN_081003 WMR-VSC_1 2" xfId="0"/>
    <cellStyle name="_VSCN_081010 WMR-VSC" xfId="0"/>
    <cellStyle name="_VSCN_081010 WMR-VSC 2" xfId="0"/>
    <cellStyle name="_VSCN_081017 WMR-VSC_1" xfId="0"/>
    <cellStyle name="_VSCN_081017 WMR-VSC_1 2" xfId="0"/>
    <cellStyle name="_VSCN_081024 WMR-VSC" xfId="0"/>
    <cellStyle name="_VSCN_081024 WMR-VSC 2" xfId="0"/>
    <cellStyle name="_VSCN_081031 WMR-VSC" xfId="0"/>
    <cellStyle name="_VSCN_081031 WMR-VSC 2" xfId="0"/>
    <cellStyle name="_VSCN_081107 WMR-VSC (2)" xfId="0"/>
    <cellStyle name="_VSCN_081107 WMR-VSC (2) 2" xfId="0"/>
    <cellStyle name="_VSCN_081107 WMR-VSC_1" xfId="0"/>
    <cellStyle name="_VSCN_081107 WMR-VSC_1 2" xfId="0"/>
    <cellStyle name="_VSCN_081114 WMR-VSC" xfId="0"/>
    <cellStyle name="_VSCN_081114 WMR-VSC 2" xfId="0"/>
    <cellStyle name="_VSCN_081121 WMR-VSC" xfId="0"/>
    <cellStyle name="_VSCN_081121 WMR-VSC 2" xfId="0"/>
    <cellStyle name="_VSCN_081128 WMR-VSC" xfId="0"/>
    <cellStyle name="_VSCN_081128 WMR-VSC 2" xfId="0"/>
    <cellStyle name="_VSCN_081128 WMR-VSC_1" xfId="0"/>
    <cellStyle name="_VSCN_081128 WMR-VSC_1 2" xfId="0"/>
    <cellStyle name="_VSCN_081205 WMR-VSC" xfId="0"/>
    <cellStyle name="_VSCN_081205 WMR-VSC 2" xfId="0"/>
    <cellStyle name="_VSCN_081212 WMR-VSC" xfId="0"/>
    <cellStyle name="_VSCN_081212 WMR-VSC 2" xfId="0"/>
    <cellStyle name="_VSCN_081219 WMR-VSC" xfId="0"/>
    <cellStyle name="_VSCN_081219 WMR-VSC 2" xfId="0"/>
    <cellStyle name="_VSCN_090102 WMR-VSC" xfId="0"/>
    <cellStyle name="_VSCN_090102 WMR-VSC 2" xfId="0"/>
    <cellStyle name="_VSCN_090424 WMR_VSE (2)" xfId="0"/>
    <cellStyle name="_VSCN_090424 WMR_VSE (2) 2" xfId="0"/>
    <cellStyle name="_VSCN_090703 WMR-VSC" xfId="0"/>
    <cellStyle name="_VSCN_090703 WMR-VSC 2" xfId="0"/>
    <cellStyle name="_VSCN_AP Turn Days old" xfId="0"/>
    <cellStyle name="_VSCN_AP Turn Days old 2" xfId="0"/>
    <cellStyle name="_VSCN_Charts" xfId="0"/>
    <cellStyle name="_VSCN_Charts 2" xfId="0"/>
    <cellStyle name="_VSCN_NEW WMR" xfId="0"/>
    <cellStyle name="_VSCN_NEW WMR 2" xfId="0"/>
    <cellStyle name="_VSCN_VDL" xfId="0"/>
    <cellStyle name="_VSCN_VDL 2" xfId="0"/>
    <cellStyle name="_VSCN_VSA" xfId="0"/>
    <cellStyle name="_VSCN_VSA 2" xfId="0"/>
    <cellStyle name="_VSCN_VSA Cash Flow Model (6-4-07)" xfId="0"/>
    <cellStyle name="_VSCN_VSA Cash Flow Model (6-4-07) 2" xfId="0"/>
    <cellStyle name="_VSCN_VSACE" xfId="0"/>
    <cellStyle name="_VSCN_VSACE 2" xfId="0"/>
    <cellStyle name="_VSCN_VSC" xfId="0"/>
    <cellStyle name="_VSCN_VSC 2" xfId="0"/>
    <cellStyle name="_VSCN_VSCN" xfId="0"/>
    <cellStyle name="_VSCN_VSCN 2" xfId="0"/>
    <cellStyle name="_VSCN_VSE" xfId="0"/>
    <cellStyle name="_VSCN_VSE 2" xfId="0"/>
    <cellStyle name="_VSCN_VSI" xfId="0"/>
    <cellStyle name="_VSCN_VSI 2" xfId="0"/>
    <cellStyle name="_VSCN_WMR" xfId="0"/>
    <cellStyle name="_VSCN_WMR (by QTY)" xfId="0"/>
    <cellStyle name="_VSCN_WMR (by QTY) 2" xfId="0"/>
    <cellStyle name="_VSCN_WMR 2" xfId="0"/>
    <cellStyle name="_VSCN_WMR 3" xfId="0"/>
    <cellStyle name="_VSCN_WMR 4" xfId="0"/>
    <cellStyle name="_VSE 11-05-2010" xfId="0"/>
    <cellStyle name="_VSE 11-05-2010 2" xfId="0"/>
    <cellStyle name="_VSE Repair Records P12-2003 NLewis 12-01-2003" xfId="0"/>
    <cellStyle name="_VSE Repair Records P12-2003 NLewis 12-01-2003 2" xfId="0"/>
    <cellStyle name="_VSE15" xfId="0"/>
    <cellStyle name="_VSE15 2" xfId="0"/>
    <cellStyle name="_VSE17" xfId="0"/>
    <cellStyle name="_VSE17 2" xfId="0"/>
    <cellStyle name="_VSE17_1" xfId="0"/>
    <cellStyle name="_VSE17_1 2" xfId="0"/>
    <cellStyle name="_VSE17_1_CORP SG&amp;A" xfId="0"/>
    <cellStyle name="_VSE19" xfId="0"/>
    <cellStyle name="_VSE19 2" xfId="0"/>
    <cellStyle name="_VSE19_1" xfId="0"/>
    <cellStyle name="_VSE19_1 2" xfId="0"/>
    <cellStyle name="_VSE19_2007 CPC COGS LCD TV 0711-A" xfId="0"/>
    <cellStyle name="_VSE19_2007 CPC COGS LCD TV 0711-A 2" xfId="0"/>
    <cellStyle name="_VSE19_2007 CPC COGS LCD TV 0711-A_CORP SG&amp;A" xfId="0"/>
    <cellStyle name="_VSE19_2007 CPC COGS LCD TV 0712 -V0116" xfId="0"/>
    <cellStyle name="_VSE19_2007 CPC COGS LCD TV 0712 -V0116 2" xfId="0"/>
    <cellStyle name="_VSE19_2007 CPC COGS LCD TV 0712 -V0116_CORP SG&amp;A" xfId="0"/>
    <cellStyle name="_VSE19_VSA19" xfId="0"/>
    <cellStyle name="_VSE19_VSA19 2" xfId="0"/>
    <cellStyle name="_VSE19W" xfId="0"/>
    <cellStyle name="_VSE19W 2" xfId="0"/>
    <cellStyle name="_VSI" xfId="0"/>
    <cellStyle name="_VSI 2" xfId="0"/>
    <cellStyle name="_VSI Cash Forecast 08-22-2008" xfId="0"/>
    <cellStyle name="_VSI Cash Forecast 08-22-2008 2" xfId="0"/>
    <cellStyle name="_VSI Cash Forecast 08-22-2008_VSA Cash Forecast 04-4-10" xfId="0"/>
    <cellStyle name="_VSI Cash Forecast 08-22-2008_VSA Cash Forecast 04-4-10 2" xfId="0"/>
    <cellStyle name="_VSI DCR" xfId="0"/>
    <cellStyle name="_VSI DCR 2" xfId="0"/>
    <cellStyle name="_VSI DCR_13-wk VSI_Revised" xfId="0"/>
    <cellStyle name="_VSI DCR_13-wk VSI_Revised 2" xfId="0"/>
    <cellStyle name="_VSI DCR_DCR" xfId="0"/>
    <cellStyle name="_VSI DCR_DCR 2" xfId="0"/>
    <cellStyle name="_VSI DCR_WMR VSI" xfId="0"/>
    <cellStyle name="_VSI DCR_WMR VSI 2" xfId="0"/>
    <cellStyle name="_VSI15" xfId="0"/>
    <cellStyle name="_VSI15 2" xfId="0"/>
    <cellStyle name="_VSI17" xfId="0"/>
    <cellStyle name="_VSI17 2" xfId="0"/>
    <cellStyle name="_VSI19" xfId="0"/>
    <cellStyle name="_VSI19 2" xfId="0"/>
    <cellStyle name="_VSI19W" xfId="0"/>
    <cellStyle name="_VSI19W 2" xfId="0"/>
    <cellStyle name="_VSI_080822 WMR-VSC" xfId="0"/>
    <cellStyle name="_VSI_080822 WMR-VSC 2" xfId="0"/>
    <cellStyle name="_VSI_080829 WMR" xfId="0"/>
    <cellStyle name="_VSI_080829 WMR 2" xfId="0"/>
    <cellStyle name="_VSI_080905 WMR-VSC" xfId="0"/>
    <cellStyle name="_VSI_080905 WMR-VSC 2" xfId="0"/>
    <cellStyle name="_VSI_080912 WMR-VSC" xfId="0"/>
    <cellStyle name="_VSI_080912 WMR-VSC 2" xfId="0"/>
    <cellStyle name="_VSI_080919 WMR-VSC" xfId="0"/>
    <cellStyle name="_VSI_080919 WMR-VSC 2" xfId="0"/>
    <cellStyle name="_VSI_080926 WMR-VSC" xfId="0"/>
    <cellStyle name="_VSI_080926 WMR-VSC 2" xfId="0"/>
    <cellStyle name="_VSI_081003 WMR-VSC_1" xfId="0"/>
    <cellStyle name="_VSI_081003 WMR-VSC_1 2" xfId="0"/>
    <cellStyle name="_VSI_081010 WMR-VSC" xfId="0"/>
    <cellStyle name="_VSI_081010 WMR-VSC 2" xfId="0"/>
    <cellStyle name="_VSI_081017 WMR-VSC_1" xfId="0"/>
    <cellStyle name="_VSI_081017 WMR-VSC_1 2" xfId="0"/>
    <cellStyle name="_VSI_081024 WMR-VSC" xfId="0"/>
    <cellStyle name="_VSI_081024 WMR-VSC 2" xfId="0"/>
    <cellStyle name="_VSI_081031 WMR-VSC" xfId="0"/>
    <cellStyle name="_VSI_081031 WMR-VSC 2" xfId="0"/>
    <cellStyle name="_VSI_081107 WMR-VSC (2)" xfId="0"/>
    <cellStyle name="_VSI_081107 WMR-VSC (2) 2" xfId="0"/>
    <cellStyle name="_VSI_081107 WMR-VSC_1" xfId="0"/>
    <cellStyle name="_VSI_081107 WMR-VSC_1 2" xfId="0"/>
    <cellStyle name="_VSI_081114 WMR-VSC" xfId="0"/>
    <cellStyle name="_VSI_081114 WMR-VSC 2" xfId="0"/>
    <cellStyle name="_VSI_081121 WMR-VSC" xfId="0"/>
    <cellStyle name="_VSI_081121 WMR-VSC 2" xfId="0"/>
    <cellStyle name="_VSI_081128 WMR-VSC" xfId="0"/>
    <cellStyle name="_VSI_081128 WMR-VSC 2" xfId="0"/>
    <cellStyle name="_VSI_081128 WMR-VSC_1" xfId="0"/>
    <cellStyle name="_VSI_081128 WMR-VSC_1 2" xfId="0"/>
    <cellStyle name="_VSI_081205 WMR-VSC" xfId="0"/>
    <cellStyle name="_VSI_081205 WMR-VSC 2" xfId="0"/>
    <cellStyle name="_VSI_081212 WMR-VSC" xfId="0"/>
    <cellStyle name="_VSI_081212 WMR-VSC 2" xfId="0"/>
    <cellStyle name="_VSI_081219 WMR-VSC" xfId="0"/>
    <cellStyle name="_VSI_081219 WMR-VSC 2" xfId="0"/>
    <cellStyle name="_VSI_090102 WMR-VSC" xfId="0"/>
    <cellStyle name="_VSI_090102 WMR-VSC 2" xfId="0"/>
    <cellStyle name="_VSI_090424 WMR_VSE (2)" xfId="0"/>
    <cellStyle name="_VSI_090424 WMR_VSE (2) 2" xfId="0"/>
    <cellStyle name="_VSI_090703 WMR-VSC" xfId="0"/>
    <cellStyle name="_VSI_090703 WMR-VSC 2" xfId="0"/>
    <cellStyle name="_VSI_AP Turn Days old" xfId="0"/>
    <cellStyle name="_VSI_AP Turn Days old 2" xfId="0"/>
    <cellStyle name="_VSI_Charts" xfId="0"/>
    <cellStyle name="_VSI_Charts 2" xfId="0"/>
    <cellStyle name="_VSI_NEW WMR" xfId="0"/>
    <cellStyle name="_VSI_NEW WMR 2" xfId="0"/>
    <cellStyle name="_VSI_System Product Oracle models_SW checking_20091204" xfId="0"/>
    <cellStyle name="_VSI_System Product Oracle models_SW checking_20091204 2" xfId="0"/>
    <cellStyle name="_VSI_VDL" xfId="0"/>
    <cellStyle name="_VSI_VDL 2" xfId="0"/>
    <cellStyle name="_VSI_VSA" xfId="0"/>
    <cellStyle name="_VSI_VSA 2" xfId="0"/>
    <cellStyle name="_VSI_VSA Cash Flow Model (6-4-07)" xfId="0"/>
    <cellStyle name="_VSI_VSA Cash Flow Model (6-4-07) 2" xfId="0"/>
    <cellStyle name="_VSI_VSACE" xfId="0"/>
    <cellStyle name="_VSI_VSACE 2" xfId="0"/>
    <cellStyle name="_VSI_VSC" xfId="0"/>
    <cellStyle name="_VSI_VSC 2" xfId="0"/>
    <cellStyle name="_VSI_VSCN" xfId="0"/>
    <cellStyle name="_VSI_VSCN 2" xfId="0"/>
    <cellStyle name="_VSI_VSE" xfId="0"/>
    <cellStyle name="_VSI_VSE 2" xfId="0"/>
    <cellStyle name="_VSI_VSI" xfId="0"/>
    <cellStyle name="_VSI_VSI 2" xfId="0"/>
    <cellStyle name="_VSI_WMR" xfId="0"/>
    <cellStyle name="_VSI_WMR (by QTY)" xfId="0"/>
    <cellStyle name="_VSI_WMR (by QTY) 2" xfId="0"/>
    <cellStyle name="_VSI_WMR 2" xfId="0"/>
    <cellStyle name="_VSI_WMR 3" xfId="0"/>
    <cellStyle name="_VSI_WMR 4" xfId="0"/>
    <cellStyle name="_Warranty revise_1" xfId="0"/>
    <cellStyle name="_Warranty revise_1 2" xfId="0"/>
    <cellStyle name="_Warranty revise_2" xfId="0"/>
    <cellStyle name="_Warranty revise_2 2" xfId="0"/>
    <cellStyle name="_Warranty_Data" xfId="0"/>
    <cellStyle name="_Warranty_Data 2" xfId="0"/>
    <cellStyle name="_Warranty_Data_1" xfId="0"/>
    <cellStyle name="_Warranty_Data_1 2" xfId="0"/>
    <cellStyle name="_Weekly  Report" xfId="0"/>
    <cellStyle name="_Weekly  Report 2" xfId="0"/>
    <cellStyle name="_WFP" xfId="0"/>
    <cellStyle name="_WFP 2" xfId="0"/>
    <cellStyle name="_WFP_13-wk VSI_Revised" xfId="0"/>
    <cellStyle name="_WFP_13-wk VSI_Revised 2" xfId="0"/>
    <cellStyle name="_WFP_DCR" xfId="0"/>
    <cellStyle name="_WFP_DCR 2" xfId="0"/>
    <cellStyle name="_WFP_WMR VSI" xfId="0"/>
    <cellStyle name="_WFP_WMR VSI 2" xfId="0"/>
    <cellStyle name="_WWF_DB" xfId="0"/>
    <cellStyle name="_WWF_DB_DS_2008Q2_LCDCostForecast_DataTables" xfId="0"/>
    <cellStyle name="_WWF_DB_DS_2008Q2_LCDCostForecast_DataTables_DS_2008Q4_LCDCostForecast_DataTables" xfId="0"/>
    <cellStyle name="_Провью" xfId="0"/>
    <cellStyle name="_Провью 0801" xfId="0"/>
    <cellStyle name="_Провью 0801 2" xfId="0"/>
    <cellStyle name="_Провью 2" xfId="0"/>
    <cellStyle name="Accent1" xfId="0"/>
    <cellStyle name="Accent1 - 20%" xfId="0"/>
    <cellStyle name="Accent1 - 20% 2" xfId="0"/>
    <cellStyle name="Accent1 - 20% 2 2" xfId="0"/>
    <cellStyle name="Accent1 - 20% 2 2 2" xfId="0"/>
    <cellStyle name="Accent1 - 20% 2_Market Fresh Cost" xfId="0"/>
    <cellStyle name="Accent1 - 20% 3" xfId="0"/>
    <cellStyle name="Accent1 - 20% 3 2" xfId="0"/>
    <cellStyle name="Accent1 - 20% 4" xfId="0"/>
    <cellStyle name="Accent1 - 20% 4 2" xfId="0"/>
    <cellStyle name="Accent1 - 20% 5" xfId="0"/>
    <cellStyle name="Accent1 - 20% 6" xfId="0"/>
    <cellStyle name="Accent1 - 20% 7" xfId="0"/>
    <cellStyle name="Accent1 - 20%_Market Fresh Cost" xfId="0"/>
    <cellStyle name="Accent1 - 40%" xfId="0"/>
    <cellStyle name="Accent1 - 40% 2" xfId="0"/>
    <cellStyle name="Accent1 - 40% 2 2" xfId="0"/>
    <cellStyle name="Accent1 - 40% 2 2 2" xfId="0"/>
    <cellStyle name="Accent1 - 40% 2_Market Fresh Cost" xfId="0"/>
    <cellStyle name="Accent1 - 40% 3" xfId="0"/>
    <cellStyle name="Accent1 - 40% 3 2" xfId="0"/>
    <cellStyle name="Accent1 - 40% 4" xfId="0"/>
    <cellStyle name="Accent1 - 40% 4 2" xfId="0"/>
    <cellStyle name="Accent1 - 40% 5" xfId="0"/>
    <cellStyle name="Accent1 - 40% 6" xfId="0"/>
    <cellStyle name="Accent1 - 40% 7" xfId="0"/>
    <cellStyle name="Accent1 - 40%_Market Fresh Cost" xfId="0"/>
    <cellStyle name="Accent1 - 60%" xfId="0"/>
    <cellStyle name="Accent1 - 60% 2" xfId="0"/>
    <cellStyle name="Accent1 - 60% 2 2" xfId="0"/>
    <cellStyle name="Accent1 - 60% 2 2 2" xfId="0"/>
    <cellStyle name="Accent1 - 60% 2 3" xfId="0"/>
    <cellStyle name="Accent1 - 60% 2_Market Fresh Cost" xfId="0"/>
    <cellStyle name="Accent1 - 60% 3" xfId="0"/>
    <cellStyle name="Accent1 - 60% 3 2" xfId="0"/>
    <cellStyle name="Accent1 - 60% 3 3" xfId="0"/>
    <cellStyle name="Accent1 - 60% 4" xfId="0"/>
    <cellStyle name="Accent1 - 60% 5" xfId="0"/>
    <cellStyle name="Accent1 - 60% 6" xfId="0"/>
    <cellStyle name="Accent1 - 60% 7" xfId="0"/>
    <cellStyle name="Accent1 - 60% 8" xfId="0"/>
    <cellStyle name="Accent1 - 60%_LCD" xfId="0"/>
    <cellStyle name="Accent1 10" xfId="0"/>
    <cellStyle name="Accent1 10 2" xfId="0"/>
    <cellStyle name="Accent1 10 2 2" xfId="0"/>
    <cellStyle name="Accent1 10 3" xfId="0"/>
    <cellStyle name="Accent1 10 4" xfId="0"/>
    <cellStyle name="Accent1 100" xfId="0"/>
    <cellStyle name="Accent1 101" xfId="0"/>
    <cellStyle name="Accent1 102" xfId="0"/>
    <cellStyle name="Accent1 103" xfId="0"/>
    <cellStyle name="Accent1 104" xfId="0"/>
    <cellStyle name="Accent1 105" xfId="0"/>
    <cellStyle name="Accent1 106" xfId="0"/>
    <cellStyle name="Accent1 107" xfId="0"/>
    <cellStyle name="Accent1 108" xfId="0"/>
    <cellStyle name="Accent1 109" xfId="0"/>
    <cellStyle name="Accent1 11" xfId="0"/>
    <cellStyle name="Accent1 11 2" xfId="0"/>
    <cellStyle name="Accent1 11 2 2" xfId="0"/>
    <cellStyle name="Accent1 11 3" xfId="0"/>
    <cellStyle name="Accent1 11 4" xfId="0"/>
    <cellStyle name="Accent1 110" xfId="0"/>
    <cellStyle name="Accent1 111" xfId="0"/>
    <cellStyle name="Accent1 112" xfId="0"/>
    <cellStyle name="Accent1 113" xfId="0"/>
    <cellStyle name="Accent1 114" xfId="0"/>
    <cellStyle name="Accent1 115" xfId="0"/>
    <cellStyle name="Accent1 116" xfId="0"/>
    <cellStyle name="Accent1 117" xfId="0"/>
    <cellStyle name="Accent1 118" xfId="0"/>
    <cellStyle name="Accent1 119" xfId="0"/>
    <cellStyle name="Accent1 12" xfId="0"/>
    <cellStyle name="Accent1 12 2" xfId="0"/>
    <cellStyle name="Accent1 12 2 2" xfId="0"/>
    <cellStyle name="Accent1 12 3" xfId="0"/>
    <cellStyle name="Accent1 12 4" xfId="0"/>
    <cellStyle name="Accent1 120" xfId="0"/>
    <cellStyle name="Accent1 121" xfId="0"/>
    <cellStyle name="Accent1 122" xfId="0"/>
    <cellStyle name="Accent1 123" xfId="0"/>
    <cellStyle name="Accent1 124" xfId="0"/>
    <cellStyle name="Accent1 125" xfId="0"/>
    <cellStyle name="Accent1 126" xfId="0"/>
    <cellStyle name="Accent1 127" xfId="0"/>
    <cellStyle name="Accent1 128" xfId="0"/>
    <cellStyle name="Accent1 129" xfId="0"/>
    <cellStyle name="Accent1 13" xfId="0"/>
    <cellStyle name="Accent1 13 2" xfId="0"/>
    <cellStyle name="Accent1 13 2 2" xfId="0"/>
    <cellStyle name="Accent1 13 3" xfId="0"/>
    <cellStyle name="Accent1 13 4" xfId="0"/>
    <cellStyle name="Accent1 130" xfId="0"/>
    <cellStyle name="Accent1 131" xfId="0"/>
    <cellStyle name="Accent1 132" xfId="0"/>
    <cellStyle name="Accent1 133" xfId="0"/>
    <cellStyle name="Accent1 134" xfId="0"/>
    <cellStyle name="Accent1 135" xfId="0"/>
    <cellStyle name="Accent1 136" xfId="0"/>
    <cellStyle name="Accent1 137" xfId="0"/>
    <cellStyle name="Accent1 138" xfId="0"/>
    <cellStyle name="Accent1 139" xfId="0"/>
    <cellStyle name="Accent1 14" xfId="0"/>
    <cellStyle name="Accent1 14 2" xfId="0"/>
    <cellStyle name="Accent1 14 2 2" xfId="0"/>
    <cellStyle name="Accent1 14 3" xfId="0"/>
    <cellStyle name="Accent1 14 4" xfId="0"/>
    <cellStyle name="Accent1 140" xfId="0"/>
    <cellStyle name="Accent1 141" xfId="0"/>
    <cellStyle name="Accent1 142" xfId="0"/>
    <cellStyle name="Accent1 143" xfId="0"/>
    <cellStyle name="Accent1 144" xfId="0"/>
    <cellStyle name="Accent1 145" xfId="0"/>
    <cellStyle name="Accent1 146" xfId="0"/>
    <cellStyle name="Accent1 147" xfId="0"/>
    <cellStyle name="Accent1 148" xfId="0"/>
    <cellStyle name="Accent1 149" xfId="0"/>
    <cellStyle name="Accent1 15" xfId="0"/>
    <cellStyle name="Accent1 15 2" xfId="0"/>
    <cellStyle name="Accent1 15 2 2" xfId="0"/>
    <cellStyle name="Accent1 15 3" xfId="0"/>
    <cellStyle name="Accent1 15 4" xfId="0"/>
    <cellStyle name="Accent1 150" xfId="0"/>
    <cellStyle name="Accent1 151" xfId="0"/>
    <cellStyle name="Accent1 152" xfId="0"/>
    <cellStyle name="Accent1 153" xfId="0"/>
    <cellStyle name="Accent1 154" xfId="0"/>
    <cellStyle name="Accent1 155" xfId="0"/>
    <cellStyle name="Accent1 156" xfId="0"/>
    <cellStyle name="Accent1 157" xfId="0"/>
    <cellStyle name="Accent1 158" xfId="0"/>
    <cellStyle name="Accent1 159" xfId="0"/>
    <cellStyle name="Accent1 16" xfId="0"/>
    <cellStyle name="Accent1 16 2" xfId="0"/>
    <cellStyle name="Accent1 16 2 2" xfId="0"/>
    <cellStyle name="Accent1 16 3" xfId="0"/>
    <cellStyle name="Accent1 16 4" xfId="0"/>
    <cellStyle name="Accent1 160" xfId="0"/>
    <cellStyle name="Accent1 161" xfId="0"/>
    <cellStyle name="Accent1 162" xfId="0"/>
    <cellStyle name="Accent1 163" xfId="0"/>
    <cellStyle name="Accent1 164" xfId="0"/>
    <cellStyle name="Accent1 165" xfId="0"/>
    <cellStyle name="Accent1 166" xfId="0"/>
    <cellStyle name="Accent1 167" xfId="0"/>
    <cellStyle name="Accent1 168" xfId="0"/>
    <cellStyle name="Accent1 169" xfId="0"/>
    <cellStyle name="Accent1 17" xfId="0"/>
    <cellStyle name="Accent1 17 2" xfId="0"/>
    <cellStyle name="Accent1 17 2 2" xfId="0"/>
    <cellStyle name="Accent1 17 3" xfId="0"/>
    <cellStyle name="Accent1 17 4" xfId="0"/>
    <cellStyle name="Accent1 170" xfId="0"/>
    <cellStyle name="Accent1 171" xfId="0"/>
    <cellStyle name="Accent1 172" xfId="0"/>
    <cellStyle name="Accent1 173" xfId="0"/>
    <cellStyle name="Accent1 174" xfId="0"/>
    <cellStyle name="Accent1 175" xfId="0"/>
    <cellStyle name="Accent1 176" xfId="0"/>
    <cellStyle name="Accent1 177" xfId="0"/>
    <cellStyle name="Accent1 178" xfId="0"/>
    <cellStyle name="Accent1 179" xfId="0"/>
    <cellStyle name="Accent1 18" xfId="0"/>
    <cellStyle name="Accent1 18 2" xfId="0"/>
    <cellStyle name="Accent1 18 2 2" xfId="0"/>
    <cellStyle name="Accent1 18 3" xfId="0"/>
    <cellStyle name="Accent1 18 4" xfId="0"/>
    <cellStyle name="Accent1 180" xfId="0"/>
    <cellStyle name="Accent1 181" xfId="0"/>
    <cellStyle name="Accent1 182" xfId="0"/>
    <cellStyle name="Accent1 183" xfId="0"/>
    <cellStyle name="Accent1 184" xfId="0"/>
    <cellStyle name="Accent1 185" xfId="0"/>
    <cellStyle name="Accent1 186" xfId="0"/>
    <cellStyle name="Accent1 187" xfId="0"/>
    <cellStyle name="Accent1 188" xfId="0"/>
    <cellStyle name="Accent1 189" xfId="0"/>
    <cellStyle name="Accent1 19" xfId="0"/>
    <cellStyle name="Accent1 19 2" xfId="0"/>
    <cellStyle name="Accent1 19 2 2" xfId="0"/>
    <cellStyle name="Accent1 19 3" xfId="0"/>
    <cellStyle name="Accent1 19 4" xfId="0"/>
    <cellStyle name="Accent1 190" xfId="0"/>
    <cellStyle name="Accent1 191" xfId="0"/>
    <cellStyle name="Accent1 192" xfId="0"/>
    <cellStyle name="Accent1 193" xfId="0"/>
    <cellStyle name="Accent1 194" xfId="0"/>
    <cellStyle name="Accent1 195" xfId="0"/>
    <cellStyle name="Accent1 196" xfId="0"/>
    <cellStyle name="Accent1 197" xfId="0"/>
    <cellStyle name="Accent1 198" xfId="0"/>
    <cellStyle name="Accent1 199" xfId="0"/>
    <cellStyle name="Accent1 2" xfId="0"/>
    <cellStyle name="Accent1 2 2" xfId="0"/>
    <cellStyle name="Accent1 2 2 2" xfId="0"/>
    <cellStyle name="Accent1 2 2 2 2" xfId="0"/>
    <cellStyle name="Accent1 2 2 3" xfId="0"/>
    <cellStyle name="Accent1 2 3" xfId="0"/>
    <cellStyle name="Accent1 2 3 2" xfId="0"/>
    <cellStyle name="Accent1 2 3 3" xfId="0"/>
    <cellStyle name="Accent1 2 4" xfId="0"/>
    <cellStyle name="Accent1 2 4 2" xfId="0"/>
    <cellStyle name="Accent1 2 4 3" xfId="0"/>
    <cellStyle name="Accent1 2 5" xfId="0"/>
    <cellStyle name="Accent1 2 5 2" xfId="0"/>
    <cellStyle name="Accent1 2 6" xfId="0"/>
    <cellStyle name="Accent1 2 7" xfId="0"/>
    <cellStyle name="Accent1 2 8" xfId="0"/>
    <cellStyle name="Accent1 2 9" xfId="0"/>
    <cellStyle name="Accent1 20" xfId="0"/>
    <cellStyle name="Accent1 20 2" xfId="0"/>
    <cellStyle name="Accent1 20 2 2" xfId="0"/>
    <cellStyle name="Accent1 20 3" xfId="0"/>
    <cellStyle name="Accent1 20 4" xfId="0"/>
    <cellStyle name="Accent1 200" xfId="0"/>
    <cellStyle name="Accent1 201" xfId="0"/>
    <cellStyle name="Accent1 202" xfId="0"/>
    <cellStyle name="Accent1 203" xfId="0"/>
    <cellStyle name="Accent1 204" xfId="0"/>
    <cellStyle name="Accent1 205" xfId="0"/>
    <cellStyle name="Accent1 206" xfId="0"/>
    <cellStyle name="Accent1 207" xfId="0"/>
    <cellStyle name="Accent1 208" xfId="0"/>
    <cellStyle name="Accent1 209" xfId="0"/>
    <cellStyle name="Accent1 21" xfId="0"/>
    <cellStyle name="Accent1 21 2" xfId="0"/>
    <cellStyle name="Accent1 21 2 2" xfId="0"/>
    <cellStyle name="Accent1 21 3" xfId="0"/>
    <cellStyle name="Accent1 210" xfId="0"/>
    <cellStyle name="Accent1 211" xfId="0"/>
    <cellStyle name="Accent1 212" xfId="0"/>
    <cellStyle name="Accent1 213" xfId="0"/>
    <cellStyle name="Accent1 214" xfId="0"/>
    <cellStyle name="Accent1 215" xfId="0"/>
    <cellStyle name="Accent1 216" xfId="0"/>
    <cellStyle name="Accent1 217" xfId="0"/>
    <cellStyle name="Accent1 218" xfId="0"/>
    <cellStyle name="Accent1 219" xfId="0"/>
    <cellStyle name="Accent1 22" xfId="0"/>
    <cellStyle name="Accent1 22 2" xfId="0"/>
    <cellStyle name="Accent1 22 2 2" xfId="0"/>
    <cellStyle name="Accent1 22 3" xfId="0"/>
    <cellStyle name="Accent1 220" xfId="0"/>
    <cellStyle name="Accent1 221" xfId="0"/>
    <cellStyle name="Accent1 222" xfId="0"/>
    <cellStyle name="Accent1 223" xfId="0"/>
    <cellStyle name="Accent1 224" xfId="0"/>
    <cellStyle name="Accent1 225" xfId="0"/>
    <cellStyle name="Accent1 226" xfId="0"/>
    <cellStyle name="Accent1 227" xfId="0"/>
    <cellStyle name="Accent1 228" xfId="0"/>
    <cellStyle name="Accent1 229" xfId="0"/>
    <cellStyle name="Accent1 23" xfId="0"/>
    <cellStyle name="Accent1 23 2" xfId="0"/>
    <cellStyle name="Accent1 23 2 2" xfId="0"/>
    <cellStyle name="Accent1 23 3" xfId="0"/>
    <cellStyle name="Accent1 230" xfId="0"/>
    <cellStyle name="Accent1 231" xfId="0"/>
    <cellStyle name="Accent1 232" xfId="0"/>
    <cellStyle name="Accent1 233" xfId="0"/>
    <cellStyle name="Accent1 234" xfId="0"/>
    <cellStyle name="Accent1 235" xfId="0"/>
    <cellStyle name="Accent1 236" xfId="0"/>
    <cellStyle name="Accent1 237" xfId="0"/>
    <cellStyle name="Accent1 238" xfId="0"/>
    <cellStyle name="Accent1 239" xfId="0"/>
    <cellStyle name="Accent1 24" xfId="0"/>
    <cellStyle name="Accent1 24 2" xfId="0"/>
    <cellStyle name="Accent1 24 2 2" xfId="0"/>
    <cellStyle name="Accent1 240" xfId="0"/>
    <cellStyle name="Accent1 241" xfId="0"/>
    <cellStyle name="Accent1 242" xfId="0"/>
    <cellStyle name="Accent1 243" xfId="0"/>
    <cellStyle name="Accent1 244" xfId="0"/>
    <cellStyle name="Accent1 245" xfId="0"/>
    <cellStyle name="Accent1 246" xfId="0"/>
    <cellStyle name="Accent1 247" xfId="0"/>
    <cellStyle name="Accent1 248" xfId="0"/>
    <cellStyle name="Accent1 249" xfId="0"/>
    <cellStyle name="Accent1 25" xfId="0"/>
    <cellStyle name="Accent1 25 2" xfId="0"/>
    <cellStyle name="Accent1 25 2 2" xfId="0"/>
    <cellStyle name="Accent1 250" xfId="0"/>
    <cellStyle name="Accent1 251" xfId="0"/>
    <cellStyle name="Accent1 252" xfId="0"/>
    <cellStyle name="Accent1 253" xfId="0"/>
    <cellStyle name="Accent1 254" xfId="0"/>
    <cellStyle name="Accent1 255" xfId="0"/>
    <cellStyle name="Accent1 256" xfId="0"/>
    <cellStyle name="Accent1 257" xfId="0"/>
    <cellStyle name="Accent1 258" xfId="0"/>
    <cellStyle name="Accent1 259" xfId="0"/>
    <cellStyle name="Accent1 26" xfId="0"/>
    <cellStyle name="Accent1 26 2" xfId="0"/>
    <cellStyle name="Accent1 26 2 2" xfId="0"/>
    <cellStyle name="Accent1 26 3" xfId="0"/>
    <cellStyle name="Accent1 260" xfId="0"/>
    <cellStyle name="Accent1 261" xfId="0"/>
    <cellStyle name="Accent1 262" xfId="0"/>
    <cellStyle name="Accent1 263" xfId="0"/>
    <cellStyle name="Accent1 264" xfId="0"/>
    <cellStyle name="Accent1 265" xfId="0"/>
    <cellStyle name="Accent1 266" xfId="0"/>
    <cellStyle name="Accent1 267" xfId="0"/>
    <cellStyle name="Accent1 268" xfId="0"/>
    <cellStyle name="Accent1 269" xfId="0"/>
    <cellStyle name="Accent1 27" xfId="0"/>
    <cellStyle name="Accent1 27 2" xfId="0"/>
    <cellStyle name="Accent1 27 2 2" xfId="0"/>
    <cellStyle name="Accent1 27 3" xfId="0"/>
    <cellStyle name="Accent1 270" xfId="0"/>
    <cellStyle name="Accent1 271" xfId="0"/>
    <cellStyle name="Accent1 272" xfId="0"/>
    <cellStyle name="Accent1 273" xfId="0"/>
    <cellStyle name="Accent1 274" xfId="0"/>
    <cellStyle name="Accent1 275" xfId="0"/>
    <cellStyle name="Accent1 28" xfId="0"/>
    <cellStyle name="Accent1 28 2" xfId="0"/>
    <cellStyle name="Accent1 28 2 2" xfId="0"/>
    <cellStyle name="Accent1 28 3" xfId="0"/>
    <cellStyle name="Accent1 29" xfId="0"/>
    <cellStyle name="Accent1 29 2" xfId="0"/>
    <cellStyle name="Accent1 29 2 2" xfId="0"/>
    <cellStyle name="Accent1 29 3" xfId="0"/>
    <cellStyle name="Accent1 2_Market Fresh Cost" xfId="0"/>
    <cellStyle name="Accent1 3" xfId="0"/>
    <cellStyle name="Accent1 3 2" xfId="0"/>
    <cellStyle name="Accent1 3 2 2" xfId="0"/>
    <cellStyle name="Accent1 3 2 3" xfId="0"/>
    <cellStyle name="Accent1 3 3" xfId="0"/>
    <cellStyle name="Accent1 3 3 2" xfId="0"/>
    <cellStyle name="Accent1 3 3 3" xfId="0"/>
    <cellStyle name="Accent1 3 4" xfId="0"/>
    <cellStyle name="Accent1 3 4 2" xfId="0"/>
    <cellStyle name="Accent1 3 5" xfId="0"/>
    <cellStyle name="Accent1 3 5 2" xfId="0"/>
    <cellStyle name="Accent1 3 6" xfId="0"/>
    <cellStyle name="Accent1 3 7" xfId="0"/>
    <cellStyle name="Accent1 3 8" xfId="0"/>
    <cellStyle name="Accent1 3 9" xfId="0"/>
    <cellStyle name="Accent1 30" xfId="0"/>
    <cellStyle name="Accent1 30 2" xfId="0"/>
    <cellStyle name="Accent1 30 2 2" xfId="0"/>
    <cellStyle name="Accent1 30 3" xfId="0"/>
    <cellStyle name="Accent1 31" xfId="0"/>
    <cellStyle name="Accent1 31 2" xfId="0"/>
    <cellStyle name="Accent1 31 2 2" xfId="0"/>
    <cellStyle name="Accent1 31 3" xfId="0"/>
    <cellStyle name="Accent1 32" xfId="0"/>
    <cellStyle name="Accent1 32 2" xfId="0"/>
    <cellStyle name="Accent1 32 2 2" xfId="0"/>
    <cellStyle name="Accent1 32 3" xfId="0"/>
    <cellStyle name="Accent1 33" xfId="0"/>
    <cellStyle name="Accent1 33 2" xfId="0"/>
    <cellStyle name="Accent1 33 2 2" xfId="0"/>
    <cellStyle name="Accent1 33 3" xfId="0"/>
    <cellStyle name="Accent1 34" xfId="0"/>
    <cellStyle name="Accent1 34 2" xfId="0"/>
    <cellStyle name="Accent1 34 2 2" xfId="0"/>
    <cellStyle name="Accent1 34 3" xfId="0"/>
    <cellStyle name="Accent1 35" xfId="0"/>
    <cellStyle name="Accent1 35 2" xfId="0"/>
    <cellStyle name="Accent1 35 2 2" xfId="0"/>
    <cellStyle name="Accent1 35 3" xfId="0"/>
    <cellStyle name="Accent1 36" xfId="0"/>
    <cellStyle name="Accent1 36 2" xfId="0"/>
    <cellStyle name="Accent1 36 3" xfId="0"/>
    <cellStyle name="Accent1 37" xfId="0"/>
    <cellStyle name="Accent1 37 2" xfId="0"/>
    <cellStyle name="Accent1 37 3" xfId="0"/>
    <cellStyle name="Accent1 38" xfId="0"/>
    <cellStyle name="Accent1 38 2" xfId="0"/>
    <cellStyle name="Accent1 38 3" xfId="0"/>
    <cellStyle name="Accent1 39" xfId="0"/>
    <cellStyle name="Accent1 39 2" xfId="0"/>
    <cellStyle name="Accent1 39 3" xfId="0"/>
    <cellStyle name="Accent1 3_Profitability Detail NT$ Sep-12" xfId="0"/>
    <cellStyle name="Accent1 4" xfId="0"/>
    <cellStyle name="Accent1 4 2" xfId="0"/>
    <cellStyle name="Accent1 4 2 2" xfId="0"/>
    <cellStyle name="Accent1 4 2 3" xfId="0"/>
    <cellStyle name="Accent1 4 3" xfId="0"/>
    <cellStyle name="Accent1 4 3 2" xfId="0"/>
    <cellStyle name="Accent1 4 3 3" xfId="0"/>
    <cellStyle name="Accent1 4 4" xfId="0"/>
    <cellStyle name="Accent1 4 4 2" xfId="0"/>
    <cellStyle name="Accent1 4 5" xfId="0"/>
    <cellStyle name="Accent1 4 5 2" xfId="0"/>
    <cellStyle name="Accent1 4 6" xfId="0"/>
    <cellStyle name="Accent1 4 7" xfId="0"/>
    <cellStyle name="Accent1 4 8" xfId="0"/>
    <cellStyle name="Accent1 4 9" xfId="0"/>
    <cellStyle name="Accent1 40" xfId="0"/>
    <cellStyle name="Accent1 40 2" xfId="0"/>
    <cellStyle name="Accent1 40 3" xfId="0"/>
    <cellStyle name="Accent1 41" xfId="0"/>
    <cellStyle name="Accent1 41 2" xfId="0"/>
    <cellStyle name="Accent1 41 3" xfId="0"/>
    <cellStyle name="Accent1 42" xfId="0"/>
    <cellStyle name="Accent1 42 2" xfId="0"/>
    <cellStyle name="Accent1 42 3" xfId="0"/>
    <cellStyle name="Accent1 43" xfId="0"/>
    <cellStyle name="Accent1 43 2" xfId="0"/>
    <cellStyle name="Accent1 43 3" xfId="0"/>
    <cellStyle name="Accent1 44" xfId="0"/>
    <cellStyle name="Accent1 44 2" xfId="0"/>
    <cellStyle name="Accent1 45" xfId="0"/>
    <cellStyle name="Accent1 45 2" xfId="0"/>
    <cellStyle name="Accent1 46" xfId="0"/>
    <cellStyle name="Accent1 46 2" xfId="0"/>
    <cellStyle name="Accent1 47" xfId="0"/>
    <cellStyle name="Accent1 47 2" xfId="0"/>
    <cellStyle name="Accent1 48" xfId="0"/>
    <cellStyle name="Accent1 48 2" xfId="0"/>
    <cellStyle name="Accent1 49" xfId="0"/>
    <cellStyle name="Accent1 49 2" xfId="0"/>
    <cellStyle name="Accent1 4_Profitability Detail NT$ Sep-12" xfId="0"/>
    <cellStyle name="Accent1 5" xfId="0"/>
    <cellStyle name="Accent1 5 2" xfId="0"/>
    <cellStyle name="Accent1 5 3" xfId="0"/>
    <cellStyle name="Accent1 5 3 2" xfId="0"/>
    <cellStyle name="Accent1 5 4" xfId="0"/>
    <cellStyle name="Accent1 5 5" xfId="0"/>
    <cellStyle name="Accent1 50" xfId="0"/>
    <cellStyle name="Accent1 50 2" xfId="0"/>
    <cellStyle name="Accent1 51" xfId="0"/>
    <cellStyle name="Accent1 51 2" xfId="0"/>
    <cellStyle name="Accent1 52" xfId="0"/>
    <cellStyle name="Accent1 52 2" xfId="0"/>
    <cellStyle name="Accent1 53" xfId="0"/>
    <cellStyle name="Accent1 53 2" xfId="0"/>
    <cellStyle name="Accent1 54" xfId="0"/>
    <cellStyle name="Accent1 54 2" xfId="0"/>
    <cellStyle name="Accent1 55" xfId="0"/>
    <cellStyle name="Accent1 56" xfId="0"/>
    <cellStyle name="Accent1 56 2" xfId="0"/>
    <cellStyle name="Accent1 57" xfId="0"/>
    <cellStyle name="Accent1 57 2" xfId="0"/>
    <cellStyle name="Accent1 58" xfId="0"/>
    <cellStyle name="Accent1 58 2" xfId="0"/>
    <cellStyle name="Accent1 59" xfId="0"/>
    <cellStyle name="Accent1 59 2" xfId="0"/>
    <cellStyle name="Accent1 6" xfId="0"/>
    <cellStyle name="Accent1 6 2" xfId="0"/>
    <cellStyle name="Accent1 6 3" xfId="0"/>
    <cellStyle name="Accent1 6 3 2" xfId="0"/>
    <cellStyle name="Accent1 6 4" xfId="0"/>
    <cellStyle name="Accent1 6 5" xfId="0"/>
    <cellStyle name="Accent1 60" xfId="0"/>
    <cellStyle name="Accent1 60 2" xfId="0"/>
    <cellStyle name="Accent1 61" xfId="0"/>
    <cellStyle name="Accent1 61 2" xfId="0"/>
    <cellStyle name="Accent1 62" xfId="0"/>
    <cellStyle name="Accent1 62 2" xfId="0"/>
    <cellStyle name="Accent1 63" xfId="0"/>
    <cellStyle name="Accent1 63 2" xfId="0"/>
    <cellStyle name="Accent1 64" xfId="0"/>
    <cellStyle name="Accent1 64 2" xfId="0"/>
    <cellStyle name="Accent1 65" xfId="0"/>
    <cellStyle name="Accent1 65 2" xfId="0"/>
    <cellStyle name="Accent1 66" xfId="0"/>
    <cellStyle name="Accent1 66 2" xfId="0"/>
    <cellStyle name="Accent1 67" xfId="0"/>
    <cellStyle name="Accent1 67 2" xfId="0"/>
    <cellStyle name="Accent1 68" xfId="0"/>
    <cellStyle name="Accent1 68 2" xfId="0"/>
    <cellStyle name="Accent1 69" xfId="0"/>
    <cellStyle name="Accent1 69 2" xfId="0"/>
    <cellStyle name="Accent1 7" xfId="0"/>
    <cellStyle name="Accent1 7 2" xfId="0"/>
    <cellStyle name="Accent1 7 3" xfId="0"/>
    <cellStyle name="Accent1 7 3 2" xfId="0"/>
    <cellStyle name="Accent1 7 4" xfId="0"/>
    <cellStyle name="Accent1 7 5" xfId="0"/>
    <cellStyle name="Accent1 70" xfId="0"/>
    <cellStyle name="Accent1 70 2" xfId="0"/>
    <cellStyle name="Accent1 71" xfId="0"/>
    <cellStyle name="Accent1 71 2" xfId="0"/>
    <cellStyle name="Accent1 72" xfId="0"/>
    <cellStyle name="Accent1 72 2" xfId="0"/>
    <cellStyle name="Accent1 73" xfId="0"/>
    <cellStyle name="Accent1 74" xfId="0"/>
    <cellStyle name="Accent1 75" xfId="0"/>
    <cellStyle name="Accent1 76" xfId="0"/>
    <cellStyle name="Accent1 77" xfId="0"/>
    <cellStyle name="Accent1 78" xfId="0"/>
    <cellStyle name="Accent1 79" xfId="0"/>
    <cellStyle name="Accent1 8" xfId="0"/>
    <cellStyle name="Accent1 8 2" xfId="0"/>
    <cellStyle name="Accent1 8 3" xfId="0"/>
    <cellStyle name="Accent1 8 3 2" xfId="0"/>
    <cellStyle name="Accent1 8 4" xfId="0"/>
    <cellStyle name="Accent1 8 5" xfId="0"/>
    <cellStyle name="Accent1 80" xfId="0"/>
    <cellStyle name="Accent1 81" xfId="0"/>
    <cellStyle name="Accent1 82" xfId="0"/>
    <cellStyle name="Accent1 83" xfId="0"/>
    <cellStyle name="Accent1 84" xfId="0"/>
    <cellStyle name="Accent1 85" xfId="0"/>
    <cellStyle name="Accent1 86" xfId="0"/>
    <cellStyle name="Accent1 87" xfId="0"/>
    <cellStyle name="Accent1 88" xfId="0"/>
    <cellStyle name="Accent1 89" xfId="0"/>
    <cellStyle name="Accent1 9" xfId="0"/>
    <cellStyle name="Accent1 9 2" xfId="0"/>
    <cellStyle name="Accent1 9 2 2" xfId="0"/>
    <cellStyle name="Accent1 9 3" xfId="0"/>
    <cellStyle name="Accent1 9 4" xfId="0"/>
    <cellStyle name="Accent1 90" xfId="0"/>
    <cellStyle name="Accent1 91" xfId="0"/>
    <cellStyle name="Accent1 92" xfId="0"/>
    <cellStyle name="Accent1 93" xfId="0"/>
    <cellStyle name="Accent1 94" xfId="0"/>
    <cellStyle name="Accent1 95" xfId="0"/>
    <cellStyle name="Accent1 96" xfId="0"/>
    <cellStyle name="Accent1 97" xfId="0"/>
    <cellStyle name="Accent1 98" xfId="0"/>
    <cellStyle name="Accent1 99" xfId="0"/>
    <cellStyle name="Accent1_13-wk VSA_Revised" xfId="0"/>
    <cellStyle name="Accent2" xfId="0"/>
    <cellStyle name="Accent2 - 20%" xfId="0"/>
    <cellStyle name="Accent2 - 20% 2" xfId="0"/>
    <cellStyle name="Accent2 - 20% 2 2" xfId="0"/>
    <cellStyle name="Accent2 - 20% 2_Market Fresh Cost" xfId="0"/>
    <cellStyle name="Accent2 - 20% 3" xfId="0"/>
    <cellStyle name="Accent2 - 20% 3 2" xfId="0"/>
    <cellStyle name="Accent2 - 20% 4" xfId="0"/>
    <cellStyle name="Accent2 - 20% 5" xfId="0"/>
    <cellStyle name="Accent2 - 20% 6" xfId="0"/>
    <cellStyle name="Accent2 - 20% 7" xfId="0"/>
    <cellStyle name="Accent2 - 20%_Market Fresh Cost" xfId="0"/>
    <cellStyle name="Accent2 - 40%" xfId="0"/>
    <cellStyle name="Accent2 - 40% 2" xfId="0"/>
    <cellStyle name="Accent2 - 40% 2 2" xfId="0"/>
    <cellStyle name="Accent2 - 40% 2_Market Fresh Cost" xfId="0"/>
    <cellStyle name="Accent2 - 40% 3" xfId="0"/>
    <cellStyle name="Accent2 - 40% 3 2" xfId="0"/>
    <cellStyle name="Accent2 - 40% 4" xfId="0"/>
    <cellStyle name="Accent2 - 40% 5" xfId="0"/>
    <cellStyle name="Accent2 - 40% 6" xfId="0"/>
    <cellStyle name="Accent2 - 40% 7" xfId="0"/>
    <cellStyle name="Accent2 - 40%_Market Fresh Cost" xfId="0"/>
    <cellStyle name="Accent2 - 60%" xfId="0"/>
    <cellStyle name="Accent2 - 60% 2" xfId="0"/>
    <cellStyle name="Accent2 - 60% 2 2" xfId="0"/>
    <cellStyle name="Accent2 - 60% 2_Market Fresh Cost" xfId="0"/>
    <cellStyle name="Accent2 - 60% 3" xfId="0"/>
    <cellStyle name="Accent2 - 60% 3 2" xfId="0"/>
    <cellStyle name="Accent2 - 60% 4" xfId="0"/>
    <cellStyle name="Accent2 - 60% 5" xfId="0"/>
    <cellStyle name="Accent2 - 60% 6" xfId="0"/>
    <cellStyle name="Accent2 - 60% 7" xfId="0"/>
    <cellStyle name="Accent2 - 60% 8" xfId="0"/>
    <cellStyle name="Accent2 - 60%_LCD" xfId="0"/>
    <cellStyle name="Accent2 10" xfId="0"/>
    <cellStyle name="Accent2 10 2" xfId="0"/>
    <cellStyle name="Accent2 10 2 2" xfId="0"/>
    <cellStyle name="Accent2 10 3" xfId="0"/>
    <cellStyle name="Accent2 10 4" xfId="0"/>
    <cellStyle name="Accent2 100" xfId="0"/>
    <cellStyle name="Accent2 101" xfId="0"/>
    <cellStyle name="Accent2 102" xfId="0"/>
    <cellStyle name="Accent2 103" xfId="0"/>
    <cellStyle name="Accent2 104" xfId="0"/>
    <cellStyle name="Accent2 105" xfId="0"/>
    <cellStyle name="Accent2 106" xfId="0"/>
    <cellStyle name="Accent2 107" xfId="0"/>
    <cellStyle name="Accent2 108" xfId="0"/>
    <cellStyle name="Accent2 109" xfId="0"/>
    <cellStyle name="Accent2 11" xfId="0"/>
    <cellStyle name="Accent2 11 2" xfId="0"/>
    <cellStyle name="Accent2 11 2 2" xfId="0"/>
    <cellStyle name="Accent2 11 3" xfId="0"/>
    <cellStyle name="Accent2 11 4" xfId="0"/>
    <cellStyle name="Accent2 110" xfId="0"/>
    <cellStyle name="Accent2 111" xfId="0"/>
    <cellStyle name="Accent2 112" xfId="0"/>
    <cellStyle name="Accent2 113" xfId="0"/>
    <cellStyle name="Accent2 114" xfId="0"/>
    <cellStyle name="Accent2 115" xfId="0"/>
    <cellStyle name="Accent2 116" xfId="0"/>
    <cellStyle name="Accent2 117" xfId="0"/>
    <cellStyle name="Accent2 118" xfId="0"/>
    <cellStyle name="Accent2 119" xfId="0"/>
    <cellStyle name="Accent2 12" xfId="0"/>
    <cellStyle name="Accent2 12 2" xfId="0"/>
    <cellStyle name="Accent2 12 2 2" xfId="0"/>
    <cellStyle name="Accent2 12 3" xfId="0"/>
    <cellStyle name="Accent2 12 4" xfId="0"/>
    <cellStyle name="Accent2 120" xfId="0"/>
    <cellStyle name="Accent2 121" xfId="0"/>
    <cellStyle name="Accent2 122" xfId="0"/>
    <cellStyle name="Accent2 123" xfId="0"/>
    <cellStyle name="Accent2 124" xfId="0"/>
    <cellStyle name="Accent2 125" xfId="0"/>
    <cellStyle name="Accent2 126" xfId="0"/>
    <cellStyle name="Accent2 127" xfId="0"/>
    <cellStyle name="Accent2 128" xfId="0"/>
    <cellStyle name="Accent2 129" xfId="0"/>
    <cellStyle name="Accent2 13" xfId="0"/>
    <cellStyle name="Accent2 13 2" xfId="0"/>
    <cellStyle name="Accent2 13 2 2" xfId="0"/>
    <cellStyle name="Accent2 13 3" xfId="0"/>
    <cellStyle name="Accent2 13 4" xfId="0"/>
    <cellStyle name="Accent2 130" xfId="0"/>
    <cellStyle name="Accent2 131" xfId="0"/>
    <cellStyle name="Accent2 132" xfId="0"/>
    <cellStyle name="Accent2 133" xfId="0"/>
    <cellStyle name="Accent2 134" xfId="0"/>
    <cellStyle name="Accent2 135" xfId="0"/>
    <cellStyle name="Accent2 136" xfId="0"/>
    <cellStyle name="Accent2 137" xfId="0"/>
    <cellStyle name="Accent2 138" xfId="0"/>
    <cellStyle name="Accent2 139" xfId="0"/>
    <cellStyle name="Accent2 14" xfId="0"/>
    <cellStyle name="Accent2 14 2" xfId="0"/>
    <cellStyle name="Accent2 14 2 2" xfId="0"/>
    <cellStyle name="Accent2 14 3" xfId="0"/>
    <cellStyle name="Accent2 14 4" xfId="0"/>
    <cellStyle name="Accent2 140" xfId="0"/>
    <cellStyle name="Accent2 141" xfId="0"/>
    <cellStyle name="Accent2 142" xfId="0"/>
    <cellStyle name="Accent2 143" xfId="0"/>
    <cellStyle name="Accent2 144" xfId="0"/>
    <cellStyle name="Accent2 145" xfId="0"/>
    <cellStyle name="Accent2 146" xfId="0"/>
    <cellStyle name="Accent2 147" xfId="0"/>
    <cellStyle name="Accent2 148" xfId="0"/>
    <cellStyle name="Accent2 149" xfId="0"/>
    <cellStyle name="Accent2 15" xfId="0"/>
    <cellStyle name="Accent2 15 2" xfId="0"/>
    <cellStyle name="Accent2 15 2 2" xfId="0"/>
    <cellStyle name="Accent2 15 3" xfId="0"/>
    <cellStyle name="Accent2 15 4" xfId="0"/>
    <cellStyle name="Accent2 150" xfId="0"/>
    <cellStyle name="Accent2 151" xfId="0"/>
    <cellStyle name="Accent2 152" xfId="0"/>
    <cellStyle name="Accent2 153" xfId="0"/>
    <cellStyle name="Accent2 154" xfId="0"/>
    <cellStyle name="Accent2 155" xfId="0"/>
    <cellStyle name="Accent2 156" xfId="0"/>
    <cellStyle name="Accent2 157" xfId="0"/>
    <cellStyle name="Accent2 158" xfId="0"/>
    <cellStyle name="Accent2 159" xfId="0"/>
    <cellStyle name="Accent2 16" xfId="0"/>
    <cellStyle name="Accent2 16 2" xfId="0"/>
    <cellStyle name="Accent2 16 2 2" xfId="0"/>
    <cellStyle name="Accent2 16 3" xfId="0"/>
    <cellStyle name="Accent2 16 4" xfId="0"/>
    <cellStyle name="Accent2 160" xfId="0"/>
    <cellStyle name="Accent2 161" xfId="0"/>
    <cellStyle name="Accent2 162" xfId="0"/>
    <cellStyle name="Accent2 163" xfId="0"/>
    <cellStyle name="Accent2 164" xfId="0"/>
    <cellStyle name="Accent2 165" xfId="0"/>
    <cellStyle name="Accent2 166" xfId="0"/>
    <cellStyle name="Accent2 167" xfId="0"/>
    <cellStyle name="Accent2 168" xfId="0"/>
    <cellStyle name="Accent2 169" xfId="0"/>
    <cellStyle name="Accent2 17" xfId="0"/>
    <cellStyle name="Accent2 17 2" xfId="0"/>
    <cellStyle name="Accent2 17 2 2" xfId="0"/>
    <cellStyle name="Accent2 17 3" xfId="0"/>
    <cellStyle name="Accent2 17 4" xfId="0"/>
    <cellStyle name="Accent2 170" xfId="0"/>
    <cellStyle name="Accent2 171" xfId="0"/>
    <cellStyle name="Accent2 172" xfId="0"/>
    <cellStyle name="Accent2 173" xfId="0"/>
    <cellStyle name="Accent2 174" xfId="0"/>
    <cellStyle name="Accent2 175" xfId="0"/>
    <cellStyle name="Accent2 176" xfId="0"/>
    <cellStyle name="Accent2 177" xfId="0"/>
    <cellStyle name="Accent2 178" xfId="0"/>
    <cellStyle name="Accent2 179" xfId="0"/>
    <cellStyle name="Accent2 18" xfId="0"/>
    <cellStyle name="Accent2 18 2" xfId="0"/>
    <cellStyle name="Accent2 18 2 2" xfId="0"/>
    <cellStyle name="Accent2 18 3" xfId="0"/>
    <cellStyle name="Accent2 18 4" xfId="0"/>
    <cellStyle name="Accent2 180" xfId="0"/>
    <cellStyle name="Accent2 181" xfId="0"/>
    <cellStyle name="Accent2 182" xfId="0"/>
    <cellStyle name="Accent2 183" xfId="0"/>
    <cellStyle name="Accent2 184" xfId="0"/>
    <cellStyle name="Accent2 185" xfId="0"/>
    <cellStyle name="Accent2 186" xfId="0"/>
    <cellStyle name="Accent2 187" xfId="0"/>
    <cellStyle name="Accent2 188" xfId="0"/>
    <cellStyle name="Accent2 189" xfId="0"/>
    <cellStyle name="Accent2 19" xfId="0"/>
    <cellStyle name="Accent2 19 2" xfId="0"/>
    <cellStyle name="Accent2 19 2 2" xfId="0"/>
    <cellStyle name="Accent2 19 3" xfId="0"/>
    <cellStyle name="Accent2 19 4" xfId="0"/>
    <cellStyle name="Accent2 190" xfId="0"/>
    <cellStyle name="Accent2 191" xfId="0"/>
    <cellStyle name="Accent2 192" xfId="0"/>
    <cellStyle name="Accent2 193" xfId="0"/>
    <cellStyle name="Accent2 194" xfId="0"/>
    <cellStyle name="Accent2 195" xfId="0"/>
    <cellStyle name="Accent2 196" xfId="0"/>
    <cellStyle name="Accent2 197" xfId="0"/>
    <cellStyle name="Accent2 198" xfId="0"/>
    <cellStyle name="Accent2 199" xfId="0"/>
    <cellStyle name="Accent2 2" xfId="0"/>
    <cellStyle name="Accent2 2 2" xfId="0"/>
    <cellStyle name="Accent2 2 2 2" xfId="0"/>
    <cellStyle name="Accent2 2 2 2 2" xfId="0"/>
    <cellStyle name="Accent2 2 2 3" xfId="0"/>
    <cellStyle name="Accent2 2 3" xfId="0"/>
    <cellStyle name="Accent2 2 3 2" xfId="0"/>
    <cellStyle name="Accent2 2 3 3" xfId="0"/>
    <cellStyle name="Accent2 2 4" xfId="0"/>
    <cellStyle name="Accent2 2 4 2" xfId="0"/>
    <cellStyle name="Accent2 2 5" xfId="0"/>
    <cellStyle name="Accent2 2 5 2" xfId="0"/>
    <cellStyle name="Accent2 2 6" xfId="0"/>
    <cellStyle name="Accent2 2 7" xfId="0"/>
    <cellStyle name="Accent2 2 8" xfId="0"/>
    <cellStyle name="Accent2 20" xfId="0"/>
    <cellStyle name="Accent2 20 2" xfId="0"/>
    <cellStyle name="Accent2 20 2 2" xfId="0"/>
    <cellStyle name="Accent2 20 3" xfId="0"/>
    <cellStyle name="Accent2 20 4" xfId="0"/>
    <cellStyle name="Accent2 200" xfId="0"/>
    <cellStyle name="Accent2 201" xfId="0"/>
    <cellStyle name="Accent2 202" xfId="0"/>
    <cellStyle name="Accent2 203" xfId="0"/>
    <cellStyle name="Accent2 204" xfId="0"/>
    <cellStyle name="Accent2 205" xfId="0"/>
    <cellStyle name="Accent2 206" xfId="0"/>
    <cellStyle name="Accent2 207" xfId="0"/>
    <cellStyle name="Accent2 208" xfId="0"/>
    <cellStyle name="Accent2 209" xfId="0"/>
    <cellStyle name="Accent2 21" xfId="0"/>
    <cellStyle name="Accent2 21 2" xfId="0"/>
    <cellStyle name="Accent2 21 2 2" xfId="0"/>
    <cellStyle name="Accent2 21 3" xfId="0"/>
    <cellStyle name="Accent2 210" xfId="0"/>
    <cellStyle name="Accent2 211" xfId="0"/>
    <cellStyle name="Accent2 212" xfId="0"/>
    <cellStyle name="Accent2 213" xfId="0"/>
    <cellStyle name="Accent2 214" xfId="0"/>
    <cellStyle name="Accent2 215" xfId="0"/>
    <cellStyle name="Accent2 216" xfId="0"/>
    <cellStyle name="Accent2 217" xfId="0"/>
    <cellStyle name="Accent2 218" xfId="0"/>
    <cellStyle name="Accent2 219" xfId="0"/>
    <cellStyle name="Accent2 22" xfId="0"/>
    <cellStyle name="Accent2 22 2" xfId="0"/>
    <cellStyle name="Accent2 22 2 2" xfId="0"/>
    <cellStyle name="Accent2 22 3" xfId="0"/>
    <cellStyle name="Accent2 220" xfId="0"/>
    <cellStyle name="Accent2 221" xfId="0"/>
    <cellStyle name="Accent2 222" xfId="0"/>
    <cellStyle name="Accent2 223" xfId="0"/>
    <cellStyle name="Accent2 224" xfId="0"/>
    <cellStyle name="Accent2 225" xfId="0"/>
    <cellStyle name="Accent2 226" xfId="0"/>
    <cellStyle name="Accent2 227" xfId="0"/>
    <cellStyle name="Accent2 228" xfId="0"/>
    <cellStyle name="Accent2 229" xfId="0"/>
    <cellStyle name="Accent2 23" xfId="0"/>
    <cellStyle name="Accent2 23 2" xfId="0"/>
    <cellStyle name="Accent2 23 2 2" xfId="0"/>
    <cellStyle name="Accent2 23 3" xfId="0"/>
    <cellStyle name="Accent2 230" xfId="0"/>
    <cellStyle name="Accent2 231" xfId="0"/>
    <cellStyle name="Accent2 232" xfId="0"/>
    <cellStyle name="Accent2 233" xfId="0"/>
    <cellStyle name="Accent2 234" xfId="0"/>
    <cellStyle name="Accent2 235" xfId="0"/>
    <cellStyle name="Accent2 236" xfId="0"/>
    <cellStyle name="Accent2 237" xfId="0"/>
    <cellStyle name="Accent2 238" xfId="0"/>
    <cellStyle name="Accent2 239" xfId="0"/>
    <cellStyle name="Accent2 24" xfId="0"/>
    <cellStyle name="Accent2 24 2" xfId="0"/>
    <cellStyle name="Accent2 24 2 2" xfId="0"/>
    <cellStyle name="Accent2 240" xfId="0"/>
    <cellStyle name="Accent2 241" xfId="0"/>
    <cellStyle name="Accent2 242" xfId="0"/>
    <cellStyle name="Accent2 243" xfId="0"/>
    <cellStyle name="Accent2 244" xfId="0"/>
    <cellStyle name="Accent2 245" xfId="0"/>
    <cellStyle name="Accent2 246" xfId="0"/>
    <cellStyle name="Accent2 247" xfId="0"/>
    <cellStyle name="Accent2 248" xfId="0"/>
    <cellStyle name="Accent2 249" xfId="0"/>
    <cellStyle name="Accent2 25" xfId="0"/>
    <cellStyle name="Accent2 25 2" xfId="0"/>
    <cellStyle name="Accent2 25 2 2" xfId="0"/>
    <cellStyle name="Accent2 250" xfId="0"/>
    <cellStyle name="Accent2 251" xfId="0"/>
    <cellStyle name="Accent2 252" xfId="0"/>
    <cellStyle name="Accent2 253" xfId="0"/>
    <cellStyle name="Accent2 254" xfId="0"/>
    <cellStyle name="Accent2 255" xfId="0"/>
    <cellStyle name="Accent2 256" xfId="0"/>
    <cellStyle name="Accent2 257" xfId="0"/>
    <cellStyle name="Accent2 258" xfId="0"/>
    <cellStyle name="Accent2 259" xfId="0"/>
    <cellStyle name="Accent2 26" xfId="0"/>
    <cellStyle name="Accent2 26 2" xfId="0"/>
    <cellStyle name="Accent2 26 2 2" xfId="0"/>
    <cellStyle name="Accent2 26 3" xfId="0"/>
    <cellStyle name="Accent2 260" xfId="0"/>
    <cellStyle name="Accent2 261" xfId="0"/>
    <cellStyle name="Accent2 262" xfId="0"/>
    <cellStyle name="Accent2 263" xfId="0"/>
    <cellStyle name="Accent2 264" xfId="0"/>
    <cellStyle name="Accent2 265" xfId="0"/>
    <cellStyle name="Accent2 266" xfId="0"/>
    <cellStyle name="Accent2 267" xfId="0"/>
    <cellStyle name="Accent2 268" xfId="0"/>
    <cellStyle name="Accent2 269" xfId="0"/>
    <cellStyle name="Accent2 27" xfId="0"/>
    <cellStyle name="Accent2 27 2" xfId="0"/>
    <cellStyle name="Accent2 27 2 2" xfId="0"/>
    <cellStyle name="Accent2 27 3" xfId="0"/>
    <cellStyle name="Accent2 270" xfId="0"/>
    <cellStyle name="Accent2 271" xfId="0"/>
    <cellStyle name="Accent2 272" xfId="0"/>
    <cellStyle name="Accent2 273" xfId="0"/>
    <cellStyle name="Accent2 274" xfId="0"/>
    <cellStyle name="Accent2 275" xfId="0"/>
    <cellStyle name="Accent2 28" xfId="0"/>
    <cellStyle name="Accent2 28 2" xfId="0"/>
    <cellStyle name="Accent2 28 2 2" xfId="0"/>
    <cellStyle name="Accent2 28 3" xfId="0"/>
    <cellStyle name="Accent2 29" xfId="0"/>
    <cellStyle name="Accent2 29 2" xfId="0"/>
    <cellStyle name="Accent2 29 2 2" xfId="0"/>
    <cellStyle name="Accent2 29 3" xfId="0"/>
    <cellStyle name="Accent2 2_Market Fresh Cost" xfId="0"/>
    <cellStyle name="Accent2 3" xfId="0"/>
    <cellStyle name="Accent2 3 2" xfId="0"/>
    <cellStyle name="Accent2 3 2 2" xfId="0"/>
    <cellStyle name="Accent2 3 2 3" xfId="0"/>
    <cellStyle name="Accent2 3 3" xfId="0"/>
    <cellStyle name="Accent2 3 3 2" xfId="0"/>
    <cellStyle name="Accent2 3 3 3" xfId="0"/>
    <cellStyle name="Accent2 3 4" xfId="0"/>
    <cellStyle name="Accent2 3 4 2" xfId="0"/>
    <cellStyle name="Accent2 3 5" xfId="0"/>
    <cellStyle name="Accent2 3 5 2" xfId="0"/>
    <cellStyle name="Accent2 3 6" xfId="0"/>
    <cellStyle name="Accent2 3 7" xfId="0"/>
    <cellStyle name="Accent2 3 8" xfId="0"/>
    <cellStyle name="Accent2 30" xfId="0"/>
    <cellStyle name="Accent2 30 2" xfId="0"/>
    <cellStyle name="Accent2 30 2 2" xfId="0"/>
    <cellStyle name="Accent2 30 3" xfId="0"/>
    <cellStyle name="Accent2 31" xfId="0"/>
    <cellStyle name="Accent2 31 2" xfId="0"/>
    <cellStyle name="Accent2 31 2 2" xfId="0"/>
    <cellStyle name="Accent2 31 3" xfId="0"/>
    <cellStyle name="Accent2 32" xfId="0"/>
    <cellStyle name="Accent2 32 2" xfId="0"/>
    <cellStyle name="Accent2 32 2 2" xfId="0"/>
    <cellStyle name="Accent2 32 3" xfId="0"/>
    <cellStyle name="Accent2 33" xfId="0"/>
    <cellStyle name="Accent2 33 2" xfId="0"/>
    <cellStyle name="Accent2 33 2 2" xfId="0"/>
    <cellStyle name="Accent2 33 3" xfId="0"/>
    <cellStyle name="Accent2 34" xfId="0"/>
    <cellStyle name="Accent2 34 2" xfId="0"/>
    <cellStyle name="Accent2 34 2 2" xfId="0"/>
    <cellStyle name="Accent2 34 3" xfId="0"/>
    <cellStyle name="Accent2 35" xfId="0"/>
    <cellStyle name="Accent2 35 2" xfId="0"/>
    <cellStyle name="Accent2 35 2 2" xfId="0"/>
    <cellStyle name="Accent2 35 3" xfId="0"/>
    <cellStyle name="Accent2 36" xfId="0"/>
    <cellStyle name="Accent2 36 2" xfId="0"/>
    <cellStyle name="Accent2 36 3" xfId="0"/>
    <cellStyle name="Accent2 37" xfId="0"/>
    <cellStyle name="Accent2 37 2" xfId="0"/>
    <cellStyle name="Accent2 37 3" xfId="0"/>
    <cellStyle name="Accent2 38" xfId="0"/>
    <cellStyle name="Accent2 38 2" xfId="0"/>
    <cellStyle name="Accent2 38 3" xfId="0"/>
    <cellStyle name="Accent2 39" xfId="0"/>
    <cellStyle name="Accent2 39 2" xfId="0"/>
    <cellStyle name="Accent2 39 3" xfId="0"/>
    <cellStyle name="Accent2 3_Profitability Detail NT$ Sep-12" xfId="0"/>
    <cellStyle name="Accent2 4" xfId="0"/>
    <cellStyle name="Accent2 4 2" xfId="0"/>
    <cellStyle name="Accent2 4 2 2" xfId="0"/>
    <cellStyle name="Accent2 4 2 3" xfId="0"/>
    <cellStyle name="Accent2 4 3" xfId="0"/>
    <cellStyle name="Accent2 4 3 2" xfId="0"/>
    <cellStyle name="Accent2 4 3 3" xfId="0"/>
    <cellStyle name="Accent2 4 4" xfId="0"/>
    <cellStyle name="Accent2 4 4 2" xfId="0"/>
    <cellStyle name="Accent2 4 5" xfId="0"/>
    <cellStyle name="Accent2 4 5 2" xfId="0"/>
    <cellStyle name="Accent2 4 6" xfId="0"/>
    <cellStyle name="Accent2 4 7" xfId="0"/>
    <cellStyle name="Accent2 4 8" xfId="0"/>
    <cellStyle name="Accent2 40" xfId="0"/>
    <cellStyle name="Accent2 40 2" xfId="0"/>
    <cellStyle name="Accent2 40 3" xfId="0"/>
    <cellStyle name="Accent2 41" xfId="0"/>
    <cellStyle name="Accent2 41 2" xfId="0"/>
    <cellStyle name="Accent2 41 3" xfId="0"/>
    <cellStyle name="Accent2 42" xfId="0"/>
    <cellStyle name="Accent2 42 2" xfId="0"/>
    <cellStyle name="Accent2 42 3" xfId="0"/>
    <cellStyle name="Accent2 43" xfId="0"/>
    <cellStyle name="Accent2 43 2" xfId="0"/>
    <cellStyle name="Accent2 43 3" xfId="0"/>
    <cellStyle name="Accent2 44" xfId="0"/>
    <cellStyle name="Accent2 44 2" xfId="0"/>
    <cellStyle name="Accent2 45" xfId="0"/>
    <cellStyle name="Accent2 45 2" xfId="0"/>
    <cellStyle name="Accent2 46" xfId="0"/>
    <cellStyle name="Accent2 46 2" xfId="0"/>
    <cellStyle name="Accent2 47" xfId="0"/>
    <cellStyle name="Accent2 47 2" xfId="0"/>
    <cellStyle name="Accent2 48" xfId="0"/>
    <cellStyle name="Accent2 48 2" xfId="0"/>
    <cellStyle name="Accent2 49" xfId="0"/>
    <cellStyle name="Accent2 49 2" xfId="0"/>
    <cellStyle name="Accent2 4_Profitability Detail NT$ Sep-12" xfId="0"/>
    <cellStyle name="Accent2 5" xfId="0"/>
    <cellStyle name="Accent2 5 2" xfId="0"/>
    <cellStyle name="Accent2 5 3" xfId="0"/>
    <cellStyle name="Accent2 5 4" xfId="0"/>
    <cellStyle name="Accent2 50" xfId="0"/>
    <cellStyle name="Accent2 50 2" xfId="0"/>
    <cellStyle name="Accent2 51" xfId="0"/>
    <cellStyle name="Accent2 51 2" xfId="0"/>
    <cellStyle name="Accent2 52" xfId="0"/>
    <cellStyle name="Accent2 52 2" xfId="0"/>
    <cellStyle name="Accent2 53" xfId="0"/>
    <cellStyle name="Accent2 53 2" xfId="0"/>
    <cellStyle name="Accent2 54" xfId="0"/>
    <cellStyle name="Accent2 54 2" xfId="0"/>
    <cellStyle name="Accent2 55" xfId="0"/>
    <cellStyle name="Accent2 56" xfId="0"/>
    <cellStyle name="Accent2 56 2" xfId="0"/>
    <cellStyle name="Accent2 57" xfId="0"/>
    <cellStyle name="Accent2 57 2" xfId="0"/>
    <cellStyle name="Accent2 58" xfId="0"/>
    <cellStyle name="Accent2 58 2" xfId="0"/>
    <cellStyle name="Accent2 59" xfId="0"/>
    <cellStyle name="Accent2 59 2" xfId="0"/>
    <cellStyle name="Accent2 6" xfId="0"/>
    <cellStyle name="Accent2 6 2" xfId="0"/>
    <cellStyle name="Accent2 6 3" xfId="0"/>
    <cellStyle name="Accent2 6 4" xfId="0"/>
    <cellStyle name="Accent2 60" xfId="0"/>
    <cellStyle name="Accent2 60 2" xfId="0"/>
    <cellStyle name="Accent2 61" xfId="0"/>
    <cellStyle name="Accent2 61 2" xfId="0"/>
    <cellStyle name="Accent2 62" xfId="0"/>
    <cellStyle name="Accent2 62 2" xfId="0"/>
    <cellStyle name="Accent2 63" xfId="0"/>
    <cellStyle name="Accent2 63 2" xfId="0"/>
    <cellStyle name="Accent2 64" xfId="0"/>
    <cellStyle name="Accent2 64 2" xfId="0"/>
    <cellStyle name="Accent2 65" xfId="0"/>
    <cellStyle name="Accent2 65 2" xfId="0"/>
    <cellStyle name="Accent2 66" xfId="0"/>
    <cellStyle name="Accent2 66 2" xfId="0"/>
    <cellStyle name="Accent2 67" xfId="0"/>
    <cellStyle name="Accent2 67 2" xfId="0"/>
    <cellStyle name="Accent2 68" xfId="0"/>
    <cellStyle name="Accent2 68 2" xfId="0"/>
    <cellStyle name="Accent2 69" xfId="0"/>
    <cellStyle name="Accent2 69 2" xfId="0"/>
    <cellStyle name="Accent2 7" xfId="0"/>
    <cellStyle name="Accent2 7 2" xfId="0"/>
    <cellStyle name="Accent2 7 3" xfId="0"/>
    <cellStyle name="Accent2 7 4" xfId="0"/>
    <cellStyle name="Accent2 70" xfId="0"/>
    <cellStyle name="Accent2 70 2" xfId="0"/>
    <cellStyle name="Accent2 71" xfId="0"/>
    <cellStyle name="Accent2 71 2" xfId="0"/>
    <cellStyle name="Accent2 72" xfId="0"/>
    <cellStyle name="Accent2 72 2" xfId="0"/>
    <cellStyle name="Accent2 73" xfId="0"/>
    <cellStyle name="Accent2 74" xfId="0"/>
    <cellStyle name="Accent2 75" xfId="0"/>
    <cellStyle name="Accent2 76" xfId="0"/>
    <cellStyle name="Accent2 77" xfId="0"/>
    <cellStyle name="Accent2 78" xfId="0"/>
    <cellStyle name="Accent2 79" xfId="0"/>
    <cellStyle name="Accent2 8" xfId="0"/>
    <cellStyle name="Accent2 8 2" xfId="0"/>
    <cellStyle name="Accent2 8 3" xfId="0"/>
    <cellStyle name="Accent2 8 4" xfId="0"/>
    <cellStyle name="Accent2 80" xfId="0"/>
    <cellStyle name="Accent2 81" xfId="0"/>
    <cellStyle name="Accent2 82" xfId="0"/>
    <cellStyle name="Accent2 83" xfId="0"/>
    <cellStyle name="Accent2 84" xfId="0"/>
    <cellStyle name="Accent2 85" xfId="0"/>
    <cellStyle name="Accent2 86" xfId="0"/>
    <cellStyle name="Accent2 87" xfId="0"/>
    <cellStyle name="Accent2 88" xfId="0"/>
    <cellStyle name="Accent2 89" xfId="0"/>
    <cellStyle name="Accent2 9" xfId="0"/>
    <cellStyle name="Accent2 9 2" xfId="0"/>
    <cellStyle name="Accent2 9 2 2" xfId="0"/>
    <cellStyle name="Accent2 9 3" xfId="0"/>
    <cellStyle name="Accent2 9 4" xfId="0"/>
    <cellStyle name="Accent2 90" xfId="0"/>
    <cellStyle name="Accent2 91" xfId="0"/>
    <cellStyle name="Accent2 92" xfId="0"/>
    <cellStyle name="Accent2 93" xfId="0"/>
    <cellStyle name="Accent2 94" xfId="0"/>
    <cellStyle name="Accent2 95" xfId="0"/>
    <cellStyle name="Accent2 96" xfId="0"/>
    <cellStyle name="Accent2 97" xfId="0"/>
    <cellStyle name="Accent2 98" xfId="0"/>
    <cellStyle name="Accent2 99" xfId="0"/>
    <cellStyle name="Accent2_13-wk VSA_Revised" xfId="0"/>
    <cellStyle name="Accent3" xfId="0"/>
    <cellStyle name="Accent3 - 20%" xfId="0"/>
    <cellStyle name="Accent3 - 20% 2" xfId="0"/>
    <cellStyle name="Accent3 - 20% 2 2" xfId="0"/>
    <cellStyle name="Accent3 - 20% 2 2 2" xfId="0"/>
    <cellStyle name="Accent3 - 20% 2_Market Fresh Cost" xfId="0"/>
    <cellStyle name="Accent3 - 20% 3" xfId="0"/>
    <cellStyle name="Accent3 - 20% 3 2" xfId="0"/>
    <cellStyle name="Accent3 - 20% 4" xfId="0"/>
    <cellStyle name="Accent3 - 20% 4 2" xfId="0"/>
    <cellStyle name="Accent3 - 20% 5" xfId="0"/>
    <cellStyle name="Accent3 - 20% 6" xfId="0"/>
    <cellStyle name="Accent3 - 20% 7" xfId="0"/>
    <cellStyle name="Accent3 - 20%_Market Fresh Cost" xfId="0"/>
    <cellStyle name="Accent3 - 40%" xfId="0"/>
    <cellStyle name="Accent3 - 40% 2" xfId="0"/>
    <cellStyle name="Accent3 - 40% 2 2" xfId="0"/>
    <cellStyle name="Accent3 - 40% 2_Market Fresh Cost" xfId="0"/>
    <cellStyle name="Accent3 - 40% 3" xfId="0"/>
    <cellStyle name="Accent3 - 40% 3 2" xfId="0"/>
    <cellStyle name="Accent3 - 40% 4" xfId="0"/>
    <cellStyle name="Accent3 - 40% 5" xfId="0"/>
    <cellStyle name="Accent3 - 40% 6" xfId="0"/>
    <cellStyle name="Accent3 - 40% 7" xfId="0"/>
    <cellStyle name="Accent3 - 40%_Market Fresh Cost" xfId="0"/>
    <cellStyle name="Accent3 - 60%" xfId="0"/>
    <cellStyle name="Accent3 - 60% 2" xfId="0"/>
    <cellStyle name="Accent3 - 60% 2 2" xfId="0"/>
    <cellStyle name="Accent3 - 60% 2_Market Fresh Cost" xfId="0"/>
    <cellStyle name="Accent3 - 60% 3" xfId="0"/>
    <cellStyle name="Accent3 - 60% 3 2" xfId="0"/>
    <cellStyle name="Accent3 - 60% 4" xfId="0"/>
    <cellStyle name="Accent3 - 60% 5" xfId="0"/>
    <cellStyle name="Accent3 - 60% 6" xfId="0"/>
    <cellStyle name="Accent3 - 60% 7" xfId="0"/>
    <cellStyle name="Accent3 - 60% 8" xfId="0"/>
    <cellStyle name="Accent3 - 60%_LCD" xfId="0"/>
    <cellStyle name="Accent3 10" xfId="0"/>
    <cellStyle name="Accent3 10 2" xfId="0"/>
    <cellStyle name="Accent3 10 2 2" xfId="0"/>
    <cellStyle name="Accent3 10 3" xfId="0"/>
    <cellStyle name="Accent3 10 4" xfId="0"/>
    <cellStyle name="Accent3 100" xfId="0"/>
    <cellStyle name="Accent3 101" xfId="0"/>
    <cellStyle name="Accent3 102" xfId="0"/>
    <cellStyle name="Accent3 103" xfId="0"/>
    <cellStyle name="Accent3 104" xfId="0"/>
    <cellStyle name="Accent3 105" xfId="0"/>
    <cellStyle name="Accent3 106" xfId="0"/>
    <cellStyle name="Accent3 107" xfId="0"/>
    <cellStyle name="Accent3 108" xfId="0"/>
    <cellStyle name="Accent3 109" xfId="0"/>
    <cellStyle name="Accent3 11" xfId="0"/>
    <cellStyle name="Accent3 11 2" xfId="0"/>
    <cellStyle name="Accent3 11 2 2" xfId="0"/>
    <cellStyle name="Accent3 11 3" xfId="0"/>
    <cellStyle name="Accent3 11 4" xfId="0"/>
    <cellStyle name="Accent3 110" xfId="0"/>
    <cellStyle name="Accent3 111" xfId="0"/>
    <cellStyle name="Accent3 112" xfId="0"/>
    <cellStyle name="Accent3 113" xfId="0"/>
    <cellStyle name="Accent3 114" xfId="0"/>
    <cellStyle name="Accent3 115" xfId="0"/>
    <cellStyle name="Accent3 116" xfId="0"/>
    <cellStyle name="Accent3 117" xfId="0"/>
    <cellStyle name="Accent3 118" xfId="0"/>
    <cellStyle name="Accent3 119" xfId="0"/>
    <cellStyle name="Accent3 12" xfId="0"/>
    <cellStyle name="Accent3 12 2" xfId="0"/>
    <cellStyle name="Accent3 12 2 2" xfId="0"/>
    <cellStyle name="Accent3 12 3" xfId="0"/>
    <cellStyle name="Accent3 12 4" xfId="0"/>
    <cellStyle name="Accent3 120" xfId="0"/>
    <cellStyle name="Accent3 121" xfId="0"/>
    <cellStyle name="Accent3 122" xfId="0"/>
    <cellStyle name="Accent3 123" xfId="0"/>
    <cellStyle name="Accent3 124" xfId="0"/>
    <cellStyle name="Accent3 125" xfId="0"/>
    <cellStyle name="Accent3 126" xfId="0"/>
    <cellStyle name="Accent3 127" xfId="0"/>
    <cellStyle name="Accent3 128" xfId="0"/>
    <cellStyle name="Accent3 129" xfId="0"/>
    <cellStyle name="Accent3 13" xfId="0"/>
    <cellStyle name="Accent3 13 2" xfId="0"/>
    <cellStyle name="Accent3 13 2 2" xfId="0"/>
    <cellStyle name="Accent3 13 3" xfId="0"/>
    <cellStyle name="Accent3 13 4" xfId="0"/>
    <cellStyle name="Accent3 130" xfId="0"/>
    <cellStyle name="Accent3 131" xfId="0"/>
    <cellStyle name="Accent3 132" xfId="0"/>
    <cellStyle name="Accent3 133" xfId="0"/>
    <cellStyle name="Accent3 134" xfId="0"/>
    <cellStyle name="Accent3 135" xfId="0"/>
    <cellStyle name="Accent3 136" xfId="0"/>
    <cellStyle name="Accent3 137" xfId="0"/>
    <cellStyle name="Accent3 138" xfId="0"/>
    <cellStyle name="Accent3 139" xfId="0"/>
    <cellStyle name="Accent3 14" xfId="0"/>
    <cellStyle name="Accent3 14 2" xfId="0"/>
    <cellStyle name="Accent3 14 2 2" xfId="0"/>
    <cellStyle name="Accent3 14 3" xfId="0"/>
    <cellStyle name="Accent3 14 4" xfId="0"/>
    <cellStyle name="Accent3 140" xfId="0"/>
    <cellStyle name="Accent3 141" xfId="0"/>
    <cellStyle name="Accent3 142" xfId="0"/>
    <cellStyle name="Accent3 143" xfId="0"/>
    <cellStyle name="Accent3 144" xfId="0"/>
    <cellStyle name="Accent3 145" xfId="0"/>
    <cellStyle name="Accent3 146" xfId="0"/>
    <cellStyle name="Accent3 147" xfId="0"/>
    <cellStyle name="Accent3 148" xfId="0"/>
    <cellStyle name="Accent3 149" xfId="0"/>
    <cellStyle name="Accent3 15" xfId="0"/>
    <cellStyle name="Accent3 15 2" xfId="0"/>
    <cellStyle name="Accent3 15 2 2" xfId="0"/>
    <cellStyle name="Accent3 15 3" xfId="0"/>
    <cellStyle name="Accent3 15 4" xfId="0"/>
    <cellStyle name="Accent3 150" xfId="0"/>
    <cellStyle name="Accent3 151" xfId="0"/>
    <cellStyle name="Accent3 152" xfId="0"/>
    <cellStyle name="Accent3 153" xfId="0"/>
    <cellStyle name="Accent3 154" xfId="0"/>
    <cellStyle name="Accent3 155" xfId="0"/>
    <cellStyle name="Accent3 156" xfId="0"/>
    <cellStyle name="Accent3 157" xfId="0"/>
    <cellStyle name="Accent3 158" xfId="0"/>
    <cellStyle name="Accent3 159" xfId="0"/>
    <cellStyle name="Accent3 16" xfId="0"/>
    <cellStyle name="Accent3 16 2" xfId="0"/>
    <cellStyle name="Accent3 16 2 2" xfId="0"/>
    <cellStyle name="Accent3 16 3" xfId="0"/>
    <cellStyle name="Accent3 16 4" xfId="0"/>
    <cellStyle name="Accent3 160" xfId="0"/>
    <cellStyle name="Accent3 161" xfId="0"/>
    <cellStyle name="Accent3 162" xfId="0"/>
    <cellStyle name="Accent3 163" xfId="0"/>
    <cellStyle name="Accent3 164" xfId="0"/>
    <cellStyle name="Accent3 165" xfId="0"/>
    <cellStyle name="Accent3 166" xfId="0"/>
    <cellStyle name="Accent3 167" xfId="0"/>
    <cellStyle name="Accent3 168" xfId="0"/>
    <cellStyle name="Accent3 169" xfId="0"/>
    <cellStyle name="Accent3 17" xfId="0"/>
    <cellStyle name="Accent3 17 2" xfId="0"/>
    <cellStyle name="Accent3 17 2 2" xfId="0"/>
    <cellStyle name="Accent3 17 3" xfId="0"/>
    <cellStyle name="Accent3 17 4" xfId="0"/>
    <cellStyle name="Accent3 170" xfId="0"/>
    <cellStyle name="Accent3 171" xfId="0"/>
    <cellStyle name="Accent3 172" xfId="0"/>
    <cellStyle name="Accent3 173" xfId="0"/>
    <cellStyle name="Accent3 174" xfId="0"/>
    <cellStyle name="Accent3 175" xfId="0"/>
    <cellStyle name="Accent3 176" xfId="0"/>
    <cellStyle name="Accent3 177" xfId="0"/>
    <cellStyle name="Accent3 178" xfId="0"/>
    <cellStyle name="Accent3 179" xfId="0"/>
    <cellStyle name="Accent3 18" xfId="0"/>
    <cellStyle name="Accent3 18 2" xfId="0"/>
    <cellStyle name="Accent3 18 2 2" xfId="0"/>
    <cellStyle name="Accent3 18 3" xfId="0"/>
    <cellStyle name="Accent3 18 4" xfId="0"/>
    <cellStyle name="Accent3 180" xfId="0"/>
    <cellStyle name="Accent3 181" xfId="0"/>
    <cellStyle name="Accent3 182" xfId="0"/>
    <cellStyle name="Accent3 183" xfId="0"/>
    <cellStyle name="Accent3 184" xfId="0"/>
    <cellStyle name="Accent3 185" xfId="0"/>
    <cellStyle name="Accent3 186" xfId="0"/>
    <cellStyle name="Accent3 187" xfId="0"/>
    <cellStyle name="Accent3 188" xfId="0"/>
    <cellStyle name="Accent3 189" xfId="0"/>
    <cellStyle name="Accent3 19" xfId="0"/>
    <cellStyle name="Accent3 19 2" xfId="0"/>
    <cellStyle name="Accent3 19 2 2" xfId="0"/>
    <cellStyle name="Accent3 19 3" xfId="0"/>
    <cellStyle name="Accent3 19 4" xfId="0"/>
    <cellStyle name="Accent3 190" xfId="0"/>
    <cellStyle name="Accent3 191" xfId="0"/>
    <cellStyle name="Accent3 192" xfId="0"/>
    <cellStyle name="Accent3 193" xfId="0"/>
    <cellStyle name="Accent3 194" xfId="0"/>
    <cellStyle name="Accent3 195" xfId="0"/>
    <cellStyle name="Accent3 196" xfId="0"/>
    <cellStyle name="Accent3 197" xfId="0"/>
    <cellStyle name="Accent3 198" xfId="0"/>
    <cellStyle name="Accent3 199" xfId="0"/>
    <cellStyle name="Accent3 2" xfId="0"/>
    <cellStyle name="Accent3 2 2" xfId="0"/>
    <cellStyle name="Accent3 2 2 2" xfId="0"/>
    <cellStyle name="Accent3 2 2 2 2" xfId="0"/>
    <cellStyle name="Accent3 2 2 3" xfId="0"/>
    <cellStyle name="Accent3 2 3" xfId="0"/>
    <cellStyle name="Accent3 2 3 2" xfId="0"/>
    <cellStyle name="Accent3 2 3 3" xfId="0"/>
    <cellStyle name="Accent3 2 4" xfId="0"/>
    <cellStyle name="Accent3 2 4 2" xfId="0"/>
    <cellStyle name="Accent3 2 5" xfId="0"/>
    <cellStyle name="Accent3 2 5 2" xfId="0"/>
    <cellStyle name="Accent3 2 6" xfId="0"/>
    <cellStyle name="Accent3 2 7" xfId="0"/>
    <cellStyle name="Accent3 2 8" xfId="0"/>
    <cellStyle name="Accent3 20" xfId="0"/>
    <cellStyle name="Accent3 20 2" xfId="0"/>
    <cellStyle name="Accent3 20 2 2" xfId="0"/>
    <cellStyle name="Accent3 20 3" xfId="0"/>
    <cellStyle name="Accent3 20 4" xfId="0"/>
    <cellStyle name="Accent3 200" xfId="0"/>
    <cellStyle name="Accent3 201" xfId="0"/>
    <cellStyle name="Accent3 202" xfId="0"/>
    <cellStyle name="Accent3 203" xfId="0"/>
    <cellStyle name="Accent3 204" xfId="0"/>
    <cellStyle name="Accent3 205" xfId="0"/>
    <cellStyle name="Accent3 206" xfId="0"/>
    <cellStyle name="Accent3 207" xfId="0"/>
    <cellStyle name="Accent3 208" xfId="0"/>
    <cellStyle name="Accent3 209" xfId="0"/>
    <cellStyle name="Accent3 21" xfId="0"/>
    <cellStyle name="Accent3 21 2" xfId="0"/>
    <cellStyle name="Accent3 21 2 2" xfId="0"/>
    <cellStyle name="Accent3 21 3" xfId="0"/>
    <cellStyle name="Accent3 210" xfId="0"/>
    <cellStyle name="Accent3 211" xfId="0"/>
    <cellStyle name="Accent3 212" xfId="0"/>
    <cellStyle name="Accent3 213" xfId="0"/>
    <cellStyle name="Accent3 214" xfId="0"/>
    <cellStyle name="Accent3 215" xfId="0"/>
    <cellStyle name="Accent3 216" xfId="0"/>
    <cellStyle name="Accent3 217" xfId="0"/>
    <cellStyle name="Accent3 218" xfId="0"/>
    <cellStyle name="Accent3 219" xfId="0"/>
    <cellStyle name="Accent3 22" xfId="0"/>
    <cellStyle name="Accent3 22 2" xfId="0"/>
    <cellStyle name="Accent3 22 2 2" xfId="0"/>
    <cellStyle name="Accent3 22 3" xfId="0"/>
    <cellStyle name="Accent3 220" xfId="0"/>
    <cellStyle name="Accent3 221" xfId="0"/>
    <cellStyle name="Accent3 222" xfId="0"/>
    <cellStyle name="Accent3 223" xfId="0"/>
    <cellStyle name="Accent3 224" xfId="0"/>
    <cellStyle name="Accent3 225" xfId="0"/>
    <cellStyle name="Accent3 226" xfId="0"/>
    <cellStyle name="Accent3 227" xfId="0"/>
    <cellStyle name="Accent3 228" xfId="0"/>
    <cellStyle name="Accent3 229" xfId="0"/>
    <cellStyle name="Accent3 23" xfId="0"/>
    <cellStyle name="Accent3 23 2" xfId="0"/>
    <cellStyle name="Accent3 23 2 2" xfId="0"/>
    <cellStyle name="Accent3 23 3" xfId="0"/>
    <cellStyle name="Accent3 230" xfId="0"/>
    <cellStyle name="Accent3 231" xfId="0"/>
    <cellStyle name="Accent3 232" xfId="0"/>
    <cellStyle name="Accent3 233" xfId="0"/>
    <cellStyle name="Accent3 234" xfId="0"/>
    <cellStyle name="Accent3 235" xfId="0"/>
    <cellStyle name="Accent3 236" xfId="0"/>
    <cellStyle name="Accent3 237" xfId="0"/>
    <cellStyle name="Accent3 238" xfId="0"/>
    <cellStyle name="Accent3 239" xfId="0"/>
    <cellStyle name="Accent3 24" xfId="0"/>
    <cellStyle name="Accent3 24 2" xfId="0"/>
    <cellStyle name="Accent3 24 2 2" xfId="0"/>
    <cellStyle name="Accent3 240" xfId="0"/>
    <cellStyle name="Accent3 241" xfId="0"/>
    <cellStyle name="Accent3 242" xfId="0"/>
    <cellStyle name="Accent3 243" xfId="0"/>
    <cellStyle name="Accent3 244" xfId="0"/>
    <cellStyle name="Accent3 245" xfId="0"/>
    <cellStyle name="Accent3 246" xfId="0"/>
    <cellStyle name="Accent3 247" xfId="0"/>
    <cellStyle name="Accent3 248" xfId="0"/>
    <cellStyle name="Accent3 249" xfId="0"/>
    <cellStyle name="Accent3 25" xfId="0"/>
    <cellStyle name="Accent3 25 2" xfId="0"/>
    <cellStyle name="Accent3 25 2 2" xfId="0"/>
    <cellStyle name="Accent3 250" xfId="0"/>
    <cellStyle name="Accent3 251" xfId="0"/>
    <cellStyle name="Accent3 252" xfId="0"/>
    <cellStyle name="Accent3 253" xfId="0"/>
    <cellStyle name="Accent3 254" xfId="0"/>
    <cellStyle name="Accent3 255" xfId="0"/>
    <cellStyle name="Accent3 256" xfId="0"/>
    <cellStyle name="Accent3 257" xfId="0"/>
    <cellStyle name="Accent3 258" xfId="0"/>
    <cellStyle name="Accent3 259" xfId="0"/>
    <cellStyle name="Accent3 26" xfId="0"/>
    <cellStyle name="Accent3 26 2" xfId="0"/>
    <cellStyle name="Accent3 26 2 2" xfId="0"/>
    <cellStyle name="Accent3 26 3" xfId="0"/>
    <cellStyle name="Accent3 260" xfId="0"/>
    <cellStyle name="Accent3 261" xfId="0"/>
    <cellStyle name="Accent3 262" xfId="0"/>
    <cellStyle name="Accent3 263" xfId="0"/>
    <cellStyle name="Accent3 264" xfId="0"/>
    <cellStyle name="Accent3 265" xfId="0"/>
    <cellStyle name="Accent3 266" xfId="0"/>
    <cellStyle name="Accent3 267" xfId="0"/>
    <cellStyle name="Accent3 268" xfId="0"/>
    <cellStyle name="Accent3 269" xfId="0"/>
    <cellStyle name="Accent3 27" xfId="0"/>
    <cellStyle name="Accent3 27 2" xfId="0"/>
    <cellStyle name="Accent3 27 2 2" xfId="0"/>
    <cellStyle name="Accent3 27 3" xfId="0"/>
    <cellStyle name="Accent3 270" xfId="0"/>
    <cellStyle name="Accent3 271" xfId="0"/>
    <cellStyle name="Accent3 272" xfId="0"/>
    <cellStyle name="Accent3 273" xfId="0"/>
    <cellStyle name="Accent3 274" xfId="0"/>
    <cellStyle name="Accent3 275" xfId="0"/>
    <cellStyle name="Accent3 28" xfId="0"/>
    <cellStyle name="Accent3 28 2" xfId="0"/>
    <cellStyle name="Accent3 28 2 2" xfId="0"/>
    <cellStyle name="Accent3 28 3" xfId="0"/>
    <cellStyle name="Accent3 29" xfId="0"/>
    <cellStyle name="Accent3 29 2" xfId="0"/>
    <cellStyle name="Accent3 29 2 2" xfId="0"/>
    <cellStyle name="Accent3 29 3" xfId="0"/>
    <cellStyle name="Accent3 2_Market Fresh Cost" xfId="0"/>
    <cellStyle name="Accent3 3" xfId="0"/>
    <cellStyle name="Accent3 3 2" xfId="0"/>
    <cellStyle name="Accent3 3 2 2" xfId="0"/>
    <cellStyle name="Accent3 3 2 3" xfId="0"/>
    <cellStyle name="Accent3 3 3" xfId="0"/>
    <cellStyle name="Accent3 3 3 2" xfId="0"/>
    <cellStyle name="Accent3 3 3 3" xfId="0"/>
    <cellStyle name="Accent3 3 4" xfId="0"/>
    <cellStyle name="Accent3 3 4 2" xfId="0"/>
    <cellStyle name="Accent3 3 5" xfId="0"/>
    <cellStyle name="Accent3 3 5 2" xfId="0"/>
    <cellStyle name="Accent3 3 6" xfId="0"/>
    <cellStyle name="Accent3 3 7" xfId="0"/>
    <cellStyle name="Accent3 3 8" xfId="0"/>
    <cellStyle name="Accent3 30" xfId="0"/>
    <cellStyle name="Accent3 30 2" xfId="0"/>
    <cellStyle name="Accent3 30 2 2" xfId="0"/>
    <cellStyle name="Accent3 30 3" xfId="0"/>
    <cellStyle name="Accent3 31" xfId="0"/>
    <cellStyle name="Accent3 31 2" xfId="0"/>
    <cellStyle name="Accent3 31 2 2" xfId="0"/>
    <cellStyle name="Accent3 31 3" xfId="0"/>
    <cellStyle name="Accent3 32" xfId="0"/>
    <cellStyle name="Accent3 32 2" xfId="0"/>
    <cellStyle name="Accent3 32 2 2" xfId="0"/>
    <cellStyle name="Accent3 32 3" xfId="0"/>
    <cellStyle name="Accent3 33" xfId="0"/>
    <cellStyle name="Accent3 33 2" xfId="0"/>
    <cellStyle name="Accent3 33 2 2" xfId="0"/>
    <cellStyle name="Accent3 33 3" xfId="0"/>
    <cellStyle name="Accent3 34" xfId="0"/>
    <cellStyle name="Accent3 34 2" xfId="0"/>
    <cellStyle name="Accent3 34 2 2" xfId="0"/>
    <cellStyle name="Accent3 34 3" xfId="0"/>
    <cellStyle name="Accent3 35" xfId="0"/>
    <cellStyle name="Accent3 35 2" xfId="0"/>
    <cellStyle name="Accent3 35 2 2" xfId="0"/>
    <cellStyle name="Accent3 35 3" xfId="0"/>
    <cellStyle name="Accent3 36" xfId="0"/>
    <cellStyle name="Accent3 36 2" xfId="0"/>
    <cellStyle name="Accent3 36 3" xfId="0"/>
    <cellStyle name="Accent3 37" xfId="0"/>
    <cellStyle name="Accent3 37 2" xfId="0"/>
    <cellStyle name="Accent3 37 3" xfId="0"/>
    <cellStyle name="Accent3 38" xfId="0"/>
    <cellStyle name="Accent3 38 2" xfId="0"/>
    <cellStyle name="Accent3 38 3" xfId="0"/>
    <cellStyle name="Accent3 39" xfId="0"/>
    <cellStyle name="Accent3 39 2" xfId="0"/>
    <cellStyle name="Accent3 39 3" xfId="0"/>
    <cellStyle name="Accent3 3_Profitability Detail NT$ Sep-12" xfId="0"/>
    <cellStyle name="Accent3 4" xfId="0"/>
    <cellStyle name="Accent3 4 2" xfId="0"/>
    <cellStyle name="Accent3 4 2 2" xfId="0"/>
    <cellStyle name="Accent3 4 2 3" xfId="0"/>
    <cellStyle name="Accent3 4 3" xfId="0"/>
    <cellStyle name="Accent3 4 3 2" xfId="0"/>
    <cellStyle name="Accent3 4 3 3" xfId="0"/>
    <cellStyle name="Accent3 4 4" xfId="0"/>
    <cellStyle name="Accent3 4 4 2" xfId="0"/>
    <cellStyle name="Accent3 4 5" xfId="0"/>
    <cellStyle name="Accent3 4 5 2" xfId="0"/>
    <cellStyle name="Accent3 4 6" xfId="0"/>
    <cellStyle name="Accent3 4 7" xfId="0"/>
    <cellStyle name="Accent3 4 8" xfId="0"/>
    <cellStyle name="Accent3 40" xfId="0"/>
    <cellStyle name="Accent3 40 2" xfId="0"/>
    <cellStyle name="Accent3 40 3" xfId="0"/>
    <cellStyle name="Accent3 41" xfId="0"/>
    <cellStyle name="Accent3 41 2" xfId="0"/>
    <cellStyle name="Accent3 41 3" xfId="0"/>
    <cellStyle name="Accent3 42" xfId="0"/>
    <cellStyle name="Accent3 42 2" xfId="0"/>
    <cellStyle name="Accent3 42 3" xfId="0"/>
    <cellStyle name="Accent3 43" xfId="0"/>
    <cellStyle name="Accent3 43 2" xfId="0"/>
    <cellStyle name="Accent3 43 3" xfId="0"/>
    <cellStyle name="Accent3 44" xfId="0"/>
    <cellStyle name="Accent3 44 2" xfId="0"/>
    <cellStyle name="Accent3 45" xfId="0"/>
    <cellStyle name="Accent3 45 2" xfId="0"/>
    <cellStyle name="Accent3 46" xfId="0"/>
    <cellStyle name="Accent3 46 2" xfId="0"/>
    <cellStyle name="Accent3 47" xfId="0"/>
    <cellStyle name="Accent3 47 2" xfId="0"/>
    <cellStyle name="Accent3 48" xfId="0"/>
    <cellStyle name="Accent3 48 2" xfId="0"/>
    <cellStyle name="Accent3 49" xfId="0"/>
    <cellStyle name="Accent3 49 2" xfId="0"/>
    <cellStyle name="Accent3 4_Profitability Detail NT$ Sep-12" xfId="0"/>
    <cellStyle name="Accent3 5" xfId="0"/>
    <cellStyle name="Accent3 5 2" xfId="0"/>
    <cellStyle name="Accent3 5 3" xfId="0"/>
    <cellStyle name="Accent3 5 4" xfId="0"/>
    <cellStyle name="Accent3 50" xfId="0"/>
    <cellStyle name="Accent3 50 2" xfId="0"/>
    <cellStyle name="Accent3 51" xfId="0"/>
    <cellStyle name="Accent3 51 2" xfId="0"/>
    <cellStyle name="Accent3 52" xfId="0"/>
    <cellStyle name="Accent3 52 2" xfId="0"/>
    <cellStyle name="Accent3 53" xfId="0"/>
    <cellStyle name="Accent3 53 2" xfId="0"/>
    <cellStyle name="Accent3 54" xfId="0"/>
    <cellStyle name="Accent3 54 2" xfId="0"/>
    <cellStyle name="Accent3 55" xfId="0"/>
    <cellStyle name="Accent3 56" xfId="0"/>
    <cellStyle name="Accent3 56 2" xfId="0"/>
    <cellStyle name="Accent3 57" xfId="0"/>
    <cellStyle name="Accent3 57 2" xfId="0"/>
    <cellStyle name="Accent3 58" xfId="0"/>
    <cellStyle name="Accent3 58 2" xfId="0"/>
    <cellStyle name="Accent3 59" xfId="0"/>
    <cellStyle name="Accent3 59 2" xfId="0"/>
    <cellStyle name="Accent3 6" xfId="0"/>
    <cellStyle name="Accent3 6 2" xfId="0"/>
    <cellStyle name="Accent3 6 3" xfId="0"/>
    <cellStyle name="Accent3 6 4" xfId="0"/>
    <cellStyle name="Accent3 60" xfId="0"/>
    <cellStyle name="Accent3 60 2" xfId="0"/>
    <cellStyle name="Accent3 61" xfId="0"/>
    <cellStyle name="Accent3 61 2" xfId="0"/>
    <cellStyle name="Accent3 62" xfId="0"/>
    <cellStyle name="Accent3 62 2" xfId="0"/>
    <cellStyle name="Accent3 63" xfId="0"/>
    <cellStyle name="Accent3 63 2" xfId="0"/>
    <cellStyle name="Accent3 64" xfId="0"/>
    <cellStyle name="Accent3 64 2" xfId="0"/>
    <cellStyle name="Accent3 65" xfId="0"/>
    <cellStyle name="Accent3 65 2" xfId="0"/>
    <cellStyle name="Accent3 66" xfId="0"/>
    <cellStyle name="Accent3 66 2" xfId="0"/>
    <cellStyle name="Accent3 67" xfId="0"/>
    <cellStyle name="Accent3 67 2" xfId="0"/>
    <cellStyle name="Accent3 68" xfId="0"/>
    <cellStyle name="Accent3 68 2" xfId="0"/>
    <cellStyle name="Accent3 69" xfId="0"/>
    <cellStyle name="Accent3 69 2" xfId="0"/>
    <cellStyle name="Accent3 7" xfId="0"/>
    <cellStyle name="Accent3 7 2" xfId="0"/>
    <cellStyle name="Accent3 7 3" xfId="0"/>
    <cellStyle name="Accent3 7 4" xfId="0"/>
    <cellStyle name="Accent3 70" xfId="0"/>
    <cellStyle name="Accent3 70 2" xfId="0"/>
    <cellStyle name="Accent3 71" xfId="0"/>
    <cellStyle name="Accent3 71 2" xfId="0"/>
    <cellStyle name="Accent3 72" xfId="0"/>
    <cellStyle name="Accent3 72 2" xfId="0"/>
    <cellStyle name="Accent3 73" xfId="0"/>
    <cellStyle name="Accent3 74" xfId="0"/>
    <cellStyle name="Accent3 75" xfId="0"/>
    <cellStyle name="Accent3 76" xfId="0"/>
    <cellStyle name="Accent3 77" xfId="0"/>
    <cellStyle name="Accent3 78" xfId="0"/>
    <cellStyle name="Accent3 79" xfId="0"/>
    <cellStyle name="Accent3 8" xfId="0"/>
    <cellStyle name="Accent3 8 2" xfId="0"/>
    <cellStyle name="Accent3 8 3" xfId="0"/>
    <cellStyle name="Accent3 8 4" xfId="0"/>
    <cellStyle name="Accent3 80" xfId="0"/>
    <cellStyle name="Accent3 81" xfId="0"/>
    <cellStyle name="Accent3 82" xfId="0"/>
    <cellStyle name="Accent3 83" xfId="0"/>
    <cellStyle name="Accent3 84" xfId="0"/>
    <cellStyle name="Accent3 85" xfId="0"/>
    <cellStyle name="Accent3 86" xfId="0"/>
    <cellStyle name="Accent3 87" xfId="0"/>
    <cellStyle name="Accent3 88" xfId="0"/>
    <cellStyle name="Accent3 89" xfId="0"/>
    <cellStyle name="Accent3 9" xfId="0"/>
    <cellStyle name="Accent3 9 2" xfId="0"/>
    <cellStyle name="Accent3 9 2 2" xfId="0"/>
    <cellStyle name="Accent3 9 3" xfId="0"/>
    <cellStyle name="Accent3 9 4" xfId="0"/>
    <cellStyle name="Accent3 90" xfId="0"/>
    <cellStyle name="Accent3 91" xfId="0"/>
    <cellStyle name="Accent3 92" xfId="0"/>
    <cellStyle name="Accent3 93" xfId="0"/>
    <cellStyle name="Accent3 94" xfId="0"/>
    <cellStyle name="Accent3 95" xfId="0"/>
    <cellStyle name="Accent3 96" xfId="0"/>
    <cellStyle name="Accent3 97" xfId="0"/>
    <cellStyle name="Accent3 98" xfId="0"/>
    <cellStyle name="Accent3 99" xfId="0"/>
    <cellStyle name="Accent3_13-wk VSA_Revised" xfId="0"/>
    <cellStyle name="Accent4" xfId="0"/>
    <cellStyle name="Accent4 - 20%" xfId="0"/>
    <cellStyle name="Accent4 - 20% 2" xfId="0"/>
    <cellStyle name="Accent4 - 20% 2 2" xfId="0"/>
    <cellStyle name="Accent4 - 20% 2 2 2" xfId="0"/>
    <cellStyle name="Accent4 - 20% 2_Market Fresh Cost" xfId="0"/>
    <cellStyle name="Accent4 - 20% 3" xfId="0"/>
    <cellStyle name="Accent4 - 20% 3 2" xfId="0"/>
    <cellStyle name="Accent4 - 20% 4" xfId="0"/>
    <cellStyle name="Accent4 - 20% 4 2" xfId="0"/>
    <cellStyle name="Accent4 - 20% 5" xfId="0"/>
    <cellStyle name="Accent4 - 20% 6" xfId="0"/>
    <cellStyle name="Accent4 - 20% 7" xfId="0"/>
    <cellStyle name="Accent4 - 20%_Market Fresh Cost" xfId="0"/>
    <cellStyle name="Accent4 - 40%" xfId="0"/>
    <cellStyle name="Accent4 - 40% 2" xfId="0"/>
    <cellStyle name="Accent4 - 40% 2 2" xfId="0"/>
    <cellStyle name="Accent4 - 40% 2_Market Fresh Cost" xfId="0"/>
    <cellStyle name="Accent4 - 40% 3" xfId="0"/>
    <cellStyle name="Accent4 - 40% 3 2" xfId="0"/>
    <cellStyle name="Accent4 - 40% 4" xfId="0"/>
    <cellStyle name="Accent4 - 40% 5" xfId="0"/>
    <cellStyle name="Accent4 - 40% 6" xfId="0"/>
    <cellStyle name="Accent4 - 40% 7" xfId="0"/>
    <cellStyle name="Accent4 - 40%_Market Fresh Cost" xfId="0"/>
    <cellStyle name="Accent4 - 60%" xfId="0"/>
    <cellStyle name="Accent4 - 60% 2" xfId="0"/>
    <cellStyle name="Accent4 - 60% 2 2" xfId="0"/>
    <cellStyle name="Accent4 - 60% 2 2 2" xfId="0"/>
    <cellStyle name="Accent4 - 60% 2 3" xfId="0"/>
    <cellStyle name="Accent4 - 60% 2_Market Fresh Cost" xfId="0"/>
    <cellStyle name="Accent4 - 60% 3" xfId="0"/>
    <cellStyle name="Accent4 - 60% 3 2" xfId="0"/>
    <cellStyle name="Accent4 - 60% 3 3" xfId="0"/>
    <cellStyle name="Accent4 - 60% 4" xfId="0"/>
    <cellStyle name="Accent4 - 60% 5" xfId="0"/>
    <cellStyle name="Accent4 - 60% 6" xfId="0"/>
    <cellStyle name="Accent4 - 60% 7" xfId="0"/>
    <cellStyle name="Accent4 - 60% 8" xfId="0"/>
    <cellStyle name="Accent4 - 60%_LCD" xfId="0"/>
    <cellStyle name="Accent4 10" xfId="0"/>
    <cellStyle name="Accent4 10 2" xfId="0"/>
    <cellStyle name="Accent4 10 2 2" xfId="0"/>
    <cellStyle name="Accent4 10 3" xfId="0"/>
    <cellStyle name="Accent4 10 4" xfId="0"/>
    <cellStyle name="Accent4 100" xfId="0"/>
    <cellStyle name="Accent4 101" xfId="0"/>
    <cellStyle name="Accent4 102" xfId="0"/>
    <cellStyle name="Accent4 103" xfId="0"/>
    <cellStyle name="Accent4 104" xfId="0"/>
    <cellStyle name="Accent4 105" xfId="0"/>
    <cellStyle name="Accent4 106" xfId="0"/>
    <cellStyle name="Accent4 107" xfId="0"/>
    <cellStyle name="Accent4 108" xfId="0"/>
    <cellStyle name="Accent4 109" xfId="0"/>
    <cellStyle name="Accent4 11" xfId="0"/>
    <cellStyle name="Accent4 11 2" xfId="0"/>
    <cellStyle name="Accent4 11 2 2" xfId="0"/>
    <cellStyle name="Accent4 11 3" xfId="0"/>
    <cellStyle name="Accent4 11 4" xfId="0"/>
    <cellStyle name="Accent4 110" xfId="0"/>
    <cellStyle name="Accent4 111" xfId="0"/>
    <cellStyle name="Accent4 112" xfId="0"/>
    <cellStyle name="Accent4 113" xfId="0"/>
    <cellStyle name="Accent4 114" xfId="0"/>
    <cellStyle name="Accent4 115" xfId="0"/>
    <cellStyle name="Accent4 116" xfId="0"/>
    <cellStyle name="Accent4 117" xfId="0"/>
    <cellStyle name="Accent4 118" xfId="0"/>
    <cellStyle name="Accent4 119" xfId="0"/>
    <cellStyle name="Accent4 12" xfId="0"/>
    <cellStyle name="Accent4 12 2" xfId="0"/>
    <cellStyle name="Accent4 12 2 2" xfId="0"/>
    <cellStyle name="Accent4 12 3" xfId="0"/>
    <cellStyle name="Accent4 12 4" xfId="0"/>
    <cellStyle name="Accent4 120" xfId="0"/>
    <cellStyle name="Accent4 121" xfId="0"/>
    <cellStyle name="Accent4 122" xfId="0"/>
    <cellStyle name="Accent4 123" xfId="0"/>
    <cellStyle name="Accent4 124" xfId="0"/>
    <cellStyle name="Accent4 125" xfId="0"/>
    <cellStyle name="Accent4 126" xfId="0"/>
    <cellStyle name="Accent4 127" xfId="0"/>
    <cellStyle name="Accent4 128" xfId="0"/>
    <cellStyle name="Accent4 129" xfId="0"/>
    <cellStyle name="Accent4 13" xfId="0"/>
    <cellStyle name="Accent4 13 2" xfId="0"/>
    <cellStyle name="Accent4 13 2 2" xfId="0"/>
    <cellStyle name="Accent4 13 3" xfId="0"/>
    <cellStyle name="Accent4 13 4" xfId="0"/>
    <cellStyle name="Accent4 130" xfId="0"/>
    <cellStyle name="Accent4 131" xfId="0"/>
    <cellStyle name="Accent4 132" xfId="0"/>
    <cellStyle name="Accent4 133" xfId="0"/>
    <cellStyle name="Accent4 134" xfId="0"/>
    <cellStyle name="Accent4 135" xfId="0"/>
    <cellStyle name="Accent4 136" xfId="0"/>
    <cellStyle name="Accent4 137" xfId="0"/>
    <cellStyle name="Accent4 138" xfId="0"/>
    <cellStyle name="Accent4 139" xfId="0"/>
    <cellStyle name="Accent4 14" xfId="0"/>
    <cellStyle name="Accent4 14 2" xfId="0"/>
    <cellStyle name="Accent4 14 2 2" xfId="0"/>
    <cellStyle name="Accent4 14 3" xfId="0"/>
    <cellStyle name="Accent4 14 4" xfId="0"/>
    <cellStyle name="Accent4 140" xfId="0"/>
    <cellStyle name="Accent4 141" xfId="0"/>
    <cellStyle name="Accent4 142" xfId="0"/>
    <cellStyle name="Accent4 143" xfId="0"/>
    <cellStyle name="Accent4 144" xfId="0"/>
    <cellStyle name="Accent4 145" xfId="0"/>
    <cellStyle name="Accent4 146" xfId="0"/>
    <cellStyle name="Accent4 147" xfId="0"/>
    <cellStyle name="Accent4 148" xfId="0"/>
    <cellStyle name="Accent4 149" xfId="0"/>
    <cellStyle name="Accent4 15" xfId="0"/>
    <cellStyle name="Accent4 15 2" xfId="0"/>
    <cellStyle name="Accent4 15 2 2" xfId="0"/>
    <cellStyle name="Accent4 15 3" xfId="0"/>
    <cellStyle name="Accent4 15 4" xfId="0"/>
    <cellStyle name="Accent4 150" xfId="0"/>
    <cellStyle name="Accent4 151" xfId="0"/>
    <cellStyle name="Accent4 152" xfId="0"/>
    <cellStyle name="Accent4 153" xfId="0"/>
    <cellStyle name="Accent4 154" xfId="0"/>
    <cellStyle name="Accent4 155" xfId="0"/>
    <cellStyle name="Accent4 156" xfId="0"/>
    <cellStyle name="Accent4 157" xfId="0"/>
    <cellStyle name="Accent4 158" xfId="0"/>
    <cellStyle name="Accent4 159" xfId="0"/>
    <cellStyle name="Accent4 16" xfId="0"/>
    <cellStyle name="Accent4 16 2" xfId="0"/>
    <cellStyle name="Accent4 16 2 2" xfId="0"/>
    <cellStyle name="Accent4 16 3" xfId="0"/>
    <cellStyle name="Accent4 16 4" xfId="0"/>
    <cellStyle name="Accent4 160" xfId="0"/>
    <cellStyle name="Accent4 161" xfId="0"/>
    <cellStyle name="Accent4 162" xfId="0"/>
    <cellStyle name="Accent4 163" xfId="0"/>
    <cellStyle name="Accent4 164" xfId="0"/>
    <cellStyle name="Accent4 165" xfId="0"/>
    <cellStyle name="Accent4 166" xfId="0"/>
    <cellStyle name="Accent4 167" xfId="0"/>
    <cellStyle name="Accent4 168" xfId="0"/>
    <cellStyle name="Accent4 169" xfId="0"/>
    <cellStyle name="Accent4 17" xfId="0"/>
    <cellStyle name="Accent4 17 2" xfId="0"/>
    <cellStyle name="Accent4 17 2 2" xfId="0"/>
    <cellStyle name="Accent4 17 3" xfId="0"/>
    <cellStyle name="Accent4 17 4" xfId="0"/>
    <cellStyle name="Accent4 170" xfId="0"/>
    <cellStyle name="Accent4 171" xfId="0"/>
    <cellStyle name="Accent4 172" xfId="0"/>
    <cellStyle name="Accent4 173" xfId="0"/>
    <cellStyle name="Accent4 174" xfId="0"/>
    <cellStyle name="Accent4 175" xfId="0"/>
    <cellStyle name="Accent4 176" xfId="0"/>
    <cellStyle name="Accent4 177" xfId="0"/>
    <cellStyle name="Accent4 178" xfId="0"/>
    <cellStyle name="Accent4 179" xfId="0"/>
    <cellStyle name="Accent4 18" xfId="0"/>
    <cellStyle name="Accent4 18 2" xfId="0"/>
    <cellStyle name="Accent4 18 2 2" xfId="0"/>
    <cellStyle name="Accent4 18 3" xfId="0"/>
    <cellStyle name="Accent4 18 4" xfId="0"/>
    <cellStyle name="Accent4 180" xfId="0"/>
    <cellStyle name="Accent4 181" xfId="0"/>
    <cellStyle name="Accent4 182" xfId="0"/>
    <cellStyle name="Accent4 183" xfId="0"/>
    <cellStyle name="Accent4 184" xfId="0"/>
    <cellStyle name="Accent4 185" xfId="0"/>
    <cellStyle name="Accent4 186" xfId="0"/>
    <cellStyle name="Accent4 187" xfId="0"/>
    <cellStyle name="Accent4 188" xfId="0"/>
    <cellStyle name="Accent4 189" xfId="0"/>
    <cellStyle name="Accent4 19" xfId="0"/>
    <cellStyle name="Accent4 19 2" xfId="0"/>
    <cellStyle name="Accent4 19 2 2" xfId="0"/>
    <cellStyle name="Accent4 19 3" xfId="0"/>
    <cellStyle name="Accent4 19 4" xfId="0"/>
    <cellStyle name="Accent4 190" xfId="0"/>
    <cellStyle name="Accent4 191" xfId="0"/>
    <cellStyle name="Accent4 192" xfId="0"/>
    <cellStyle name="Accent4 193" xfId="0"/>
    <cellStyle name="Accent4 194" xfId="0"/>
    <cellStyle name="Accent4 195" xfId="0"/>
    <cellStyle name="Accent4 196" xfId="0"/>
    <cellStyle name="Accent4 197" xfId="0"/>
    <cellStyle name="Accent4 198" xfId="0"/>
    <cellStyle name="Accent4 199" xfId="0"/>
    <cellStyle name="Accent4 2" xfId="0"/>
    <cellStyle name="Accent4 2 2" xfId="0"/>
    <cellStyle name="Accent4 2 2 2" xfId="0"/>
    <cellStyle name="Accent4 2 2 2 2" xfId="0"/>
    <cellStyle name="Accent4 2 2 3" xfId="0"/>
    <cellStyle name="Accent4 2 3" xfId="0"/>
    <cellStyle name="Accent4 2 3 2" xfId="0"/>
    <cellStyle name="Accent4 2 3 3" xfId="0"/>
    <cellStyle name="Accent4 2 4" xfId="0"/>
    <cellStyle name="Accent4 2 4 2" xfId="0"/>
    <cellStyle name="Accent4 2 5" xfId="0"/>
    <cellStyle name="Accent4 2 5 2" xfId="0"/>
    <cellStyle name="Accent4 2 6" xfId="0"/>
    <cellStyle name="Accent4 2 7" xfId="0"/>
    <cellStyle name="Accent4 2 8" xfId="0"/>
    <cellStyle name="Accent4 2 9" xfId="0"/>
    <cellStyle name="Accent4 20" xfId="0"/>
    <cellStyle name="Accent4 20 2" xfId="0"/>
    <cellStyle name="Accent4 20 2 2" xfId="0"/>
    <cellStyle name="Accent4 20 3" xfId="0"/>
    <cellStyle name="Accent4 20 4" xfId="0"/>
    <cellStyle name="Accent4 200" xfId="0"/>
    <cellStyle name="Accent4 201" xfId="0"/>
    <cellStyle name="Accent4 202" xfId="0"/>
    <cellStyle name="Accent4 203" xfId="0"/>
    <cellStyle name="Accent4 204" xfId="0"/>
    <cellStyle name="Accent4 205" xfId="0"/>
    <cellStyle name="Accent4 206" xfId="0"/>
    <cellStyle name="Accent4 207" xfId="0"/>
    <cellStyle name="Accent4 208" xfId="0"/>
    <cellStyle name="Accent4 209" xfId="0"/>
    <cellStyle name="Accent4 21" xfId="0"/>
    <cellStyle name="Accent4 21 2" xfId="0"/>
    <cellStyle name="Accent4 21 2 2" xfId="0"/>
    <cellStyle name="Accent4 21 3" xfId="0"/>
    <cellStyle name="Accent4 210" xfId="0"/>
    <cellStyle name="Accent4 211" xfId="0"/>
    <cellStyle name="Accent4 212" xfId="0"/>
    <cellStyle name="Accent4 213" xfId="0"/>
    <cellStyle name="Accent4 214" xfId="0"/>
    <cellStyle name="Accent4 215" xfId="0"/>
    <cellStyle name="Accent4 216" xfId="0"/>
    <cellStyle name="Accent4 217" xfId="0"/>
    <cellStyle name="Accent4 218" xfId="0"/>
    <cellStyle name="Accent4 219" xfId="0"/>
    <cellStyle name="Accent4 22" xfId="0"/>
    <cellStyle name="Accent4 22 2" xfId="0"/>
    <cellStyle name="Accent4 22 2 2" xfId="0"/>
    <cellStyle name="Accent4 22 3" xfId="0"/>
    <cellStyle name="Accent4 220" xfId="0"/>
    <cellStyle name="Accent4 221" xfId="0"/>
    <cellStyle name="Accent4 222" xfId="0"/>
    <cellStyle name="Accent4 223" xfId="0"/>
    <cellStyle name="Accent4 224" xfId="0"/>
    <cellStyle name="Accent4 225" xfId="0"/>
    <cellStyle name="Accent4 226" xfId="0"/>
    <cellStyle name="Accent4 227" xfId="0"/>
    <cellStyle name="Accent4 228" xfId="0"/>
    <cellStyle name="Accent4 229" xfId="0"/>
    <cellStyle name="Accent4 23" xfId="0"/>
    <cellStyle name="Accent4 23 2" xfId="0"/>
    <cellStyle name="Accent4 23 2 2" xfId="0"/>
    <cellStyle name="Accent4 23 3" xfId="0"/>
    <cellStyle name="Accent4 230" xfId="0"/>
    <cellStyle name="Accent4 231" xfId="0"/>
    <cellStyle name="Accent4 232" xfId="0"/>
    <cellStyle name="Accent4 233" xfId="0"/>
    <cellStyle name="Accent4 234" xfId="0"/>
    <cellStyle name="Accent4 235" xfId="0"/>
    <cellStyle name="Accent4 236" xfId="0"/>
    <cellStyle name="Accent4 237" xfId="0"/>
    <cellStyle name="Accent4 238" xfId="0"/>
    <cellStyle name="Accent4 239" xfId="0"/>
    <cellStyle name="Accent4 24" xfId="0"/>
    <cellStyle name="Accent4 24 2" xfId="0"/>
    <cellStyle name="Accent4 24 2 2" xfId="0"/>
    <cellStyle name="Accent4 240" xfId="0"/>
    <cellStyle name="Accent4 241" xfId="0"/>
    <cellStyle name="Accent4 242" xfId="0"/>
    <cellStyle name="Accent4 243" xfId="0"/>
    <cellStyle name="Accent4 244" xfId="0"/>
    <cellStyle name="Accent4 245" xfId="0"/>
    <cellStyle name="Accent4 246" xfId="0"/>
    <cellStyle name="Accent4 247" xfId="0"/>
    <cellStyle name="Accent4 248" xfId="0"/>
    <cellStyle name="Accent4 249" xfId="0"/>
    <cellStyle name="Accent4 25" xfId="0"/>
    <cellStyle name="Accent4 25 2" xfId="0"/>
    <cellStyle name="Accent4 25 2 2" xfId="0"/>
    <cellStyle name="Accent4 250" xfId="0"/>
    <cellStyle name="Accent4 251" xfId="0"/>
    <cellStyle name="Accent4 252" xfId="0"/>
    <cellStyle name="Accent4 253" xfId="0"/>
    <cellStyle name="Accent4 254" xfId="0"/>
    <cellStyle name="Accent4 255" xfId="0"/>
    <cellStyle name="Accent4 256" xfId="0"/>
    <cellStyle name="Accent4 257" xfId="0"/>
    <cellStyle name="Accent4 258" xfId="0"/>
    <cellStyle name="Accent4 259" xfId="0"/>
    <cellStyle name="Accent4 26" xfId="0"/>
    <cellStyle name="Accent4 26 2" xfId="0"/>
    <cellStyle name="Accent4 26 2 2" xfId="0"/>
    <cellStyle name="Accent4 26 3" xfId="0"/>
    <cellStyle name="Accent4 260" xfId="0"/>
    <cellStyle name="Accent4 261" xfId="0"/>
    <cellStyle name="Accent4 262" xfId="0"/>
    <cellStyle name="Accent4 263" xfId="0"/>
    <cellStyle name="Accent4 264" xfId="0"/>
    <cellStyle name="Accent4 265" xfId="0"/>
    <cellStyle name="Accent4 266" xfId="0"/>
    <cellStyle name="Accent4 267" xfId="0"/>
    <cellStyle name="Accent4 268" xfId="0"/>
    <cellStyle name="Accent4 269" xfId="0"/>
    <cellStyle name="Accent4 27" xfId="0"/>
    <cellStyle name="Accent4 27 2" xfId="0"/>
    <cellStyle name="Accent4 27 2 2" xfId="0"/>
    <cellStyle name="Accent4 27 3" xfId="0"/>
    <cellStyle name="Accent4 270" xfId="0"/>
    <cellStyle name="Accent4 271" xfId="0"/>
    <cellStyle name="Accent4 272" xfId="0"/>
    <cellStyle name="Accent4 273" xfId="0"/>
    <cellStyle name="Accent4 274" xfId="0"/>
    <cellStyle name="Accent4 275" xfId="0"/>
    <cellStyle name="Accent4 28" xfId="0"/>
    <cellStyle name="Accent4 28 2" xfId="0"/>
    <cellStyle name="Accent4 28 2 2" xfId="0"/>
    <cellStyle name="Accent4 28 3" xfId="0"/>
    <cellStyle name="Accent4 29" xfId="0"/>
    <cellStyle name="Accent4 29 2" xfId="0"/>
    <cellStyle name="Accent4 29 2 2" xfId="0"/>
    <cellStyle name="Accent4 29 3" xfId="0"/>
    <cellStyle name="Accent4 2_Market Fresh Cost" xfId="0"/>
    <cellStyle name="Accent4 3" xfId="0"/>
    <cellStyle name="Accent4 3 2" xfId="0"/>
    <cellStyle name="Accent4 3 2 2" xfId="0"/>
    <cellStyle name="Accent4 3 2 3" xfId="0"/>
    <cellStyle name="Accent4 3 3" xfId="0"/>
    <cellStyle name="Accent4 3 3 2" xfId="0"/>
    <cellStyle name="Accent4 3 3 3" xfId="0"/>
    <cellStyle name="Accent4 3 4" xfId="0"/>
    <cellStyle name="Accent4 3 4 2" xfId="0"/>
    <cellStyle name="Accent4 3 5" xfId="0"/>
    <cellStyle name="Accent4 3 5 2" xfId="0"/>
    <cellStyle name="Accent4 3 6" xfId="0"/>
    <cellStyle name="Accent4 3 7" xfId="0"/>
    <cellStyle name="Accent4 3 8" xfId="0"/>
    <cellStyle name="Accent4 3 9" xfId="0"/>
    <cellStyle name="Accent4 30" xfId="0"/>
    <cellStyle name="Accent4 30 2" xfId="0"/>
    <cellStyle name="Accent4 30 2 2" xfId="0"/>
    <cellStyle name="Accent4 30 3" xfId="0"/>
    <cellStyle name="Accent4 31" xfId="0"/>
    <cellStyle name="Accent4 31 2" xfId="0"/>
    <cellStyle name="Accent4 31 2 2" xfId="0"/>
    <cellStyle name="Accent4 31 3" xfId="0"/>
    <cellStyle name="Accent4 32" xfId="0"/>
    <cellStyle name="Accent4 32 2" xfId="0"/>
    <cellStyle name="Accent4 32 2 2" xfId="0"/>
    <cellStyle name="Accent4 32 3" xfId="0"/>
    <cellStyle name="Accent4 33" xfId="0"/>
    <cellStyle name="Accent4 33 2" xfId="0"/>
    <cellStyle name="Accent4 33 2 2" xfId="0"/>
    <cellStyle name="Accent4 33 3" xfId="0"/>
    <cellStyle name="Accent4 34" xfId="0"/>
    <cellStyle name="Accent4 34 2" xfId="0"/>
    <cellStyle name="Accent4 34 2 2" xfId="0"/>
    <cellStyle name="Accent4 34 3" xfId="0"/>
    <cellStyle name="Accent4 35" xfId="0"/>
    <cellStyle name="Accent4 35 2" xfId="0"/>
    <cellStyle name="Accent4 35 2 2" xfId="0"/>
    <cellStyle name="Accent4 35 3" xfId="0"/>
    <cellStyle name="Accent4 36" xfId="0"/>
    <cellStyle name="Accent4 36 2" xfId="0"/>
    <cellStyle name="Accent4 36 3" xfId="0"/>
    <cellStyle name="Accent4 37" xfId="0"/>
    <cellStyle name="Accent4 37 2" xfId="0"/>
    <cellStyle name="Accent4 37 3" xfId="0"/>
    <cellStyle name="Accent4 38" xfId="0"/>
    <cellStyle name="Accent4 38 2" xfId="0"/>
    <cellStyle name="Accent4 38 3" xfId="0"/>
    <cellStyle name="Accent4 39" xfId="0"/>
    <cellStyle name="Accent4 39 2" xfId="0"/>
    <cellStyle name="Accent4 39 3" xfId="0"/>
    <cellStyle name="Accent4 3_Profitability Detail NT$ Sep-12" xfId="0"/>
    <cellStyle name="Accent4 4" xfId="0"/>
    <cellStyle name="Accent4 4 2" xfId="0"/>
    <cellStyle name="Accent4 4 2 2" xfId="0"/>
    <cellStyle name="Accent4 4 2 3" xfId="0"/>
    <cellStyle name="Accent4 4 3" xfId="0"/>
    <cellStyle name="Accent4 4 3 2" xfId="0"/>
    <cellStyle name="Accent4 4 3 3" xfId="0"/>
    <cellStyle name="Accent4 4 4" xfId="0"/>
    <cellStyle name="Accent4 4 4 2" xfId="0"/>
    <cellStyle name="Accent4 4 5" xfId="0"/>
    <cellStyle name="Accent4 4 5 2" xfId="0"/>
    <cellStyle name="Accent4 4 6" xfId="0"/>
    <cellStyle name="Accent4 4 7" xfId="0"/>
    <cellStyle name="Accent4 4 8" xfId="0"/>
    <cellStyle name="Accent4 4 9" xfId="0"/>
    <cellStyle name="Accent4 40" xfId="0"/>
    <cellStyle name="Accent4 40 2" xfId="0"/>
    <cellStyle name="Accent4 40 3" xfId="0"/>
    <cellStyle name="Accent4 41" xfId="0"/>
    <cellStyle name="Accent4 41 2" xfId="0"/>
    <cellStyle name="Accent4 41 3" xfId="0"/>
    <cellStyle name="Accent4 42" xfId="0"/>
    <cellStyle name="Accent4 42 2" xfId="0"/>
    <cellStyle name="Accent4 42 3" xfId="0"/>
    <cellStyle name="Accent4 43" xfId="0"/>
    <cellStyle name="Accent4 43 2" xfId="0"/>
    <cellStyle name="Accent4 43 3" xfId="0"/>
    <cellStyle name="Accent4 44" xfId="0"/>
    <cellStyle name="Accent4 44 2" xfId="0"/>
    <cellStyle name="Accent4 45" xfId="0"/>
    <cellStyle name="Accent4 45 2" xfId="0"/>
    <cellStyle name="Accent4 46" xfId="0"/>
    <cellStyle name="Accent4 46 2" xfId="0"/>
    <cellStyle name="Accent4 47" xfId="0"/>
    <cellStyle name="Accent4 47 2" xfId="0"/>
    <cellStyle name="Accent4 48" xfId="0"/>
    <cellStyle name="Accent4 48 2" xfId="0"/>
    <cellStyle name="Accent4 49" xfId="0"/>
    <cellStyle name="Accent4 49 2" xfId="0"/>
    <cellStyle name="Accent4 4_Profitability Detail NT$ Sep-12" xfId="0"/>
    <cellStyle name="Accent4 5" xfId="0"/>
    <cellStyle name="Accent4 5 2" xfId="0"/>
    <cellStyle name="Accent4 5 3" xfId="0"/>
    <cellStyle name="Accent4 5 3 2" xfId="0"/>
    <cellStyle name="Accent4 5 4" xfId="0"/>
    <cellStyle name="Accent4 5 5" xfId="0"/>
    <cellStyle name="Accent4 50" xfId="0"/>
    <cellStyle name="Accent4 50 2" xfId="0"/>
    <cellStyle name="Accent4 51" xfId="0"/>
    <cellStyle name="Accent4 51 2" xfId="0"/>
    <cellStyle name="Accent4 52" xfId="0"/>
    <cellStyle name="Accent4 52 2" xfId="0"/>
    <cellStyle name="Accent4 53" xfId="0"/>
    <cellStyle name="Accent4 53 2" xfId="0"/>
    <cellStyle name="Accent4 54" xfId="0"/>
    <cellStyle name="Accent4 54 2" xfId="0"/>
    <cellStyle name="Accent4 55" xfId="0"/>
    <cellStyle name="Accent4 56" xfId="0"/>
    <cellStyle name="Accent4 56 2" xfId="0"/>
    <cellStyle name="Accent4 57" xfId="0"/>
    <cellStyle name="Accent4 57 2" xfId="0"/>
    <cellStyle name="Accent4 58" xfId="0"/>
    <cellStyle name="Accent4 58 2" xfId="0"/>
    <cellStyle name="Accent4 59" xfId="0"/>
    <cellStyle name="Accent4 59 2" xfId="0"/>
    <cellStyle name="Accent4 6" xfId="0"/>
    <cellStyle name="Accent4 6 2" xfId="0"/>
    <cellStyle name="Accent4 6 3" xfId="0"/>
    <cellStyle name="Accent4 6 3 2" xfId="0"/>
    <cellStyle name="Accent4 6 4" xfId="0"/>
    <cellStyle name="Accent4 6 5" xfId="0"/>
    <cellStyle name="Accent4 60" xfId="0"/>
    <cellStyle name="Accent4 60 2" xfId="0"/>
    <cellStyle name="Accent4 61" xfId="0"/>
    <cellStyle name="Accent4 61 2" xfId="0"/>
    <cellStyle name="Accent4 62" xfId="0"/>
    <cellStyle name="Accent4 62 2" xfId="0"/>
    <cellStyle name="Accent4 63" xfId="0"/>
    <cellStyle name="Accent4 63 2" xfId="0"/>
    <cellStyle name="Accent4 64" xfId="0"/>
    <cellStyle name="Accent4 64 2" xfId="0"/>
    <cellStyle name="Accent4 65" xfId="0"/>
    <cellStyle name="Accent4 65 2" xfId="0"/>
    <cellStyle name="Accent4 66" xfId="0"/>
    <cellStyle name="Accent4 66 2" xfId="0"/>
    <cellStyle name="Accent4 67" xfId="0"/>
    <cellStyle name="Accent4 67 2" xfId="0"/>
    <cellStyle name="Accent4 68" xfId="0"/>
    <cellStyle name="Accent4 68 2" xfId="0"/>
    <cellStyle name="Accent4 69" xfId="0"/>
    <cellStyle name="Accent4 69 2" xfId="0"/>
    <cellStyle name="Accent4 7" xfId="0"/>
    <cellStyle name="Accent4 7 2" xfId="0"/>
    <cellStyle name="Accent4 7 3" xfId="0"/>
    <cellStyle name="Accent4 7 3 2" xfId="0"/>
    <cellStyle name="Accent4 7 4" xfId="0"/>
    <cellStyle name="Accent4 7 5" xfId="0"/>
    <cellStyle name="Accent4 70" xfId="0"/>
    <cellStyle name="Accent4 70 2" xfId="0"/>
    <cellStyle name="Accent4 71" xfId="0"/>
    <cellStyle name="Accent4 71 2" xfId="0"/>
    <cellStyle name="Accent4 72" xfId="0"/>
    <cellStyle name="Accent4 72 2" xfId="0"/>
    <cellStyle name="Accent4 73" xfId="0"/>
    <cellStyle name="Accent4 74" xfId="0"/>
    <cellStyle name="Accent4 75" xfId="0"/>
    <cellStyle name="Accent4 76" xfId="0"/>
    <cellStyle name="Accent4 77" xfId="0"/>
    <cellStyle name="Accent4 78" xfId="0"/>
    <cellStyle name="Accent4 79" xfId="0"/>
    <cellStyle name="Accent4 8" xfId="0"/>
    <cellStyle name="Accent4 8 2" xfId="0"/>
    <cellStyle name="Accent4 8 3" xfId="0"/>
    <cellStyle name="Accent4 8 3 2" xfId="0"/>
    <cellStyle name="Accent4 8 4" xfId="0"/>
    <cellStyle name="Accent4 8 5" xfId="0"/>
    <cellStyle name="Accent4 80" xfId="0"/>
    <cellStyle name="Accent4 81" xfId="0"/>
    <cellStyle name="Accent4 82" xfId="0"/>
    <cellStyle name="Accent4 83" xfId="0"/>
    <cellStyle name="Accent4 84" xfId="0"/>
    <cellStyle name="Accent4 85" xfId="0"/>
    <cellStyle name="Accent4 86" xfId="0"/>
    <cellStyle name="Accent4 87" xfId="0"/>
    <cellStyle name="Accent4 88" xfId="0"/>
    <cellStyle name="Accent4 89" xfId="0"/>
    <cellStyle name="Accent4 9" xfId="0"/>
    <cellStyle name="Accent4 9 2" xfId="0"/>
    <cellStyle name="Accent4 9 2 2" xfId="0"/>
    <cellStyle name="Accent4 9 3" xfId="0"/>
    <cellStyle name="Accent4 9 4" xfId="0"/>
    <cellStyle name="Accent4 90" xfId="0"/>
    <cellStyle name="Accent4 91" xfId="0"/>
    <cellStyle name="Accent4 92" xfId="0"/>
    <cellStyle name="Accent4 93" xfId="0"/>
    <cellStyle name="Accent4 94" xfId="0"/>
    <cellStyle name="Accent4 95" xfId="0"/>
    <cellStyle name="Accent4 96" xfId="0"/>
    <cellStyle name="Accent4 97" xfId="0"/>
    <cellStyle name="Accent4 98" xfId="0"/>
    <cellStyle name="Accent4 99" xfId="0"/>
    <cellStyle name="Accent4_13-wk VSA_Revised" xfId="0"/>
    <cellStyle name="Accent5" xfId="0"/>
    <cellStyle name="Accent5 - 20%" xfId="0"/>
    <cellStyle name="Accent5 - 20% 2" xfId="0"/>
    <cellStyle name="Accent5 - 20% 2 2" xfId="0"/>
    <cellStyle name="Accent5 - 20% 2 2 2" xfId="0"/>
    <cellStyle name="Accent5 - 20% 2_Market Fresh Cost" xfId="0"/>
    <cellStyle name="Accent5 - 20% 3" xfId="0"/>
    <cellStyle name="Accent5 - 20% 3 2" xfId="0"/>
    <cellStyle name="Accent5 - 20% 4" xfId="0"/>
    <cellStyle name="Accent5 - 20% 4 2" xfId="0"/>
    <cellStyle name="Accent5 - 20% 5" xfId="0"/>
    <cellStyle name="Accent5 - 20% 6" xfId="0"/>
    <cellStyle name="Accent5 - 20% 7" xfId="0"/>
    <cellStyle name="Accent5 - 20%_Market Fresh Cost" xfId="0"/>
    <cellStyle name="Accent5 - 40%" xfId="0"/>
    <cellStyle name="Accent5 - 40% 2" xfId="0"/>
    <cellStyle name="Accent5 - 40% 2 2" xfId="0"/>
    <cellStyle name="Accent5 - 40% 2 2 2" xfId="0"/>
    <cellStyle name="Accent5 - 40% 2_Market Fresh Cost" xfId="0"/>
    <cellStyle name="Accent5 - 40% 3" xfId="0"/>
    <cellStyle name="Accent5 - 40% 3 2" xfId="0"/>
    <cellStyle name="Accent5 - 40% 4" xfId="0"/>
    <cellStyle name="Accent5 - 40% 4 2" xfId="0"/>
    <cellStyle name="Accent5 - 40% 5" xfId="0"/>
    <cellStyle name="Accent5 - 40% 6" xfId="0"/>
    <cellStyle name="Accent5 - 40% 7" xfId="0"/>
    <cellStyle name="Accent5 - 40%_Market Fresh Cost" xfId="0"/>
    <cellStyle name="Accent5 - 60%" xfId="0"/>
    <cellStyle name="Accent5 - 60% 2" xfId="0"/>
    <cellStyle name="Accent5 - 60% 2 2" xfId="0"/>
    <cellStyle name="Accent5 - 60% 2 2 2" xfId="0"/>
    <cellStyle name="Accent5 - 60% 2 3" xfId="0"/>
    <cellStyle name="Accent5 - 60% 2_Market Fresh Cost" xfId="0"/>
    <cellStyle name="Accent5 - 60% 3" xfId="0"/>
    <cellStyle name="Accent5 - 60% 3 2" xfId="0"/>
    <cellStyle name="Accent5 - 60% 3 3" xfId="0"/>
    <cellStyle name="Accent5 - 60% 4" xfId="0"/>
    <cellStyle name="Accent5 - 60% 5" xfId="0"/>
    <cellStyle name="Accent5 - 60% 6" xfId="0"/>
    <cellStyle name="Accent5 - 60% 7" xfId="0"/>
    <cellStyle name="Accent5 - 60% 8" xfId="0"/>
    <cellStyle name="Accent5 - 60%_LCD" xfId="0"/>
    <cellStyle name="Accent5 10" xfId="0"/>
    <cellStyle name="Accent5 10 2" xfId="0"/>
    <cellStyle name="Accent5 10 2 2" xfId="0"/>
    <cellStyle name="Accent5 100" xfId="0"/>
    <cellStyle name="Accent5 101" xfId="0"/>
    <cellStyle name="Accent5 102" xfId="0"/>
    <cellStyle name="Accent5 103" xfId="0"/>
    <cellStyle name="Accent5 104" xfId="0"/>
    <cellStyle name="Accent5 105" xfId="0"/>
    <cellStyle name="Accent5 106" xfId="0"/>
    <cellStyle name="Accent5 107" xfId="0"/>
    <cellStyle name="Accent5 108" xfId="0"/>
    <cellStyle name="Accent5 109" xfId="0"/>
    <cellStyle name="Accent5 11" xfId="0"/>
    <cellStyle name="Accent5 11 2" xfId="0"/>
    <cellStyle name="Accent5 11 2 2" xfId="0"/>
    <cellStyle name="Accent5 110" xfId="0"/>
    <cellStyle name="Accent5 111" xfId="0"/>
    <cellStyle name="Accent5 112" xfId="0"/>
    <cellStyle name="Accent5 113" xfId="0"/>
    <cellStyle name="Accent5 114" xfId="0"/>
    <cellStyle name="Accent5 115" xfId="0"/>
    <cellStyle name="Accent5 116" xfId="0"/>
    <cellStyle name="Accent5 117" xfId="0"/>
    <cellStyle name="Accent5 118" xfId="0"/>
    <cellStyle name="Accent5 119" xfId="0"/>
    <cellStyle name="Accent5 12" xfId="0"/>
    <cellStyle name="Accent5 12 2" xfId="0"/>
    <cellStyle name="Accent5 12 2 2" xfId="0"/>
    <cellStyle name="Accent5 120" xfId="0"/>
    <cellStyle name="Accent5 121" xfId="0"/>
    <cellStyle name="Accent5 122" xfId="0"/>
    <cellStyle name="Accent5 123" xfId="0"/>
    <cellStyle name="Accent5 124" xfId="0"/>
    <cellStyle name="Accent5 125" xfId="0"/>
    <cellStyle name="Accent5 126" xfId="0"/>
    <cellStyle name="Accent5 127" xfId="0"/>
    <cellStyle name="Accent5 128" xfId="0"/>
    <cellStyle name="Accent5 129" xfId="0"/>
    <cellStyle name="Accent5 13" xfId="0"/>
    <cellStyle name="Accent5 13 2" xfId="0"/>
    <cellStyle name="Accent5 13 2 2" xfId="0"/>
    <cellStyle name="Accent5 130" xfId="0"/>
    <cellStyle name="Accent5 131" xfId="0"/>
    <cellStyle name="Accent5 132" xfId="0"/>
    <cellStyle name="Accent5 133" xfId="0"/>
    <cellStyle name="Accent5 134" xfId="0"/>
    <cellStyle name="Accent5 135" xfId="0"/>
    <cellStyle name="Accent5 136" xfId="0"/>
    <cellStyle name="Accent5 137" xfId="0"/>
    <cellStyle name="Accent5 138" xfId="0"/>
    <cellStyle name="Accent5 139" xfId="0"/>
    <cellStyle name="Accent5 14" xfId="0"/>
    <cellStyle name="Accent5 14 2" xfId="0"/>
    <cellStyle name="Accent5 14 2 2" xfId="0"/>
    <cellStyle name="Accent5 140" xfId="0"/>
    <cellStyle name="Accent5 141" xfId="0"/>
    <cellStyle name="Accent5 142" xfId="0"/>
    <cellStyle name="Accent5 143" xfId="0"/>
    <cellStyle name="Accent5 144" xfId="0"/>
    <cellStyle name="Accent5 145" xfId="0"/>
    <cellStyle name="Accent5 146" xfId="0"/>
    <cellStyle name="Accent5 147" xfId="0"/>
    <cellStyle name="Accent5 148" xfId="0"/>
    <cellStyle name="Accent5 149" xfId="0"/>
    <cellStyle name="Accent5 15" xfId="0"/>
    <cellStyle name="Accent5 15 2" xfId="0"/>
    <cellStyle name="Accent5 15 2 2" xfId="0"/>
    <cellStyle name="Accent5 150" xfId="0"/>
    <cellStyle name="Accent5 151" xfId="0"/>
    <cellStyle name="Accent5 152" xfId="0"/>
    <cellStyle name="Accent5 153" xfId="0"/>
    <cellStyle name="Accent5 154" xfId="0"/>
    <cellStyle name="Accent5 155" xfId="0"/>
    <cellStyle name="Accent5 156" xfId="0"/>
    <cellStyle name="Accent5 157" xfId="0"/>
    <cellStyle name="Accent5 158" xfId="0"/>
    <cellStyle name="Accent5 159" xfId="0"/>
    <cellStyle name="Accent5 16" xfId="0"/>
    <cellStyle name="Accent5 16 2" xfId="0"/>
    <cellStyle name="Accent5 16 2 2" xfId="0"/>
    <cellStyle name="Accent5 160" xfId="0"/>
    <cellStyle name="Accent5 161" xfId="0"/>
    <cellStyle name="Accent5 162" xfId="0"/>
    <cellStyle name="Accent5 163" xfId="0"/>
    <cellStyle name="Accent5 164" xfId="0"/>
    <cellStyle name="Accent5 165" xfId="0"/>
    <cellStyle name="Accent5 166" xfId="0"/>
    <cellStyle name="Accent5 167" xfId="0"/>
    <cellStyle name="Accent5 168" xfId="0"/>
    <cellStyle name="Accent5 169" xfId="0"/>
    <cellStyle name="Accent5 17" xfId="0"/>
    <cellStyle name="Accent5 17 2" xfId="0"/>
    <cellStyle name="Accent5 17 2 2" xfId="0"/>
    <cellStyle name="Accent5 170" xfId="0"/>
    <cellStyle name="Accent5 171" xfId="0"/>
    <cellStyle name="Accent5 172" xfId="0"/>
    <cellStyle name="Accent5 173" xfId="0"/>
    <cellStyle name="Accent5 174" xfId="0"/>
    <cellStyle name="Accent5 175" xfId="0"/>
    <cellStyle name="Accent5 176" xfId="0"/>
    <cellStyle name="Accent5 177" xfId="0"/>
    <cellStyle name="Accent5 178" xfId="0"/>
    <cellStyle name="Accent5 179" xfId="0"/>
    <cellStyle name="Accent5 18" xfId="0"/>
    <cellStyle name="Accent5 18 2" xfId="0"/>
    <cellStyle name="Accent5 18 2 2" xfId="0"/>
    <cellStyle name="Accent5 180" xfId="0"/>
    <cellStyle name="Accent5 181" xfId="0"/>
    <cellStyle name="Accent5 182" xfId="0"/>
    <cellStyle name="Accent5 183" xfId="0"/>
    <cellStyle name="Accent5 184" xfId="0"/>
    <cellStyle name="Accent5 185" xfId="0"/>
    <cellStyle name="Accent5 186" xfId="0"/>
    <cellStyle name="Accent5 187" xfId="0"/>
    <cellStyle name="Accent5 188" xfId="0"/>
    <cellStyle name="Accent5 189" xfId="0"/>
    <cellStyle name="Accent5 19" xfId="0"/>
    <cellStyle name="Accent5 19 2" xfId="0"/>
    <cellStyle name="Accent5 19 2 2" xfId="0"/>
    <cellStyle name="Accent5 190" xfId="0"/>
    <cellStyle name="Accent5 191" xfId="0"/>
    <cellStyle name="Accent5 192" xfId="0"/>
    <cellStyle name="Accent5 193" xfId="0"/>
    <cellStyle name="Accent5 194" xfId="0"/>
    <cellStyle name="Accent5 195" xfId="0"/>
    <cellStyle name="Accent5 196" xfId="0"/>
    <cellStyle name="Accent5 197" xfId="0"/>
    <cellStyle name="Accent5 198" xfId="0"/>
    <cellStyle name="Accent5 199" xfId="0"/>
    <cellStyle name="Accent5 2" xfId="0"/>
    <cellStyle name="Accent5 2 2" xfId="0"/>
    <cellStyle name="Accent5 2 2 2" xfId="0"/>
    <cellStyle name="Accent5 2 2 3" xfId="0"/>
    <cellStyle name="Accent5 2 3" xfId="0"/>
    <cellStyle name="Accent5 2 3 2" xfId="0"/>
    <cellStyle name="Accent5 2 3 3" xfId="0"/>
    <cellStyle name="Accent5 2 4" xfId="0"/>
    <cellStyle name="Accent5 2 4 2" xfId="0"/>
    <cellStyle name="Accent5 2 5" xfId="0"/>
    <cellStyle name="Accent5 2 5 2" xfId="0"/>
    <cellStyle name="Accent5 2 6" xfId="0"/>
    <cellStyle name="Accent5 20" xfId="0"/>
    <cellStyle name="Accent5 20 2" xfId="0"/>
    <cellStyle name="Accent5 20 2 2" xfId="0"/>
    <cellStyle name="Accent5 200" xfId="0"/>
    <cellStyle name="Accent5 201" xfId="0"/>
    <cellStyle name="Accent5 202" xfId="0"/>
    <cellStyle name="Accent5 203" xfId="0"/>
    <cellStyle name="Accent5 204" xfId="0"/>
    <cellStyle name="Accent5 205" xfId="0"/>
    <cellStyle name="Accent5 206" xfId="0"/>
    <cellStyle name="Accent5 207" xfId="0"/>
    <cellStyle name="Accent5 208" xfId="0"/>
    <cellStyle name="Accent5 209" xfId="0"/>
    <cellStyle name="Accent5 21" xfId="0"/>
    <cellStyle name="Accent5 21 2" xfId="0"/>
    <cellStyle name="Accent5 21 2 2" xfId="0"/>
    <cellStyle name="Accent5 210" xfId="0"/>
    <cellStyle name="Accent5 211" xfId="0"/>
    <cellStyle name="Accent5 212" xfId="0"/>
    <cellStyle name="Accent5 213" xfId="0"/>
    <cellStyle name="Accent5 214" xfId="0"/>
    <cellStyle name="Accent5 215" xfId="0"/>
    <cellStyle name="Accent5 216" xfId="0"/>
    <cellStyle name="Accent5 217" xfId="0"/>
    <cellStyle name="Accent5 218" xfId="0"/>
    <cellStyle name="Accent5 219" xfId="0"/>
    <cellStyle name="Accent5 22" xfId="0"/>
    <cellStyle name="Accent5 22 2" xfId="0"/>
    <cellStyle name="Accent5 22 2 2" xfId="0"/>
    <cellStyle name="Accent5 220" xfId="0"/>
    <cellStyle name="Accent5 221" xfId="0"/>
    <cellStyle name="Accent5 222" xfId="0"/>
    <cellStyle name="Accent5 223" xfId="0"/>
    <cellStyle name="Accent5 224" xfId="0"/>
    <cellStyle name="Accent5 225" xfId="0"/>
    <cellStyle name="Accent5 226" xfId="0"/>
    <cellStyle name="Accent5 227" xfId="0"/>
    <cellStyle name="Accent5 228" xfId="0"/>
    <cellStyle name="Accent5 229" xfId="0"/>
    <cellStyle name="Accent5 23" xfId="0"/>
    <cellStyle name="Accent5 23 2" xfId="0"/>
    <cellStyle name="Accent5 23 2 2" xfId="0"/>
    <cellStyle name="Accent5 230" xfId="0"/>
    <cellStyle name="Accent5 231" xfId="0"/>
    <cellStyle name="Accent5 232" xfId="0"/>
    <cellStyle name="Accent5 233" xfId="0"/>
    <cellStyle name="Accent5 234" xfId="0"/>
    <cellStyle name="Accent5 235" xfId="0"/>
    <cellStyle name="Accent5 236" xfId="0"/>
    <cellStyle name="Accent5 237" xfId="0"/>
    <cellStyle name="Accent5 238" xfId="0"/>
    <cellStyle name="Accent5 239" xfId="0"/>
    <cellStyle name="Accent5 24" xfId="0"/>
    <cellStyle name="Accent5 24 2" xfId="0"/>
    <cellStyle name="Accent5 24 2 2" xfId="0"/>
    <cellStyle name="Accent5 240" xfId="0"/>
    <cellStyle name="Accent5 241" xfId="0"/>
    <cellStyle name="Accent5 242" xfId="0"/>
    <cellStyle name="Accent5 243" xfId="0"/>
    <cellStyle name="Accent5 244" xfId="0"/>
    <cellStyle name="Accent5 245" xfId="0"/>
    <cellStyle name="Accent5 246" xfId="0"/>
    <cellStyle name="Accent5 247" xfId="0"/>
    <cellStyle name="Accent5 248" xfId="0"/>
    <cellStyle name="Accent5 249" xfId="0"/>
    <cellStyle name="Accent5 25" xfId="0"/>
    <cellStyle name="Accent5 25 2" xfId="0"/>
    <cellStyle name="Accent5 25 2 2" xfId="0"/>
    <cellStyle name="Accent5 250" xfId="0"/>
    <cellStyle name="Accent5 251" xfId="0"/>
    <cellStyle name="Accent5 252" xfId="0"/>
    <cellStyle name="Accent5 253" xfId="0"/>
    <cellStyle name="Accent5 254" xfId="0"/>
    <cellStyle name="Accent5 255" xfId="0"/>
    <cellStyle name="Accent5 256" xfId="0"/>
    <cellStyle name="Accent5 257" xfId="0"/>
    <cellStyle name="Accent5 258" xfId="0"/>
    <cellStyle name="Accent5 259" xfId="0"/>
    <cellStyle name="Accent5 26" xfId="0"/>
    <cellStyle name="Accent5 26 2" xfId="0"/>
    <cellStyle name="Accent5 26 2 2" xfId="0"/>
    <cellStyle name="Accent5 260" xfId="0"/>
    <cellStyle name="Accent5 261" xfId="0"/>
    <cellStyle name="Accent5 262" xfId="0"/>
    <cellStyle name="Accent5 263" xfId="0"/>
    <cellStyle name="Accent5 264" xfId="0"/>
    <cellStyle name="Accent5 265" xfId="0"/>
    <cellStyle name="Accent5 266" xfId="0"/>
    <cellStyle name="Accent5 267" xfId="0"/>
    <cellStyle name="Accent5 268" xfId="0"/>
    <cellStyle name="Accent5 269" xfId="0"/>
    <cellStyle name="Accent5 27" xfId="0"/>
    <cellStyle name="Accent5 27 2" xfId="0"/>
    <cellStyle name="Accent5 27 2 2" xfId="0"/>
    <cellStyle name="Accent5 270" xfId="0"/>
    <cellStyle name="Accent5 271" xfId="0"/>
    <cellStyle name="Accent5 272" xfId="0"/>
    <cellStyle name="Accent5 273" xfId="0"/>
    <cellStyle name="Accent5 274" xfId="0"/>
    <cellStyle name="Accent5 275" xfId="0"/>
    <cellStyle name="Accent5 28" xfId="0"/>
    <cellStyle name="Accent5 28 2" xfId="0"/>
    <cellStyle name="Accent5 28 2 2" xfId="0"/>
    <cellStyle name="Accent5 29" xfId="0"/>
    <cellStyle name="Accent5 29 2" xfId="0"/>
    <cellStyle name="Accent5 29 2 2" xfId="0"/>
    <cellStyle name="Accent5 2_Market Fresh Cost" xfId="0"/>
    <cellStyle name="Accent5 3" xfId="0"/>
    <cellStyle name="Accent5 3 2" xfId="0"/>
    <cellStyle name="Accent5 3 2 2" xfId="0"/>
    <cellStyle name="Accent5 3 2 3" xfId="0"/>
    <cellStyle name="Accent5 3 3" xfId="0"/>
    <cellStyle name="Accent5 3 3 2" xfId="0"/>
    <cellStyle name="Accent5 3 4" xfId="0"/>
    <cellStyle name="Accent5 3 4 2" xfId="0"/>
    <cellStyle name="Accent5 3 5" xfId="0"/>
    <cellStyle name="Accent5 3 5 2" xfId="0"/>
    <cellStyle name="Accent5 3 6" xfId="0"/>
    <cellStyle name="Accent5 30" xfId="0"/>
    <cellStyle name="Accent5 30 2" xfId="0"/>
    <cellStyle name="Accent5 30 2 2" xfId="0"/>
    <cellStyle name="Accent5 31" xfId="0"/>
    <cellStyle name="Accent5 31 2" xfId="0"/>
    <cellStyle name="Accent5 31 2 2" xfId="0"/>
    <cellStyle name="Accent5 32" xfId="0"/>
    <cellStyle name="Accent5 32 2" xfId="0"/>
    <cellStyle name="Accent5 32 2 2" xfId="0"/>
    <cellStyle name="Accent5 33" xfId="0"/>
    <cellStyle name="Accent5 33 2" xfId="0"/>
    <cellStyle name="Accent5 33 2 2" xfId="0"/>
    <cellStyle name="Accent5 34" xfId="0"/>
    <cellStyle name="Accent5 34 2" xfId="0"/>
    <cellStyle name="Accent5 34 2 2" xfId="0"/>
    <cellStyle name="Accent5 35" xfId="0"/>
    <cellStyle name="Accent5 35 2" xfId="0"/>
    <cellStyle name="Accent5 35 2 2" xfId="0"/>
    <cellStyle name="Accent5 36" xfId="0"/>
    <cellStyle name="Accent5 36 2" xfId="0"/>
    <cellStyle name="Accent5 36 3" xfId="0"/>
    <cellStyle name="Accent5 37" xfId="0"/>
    <cellStyle name="Accent5 37 2" xfId="0"/>
    <cellStyle name="Accent5 37 3" xfId="0"/>
    <cellStyle name="Accent5 38" xfId="0"/>
    <cellStyle name="Accent5 38 2" xfId="0"/>
    <cellStyle name="Accent5 38 3" xfId="0"/>
    <cellStyle name="Accent5 39" xfId="0"/>
    <cellStyle name="Accent5 39 2" xfId="0"/>
    <cellStyle name="Accent5 39 3" xfId="0"/>
    <cellStyle name="Accent5 3_Profitability Detail NT$ Sep-12" xfId="0"/>
    <cellStyle name="Accent5 4" xfId="0"/>
    <cellStyle name="Accent5 4 2" xfId="0"/>
    <cellStyle name="Accent5 4 2 2" xfId="0"/>
    <cellStyle name="Accent5 4 2 3" xfId="0"/>
    <cellStyle name="Accent5 4 3" xfId="0"/>
    <cellStyle name="Accent5 4 3 2" xfId="0"/>
    <cellStyle name="Accent5 4 4" xfId="0"/>
    <cellStyle name="Accent5 4 4 2" xfId="0"/>
    <cellStyle name="Accent5 4 5" xfId="0"/>
    <cellStyle name="Accent5 4 5 2" xfId="0"/>
    <cellStyle name="Accent5 4 6" xfId="0"/>
    <cellStyle name="Accent5 40" xfId="0"/>
    <cellStyle name="Accent5 40 2" xfId="0"/>
    <cellStyle name="Accent5 40 3" xfId="0"/>
    <cellStyle name="Accent5 41" xfId="0"/>
    <cellStyle name="Accent5 41 2" xfId="0"/>
    <cellStyle name="Accent5 41 3" xfId="0"/>
    <cellStyle name="Accent5 42" xfId="0"/>
    <cellStyle name="Accent5 42 2" xfId="0"/>
    <cellStyle name="Accent5 42 3" xfId="0"/>
    <cellStyle name="Accent5 43" xfId="0"/>
    <cellStyle name="Accent5 43 2" xfId="0"/>
    <cellStyle name="Accent5 43 3" xfId="0"/>
    <cellStyle name="Accent5 44" xfId="0"/>
    <cellStyle name="Accent5 44 2" xfId="0"/>
    <cellStyle name="Accent5 45" xfId="0"/>
    <cellStyle name="Accent5 45 2" xfId="0"/>
    <cellStyle name="Accent5 46" xfId="0"/>
    <cellStyle name="Accent5 46 2" xfId="0"/>
    <cellStyle name="Accent5 47" xfId="0"/>
    <cellStyle name="Accent5 47 2" xfId="0"/>
    <cellStyle name="Accent5 48" xfId="0"/>
    <cellStyle name="Accent5 48 2" xfId="0"/>
    <cellStyle name="Accent5 49" xfId="0"/>
    <cellStyle name="Accent5 49 2" xfId="0"/>
    <cellStyle name="Accent5 4_Profitability Detail NT$ Sep-12" xfId="0"/>
    <cellStyle name="Accent5 5" xfId="0"/>
    <cellStyle name="Accent5 5 2" xfId="0"/>
    <cellStyle name="Accent5 5 2 2" xfId="0"/>
    <cellStyle name="Accent5 50" xfId="0"/>
    <cellStyle name="Accent5 50 2" xfId="0"/>
    <cellStyle name="Accent5 51" xfId="0"/>
    <cellStyle name="Accent5 51 2" xfId="0"/>
    <cellStyle name="Accent5 52" xfId="0"/>
    <cellStyle name="Accent5 52 2" xfId="0"/>
    <cellStyle name="Accent5 53" xfId="0"/>
    <cellStyle name="Accent5 53 2" xfId="0"/>
    <cellStyle name="Accent5 54" xfId="0"/>
    <cellStyle name="Accent5 54 2" xfId="0"/>
    <cellStyle name="Accent5 55" xfId="0"/>
    <cellStyle name="Accent5 56" xfId="0"/>
    <cellStyle name="Accent5 56 2" xfId="0"/>
    <cellStyle name="Accent5 57" xfId="0"/>
    <cellStyle name="Accent5 57 2" xfId="0"/>
    <cellStyle name="Accent5 58" xfId="0"/>
    <cellStyle name="Accent5 58 2" xfId="0"/>
    <cellStyle name="Accent5 59" xfId="0"/>
    <cellStyle name="Accent5 59 2" xfId="0"/>
    <cellStyle name="Accent5 6" xfId="0"/>
    <cellStyle name="Accent5 6 2" xfId="0"/>
    <cellStyle name="Accent5 6 2 2" xfId="0"/>
    <cellStyle name="Accent5 60" xfId="0"/>
    <cellStyle name="Accent5 60 2" xfId="0"/>
    <cellStyle name="Accent5 61" xfId="0"/>
    <cellStyle name="Accent5 61 2" xfId="0"/>
    <cellStyle name="Accent5 62" xfId="0"/>
    <cellStyle name="Accent5 62 2" xfId="0"/>
    <cellStyle name="Accent5 63" xfId="0"/>
    <cellStyle name="Accent5 63 2" xfId="0"/>
    <cellStyle name="Accent5 64" xfId="0"/>
    <cellStyle name="Accent5 64 2" xfId="0"/>
    <cellStyle name="Accent5 65" xfId="0"/>
    <cellStyle name="Accent5 65 2" xfId="0"/>
    <cellStyle name="Accent5 66" xfId="0"/>
    <cellStyle name="Accent5 66 2" xfId="0"/>
    <cellStyle name="Accent5 67" xfId="0"/>
    <cellStyle name="Accent5 67 2" xfId="0"/>
    <cellStyle name="Accent5 68" xfId="0"/>
    <cellStyle name="Accent5 68 2" xfId="0"/>
    <cellStyle name="Accent5 69" xfId="0"/>
    <cellStyle name="Accent5 69 2" xfId="0"/>
    <cellStyle name="Accent5 7" xfId="0"/>
    <cellStyle name="Accent5 7 2" xfId="0"/>
    <cellStyle name="Accent5 7 2 2" xfId="0"/>
    <cellStyle name="Accent5 70" xfId="0"/>
    <cellStyle name="Accent5 70 2" xfId="0"/>
    <cellStyle name="Accent5 71" xfId="0"/>
    <cellStyle name="Accent5 71 2" xfId="0"/>
    <cellStyle name="Accent5 72" xfId="0"/>
    <cellStyle name="Accent5 72 2" xfId="0"/>
    <cellStyle name="Accent5 73" xfId="0"/>
    <cellStyle name="Accent5 74" xfId="0"/>
    <cellStyle name="Accent5 75" xfId="0"/>
    <cellStyle name="Accent5 76" xfId="0"/>
    <cellStyle name="Accent5 77" xfId="0"/>
    <cellStyle name="Accent5 78" xfId="0"/>
    <cellStyle name="Accent5 79" xfId="0"/>
    <cellStyle name="Accent5 8" xfId="0"/>
    <cellStyle name="Accent5 8 2" xfId="0"/>
    <cellStyle name="Accent5 8 2 2" xfId="0"/>
    <cellStyle name="Accent5 80" xfId="0"/>
    <cellStyle name="Accent5 81" xfId="0"/>
    <cellStyle name="Accent5 82" xfId="0"/>
    <cellStyle name="Accent5 83" xfId="0"/>
    <cellStyle name="Accent5 84" xfId="0"/>
    <cellStyle name="Accent5 85" xfId="0"/>
    <cellStyle name="Accent5 86" xfId="0"/>
    <cellStyle name="Accent5 87" xfId="0"/>
    <cellStyle name="Accent5 88" xfId="0"/>
    <cellStyle name="Accent5 89" xfId="0"/>
    <cellStyle name="Accent5 9" xfId="0"/>
    <cellStyle name="Accent5 9 2" xfId="0"/>
    <cellStyle name="Accent5 9 2 2" xfId="0"/>
    <cellStyle name="Accent5 90" xfId="0"/>
    <cellStyle name="Accent5 91" xfId="0"/>
    <cellStyle name="Accent5 92" xfId="0"/>
    <cellStyle name="Accent5 93" xfId="0"/>
    <cellStyle name="Accent5 94" xfId="0"/>
    <cellStyle name="Accent5 95" xfId="0"/>
    <cellStyle name="Accent5 96" xfId="0"/>
    <cellStyle name="Accent5 97" xfId="0"/>
    <cellStyle name="Accent5 98" xfId="0"/>
    <cellStyle name="Accent5 99" xfId="0"/>
    <cellStyle name="Accent5_13-wk VSA_Revised" xfId="0"/>
    <cellStyle name="Accent6" xfId="0"/>
    <cellStyle name="Accent6 - 20%" xfId="0"/>
    <cellStyle name="Accent6 - 20% 2" xfId="0"/>
    <cellStyle name="Accent6 - 20% 2 2" xfId="0"/>
    <cellStyle name="Accent6 - 20% 2_Market Fresh Cost" xfId="0"/>
    <cellStyle name="Accent6 - 20% 3" xfId="0"/>
    <cellStyle name="Accent6 - 20% 3 2" xfId="0"/>
    <cellStyle name="Accent6 - 20% 4" xfId="0"/>
    <cellStyle name="Accent6 - 20% 5" xfId="0"/>
    <cellStyle name="Accent6 - 20% 6" xfId="0"/>
    <cellStyle name="Accent6 - 20% 7" xfId="0"/>
    <cellStyle name="Accent6 - 20%_Market Fresh Cost" xfId="0"/>
    <cellStyle name="Accent6 - 40%" xfId="0"/>
    <cellStyle name="Accent6 - 40% 2" xfId="0"/>
    <cellStyle name="Accent6 - 40% 2 2" xfId="0"/>
    <cellStyle name="Accent6 - 40% 2_Market Fresh Cost" xfId="0"/>
    <cellStyle name="Accent6 - 40% 3" xfId="0"/>
    <cellStyle name="Accent6 - 40% 3 2" xfId="0"/>
    <cellStyle name="Accent6 - 40% 4" xfId="0"/>
    <cellStyle name="Accent6 - 40% 5" xfId="0"/>
    <cellStyle name="Accent6 - 40% 6" xfId="0"/>
    <cellStyle name="Accent6 - 40% 7" xfId="0"/>
    <cellStyle name="Accent6 - 40%_Market Fresh Cost" xfId="0"/>
    <cellStyle name="Accent6 - 60%" xfId="0"/>
    <cellStyle name="Accent6 - 60% 2" xfId="0"/>
    <cellStyle name="Accent6 - 60% 2 2" xfId="0"/>
    <cellStyle name="Accent6 - 60% 2_Market Fresh Cost" xfId="0"/>
    <cellStyle name="Accent6 - 60% 3" xfId="0"/>
    <cellStyle name="Accent6 - 60% 3 2" xfId="0"/>
    <cellStyle name="Accent6 - 60% 4" xfId="0"/>
    <cellStyle name="Accent6 - 60% 5" xfId="0"/>
    <cellStyle name="Accent6 - 60% 6" xfId="0"/>
    <cellStyle name="Accent6 - 60% 7" xfId="0"/>
    <cellStyle name="Accent6 - 60% 8" xfId="0"/>
    <cellStyle name="Accent6 - 60%_LCD" xfId="0"/>
    <cellStyle name="Accent6 10" xfId="0"/>
    <cellStyle name="Accent6 10 2" xfId="0"/>
    <cellStyle name="Accent6 10 2 2" xfId="0"/>
    <cellStyle name="Accent6 10 3" xfId="0"/>
    <cellStyle name="Accent6 10 4" xfId="0"/>
    <cellStyle name="Accent6 100" xfId="0"/>
    <cellStyle name="Accent6 101" xfId="0"/>
    <cellStyle name="Accent6 102" xfId="0"/>
    <cellStyle name="Accent6 103" xfId="0"/>
    <cellStyle name="Accent6 104" xfId="0"/>
    <cellStyle name="Accent6 105" xfId="0"/>
    <cellStyle name="Accent6 106" xfId="0"/>
    <cellStyle name="Accent6 107" xfId="0"/>
    <cellStyle name="Accent6 108" xfId="0"/>
    <cellStyle name="Accent6 109" xfId="0"/>
    <cellStyle name="Accent6 11" xfId="0"/>
    <cellStyle name="Accent6 11 2" xfId="0"/>
    <cellStyle name="Accent6 11 2 2" xfId="0"/>
    <cellStyle name="Accent6 11 3" xfId="0"/>
    <cellStyle name="Accent6 11 4" xfId="0"/>
    <cellStyle name="Accent6 110" xfId="0"/>
    <cellStyle name="Accent6 111" xfId="0"/>
    <cellStyle name="Accent6 112" xfId="0"/>
    <cellStyle name="Accent6 113" xfId="0"/>
    <cellStyle name="Accent6 114" xfId="0"/>
    <cellStyle name="Accent6 115" xfId="0"/>
    <cellStyle name="Accent6 116" xfId="0"/>
    <cellStyle name="Accent6 117" xfId="0"/>
    <cellStyle name="Accent6 118" xfId="0"/>
    <cellStyle name="Accent6 119" xfId="0"/>
    <cellStyle name="Accent6 12" xfId="0"/>
    <cellStyle name="Accent6 12 2" xfId="0"/>
    <cellStyle name="Accent6 12 2 2" xfId="0"/>
    <cellStyle name="Accent6 12 3" xfId="0"/>
    <cellStyle name="Accent6 12 4" xfId="0"/>
    <cellStyle name="Accent6 120" xfId="0"/>
    <cellStyle name="Accent6 121" xfId="0"/>
    <cellStyle name="Accent6 122" xfId="0"/>
    <cellStyle name="Accent6 123" xfId="0"/>
    <cellStyle name="Accent6 124" xfId="0"/>
    <cellStyle name="Accent6 125" xfId="0"/>
    <cellStyle name="Accent6 126" xfId="0"/>
    <cellStyle name="Accent6 127" xfId="0"/>
    <cellStyle name="Accent6 128" xfId="0"/>
    <cellStyle name="Accent6 129" xfId="0"/>
    <cellStyle name="Accent6 13" xfId="0"/>
    <cellStyle name="Accent6 13 2" xfId="0"/>
    <cellStyle name="Accent6 13 2 2" xfId="0"/>
    <cellStyle name="Accent6 13 3" xfId="0"/>
    <cellStyle name="Accent6 13 4" xfId="0"/>
    <cellStyle name="Accent6 130" xfId="0"/>
    <cellStyle name="Accent6 131" xfId="0"/>
    <cellStyle name="Accent6 132" xfId="0"/>
    <cellStyle name="Accent6 133" xfId="0"/>
    <cellStyle name="Accent6 134" xfId="0"/>
    <cellStyle name="Accent6 135" xfId="0"/>
    <cellStyle name="Accent6 136" xfId="0"/>
    <cellStyle name="Accent6 137" xfId="0"/>
    <cellStyle name="Accent6 138" xfId="0"/>
    <cellStyle name="Accent6 139" xfId="0"/>
    <cellStyle name="Accent6 14" xfId="0"/>
    <cellStyle name="Accent6 14 2" xfId="0"/>
    <cellStyle name="Accent6 14 2 2" xfId="0"/>
    <cellStyle name="Accent6 14 3" xfId="0"/>
    <cellStyle name="Accent6 14 4" xfId="0"/>
    <cellStyle name="Accent6 140" xfId="0"/>
    <cellStyle name="Accent6 141" xfId="0"/>
    <cellStyle name="Accent6 142" xfId="0"/>
    <cellStyle name="Accent6 143" xfId="0"/>
    <cellStyle name="Accent6 144" xfId="0"/>
    <cellStyle name="Accent6 145" xfId="0"/>
    <cellStyle name="Accent6 146" xfId="0"/>
    <cellStyle name="Accent6 147" xfId="0"/>
    <cellStyle name="Accent6 148" xfId="0"/>
    <cellStyle name="Accent6 149" xfId="0"/>
    <cellStyle name="Accent6 15" xfId="0"/>
    <cellStyle name="Accent6 15 2" xfId="0"/>
    <cellStyle name="Accent6 15 2 2" xfId="0"/>
    <cellStyle name="Accent6 15 3" xfId="0"/>
    <cellStyle name="Accent6 15 4" xfId="0"/>
    <cellStyle name="Accent6 150" xfId="0"/>
    <cellStyle name="Accent6 151" xfId="0"/>
    <cellStyle name="Accent6 152" xfId="0"/>
    <cellStyle name="Accent6 153" xfId="0"/>
    <cellStyle name="Accent6 154" xfId="0"/>
    <cellStyle name="Accent6 155" xfId="0"/>
    <cellStyle name="Accent6 156" xfId="0"/>
    <cellStyle name="Accent6 157" xfId="0"/>
    <cellStyle name="Accent6 158" xfId="0"/>
    <cellStyle name="Accent6 159" xfId="0"/>
    <cellStyle name="Accent6 16" xfId="0"/>
    <cellStyle name="Accent6 16 2" xfId="0"/>
    <cellStyle name="Accent6 16 2 2" xfId="0"/>
    <cellStyle name="Accent6 16 3" xfId="0"/>
    <cellStyle name="Accent6 16 4" xfId="0"/>
    <cellStyle name="Accent6 160" xfId="0"/>
    <cellStyle name="Accent6 161" xfId="0"/>
    <cellStyle name="Accent6 162" xfId="0"/>
    <cellStyle name="Accent6 163" xfId="0"/>
    <cellStyle name="Accent6 164" xfId="0"/>
    <cellStyle name="Accent6 165" xfId="0"/>
    <cellStyle name="Accent6 166" xfId="0"/>
    <cellStyle name="Accent6 167" xfId="0"/>
    <cellStyle name="Accent6 168" xfId="0"/>
    <cellStyle name="Accent6 169" xfId="0"/>
    <cellStyle name="Accent6 17" xfId="0"/>
    <cellStyle name="Accent6 17 2" xfId="0"/>
    <cellStyle name="Accent6 17 2 2" xfId="0"/>
    <cellStyle name="Accent6 17 3" xfId="0"/>
    <cellStyle name="Accent6 17 4" xfId="0"/>
    <cellStyle name="Accent6 170" xfId="0"/>
    <cellStyle name="Accent6 171" xfId="0"/>
    <cellStyle name="Accent6 172" xfId="0"/>
    <cellStyle name="Accent6 173" xfId="0"/>
    <cellStyle name="Accent6 174" xfId="0"/>
    <cellStyle name="Accent6 175" xfId="0"/>
    <cellStyle name="Accent6 176" xfId="0"/>
    <cellStyle name="Accent6 177" xfId="0"/>
    <cellStyle name="Accent6 178" xfId="0"/>
    <cellStyle name="Accent6 179" xfId="0"/>
    <cellStyle name="Accent6 18" xfId="0"/>
    <cellStyle name="Accent6 18 2" xfId="0"/>
    <cellStyle name="Accent6 18 2 2" xfId="0"/>
    <cellStyle name="Accent6 18 3" xfId="0"/>
    <cellStyle name="Accent6 18 4" xfId="0"/>
    <cellStyle name="Accent6 180" xfId="0"/>
    <cellStyle name="Accent6 181" xfId="0"/>
    <cellStyle name="Accent6 182" xfId="0"/>
    <cellStyle name="Accent6 183" xfId="0"/>
    <cellStyle name="Accent6 184" xfId="0"/>
    <cellStyle name="Accent6 185" xfId="0"/>
    <cellStyle name="Accent6 186" xfId="0"/>
    <cellStyle name="Accent6 187" xfId="0"/>
    <cellStyle name="Accent6 188" xfId="0"/>
    <cellStyle name="Accent6 189" xfId="0"/>
    <cellStyle name="Accent6 19" xfId="0"/>
    <cellStyle name="Accent6 19 2" xfId="0"/>
    <cellStyle name="Accent6 19 2 2" xfId="0"/>
    <cellStyle name="Accent6 19 3" xfId="0"/>
    <cellStyle name="Accent6 19 4" xfId="0"/>
    <cellStyle name="Accent6 190" xfId="0"/>
    <cellStyle name="Accent6 191" xfId="0"/>
    <cellStyle name="Accent6 192" xfId="0"/>
    <cellStyle name="Accent6 193" xfId="0"/>
    <cellStyle name="Accent6 194" xfId="0"/>
    <cellStyle name="Accent6 195" xfId="0"/>
    <cellStyle name="Accent6 196" xfId="0"/>
    <cellStyle name="Accent6 197" xfId="0"/>
    <cellStyle name="Accent6 198" xfId="0"/>
    <cellStyle name="Accent6 199" xfId="0"/>
    <cellStyle name="Accent6 2" xfId="0"/>
    <cellStyle name="Accent6 2 2" xfId="0"/>
    <cellStyle name="Accent6 2 2 2" xfId="0"/>
    <cellStyle name="Accent6 2 2 2 2" xfId="0"/>
    <cellStyle name="Accent6 2 2 3" xfId="0"/>
    <cellStyle name="Accent6 2 3" xfId="0"/>
    <cellStyle name="Accent6 2 3 2" xfId="0"/>
    <cellStyle name="Accent6 2 3 3" xfId="0"/>
    <cellStyle name="Accent6 2 4" xfId="0"/>
    <cellStyle name="Accent6 2 4 2" xfId="0"/>
    <cellStyle name="Accent6 2 5" xfId="0"/>
    <cellStyle name="Accent6 2 5 2" xfId="0"/>
    <cellStyle name="Accent6 2 6" xfId="0"/>
    <cellStyle name="Accent6 2 7" xfId="0"/>
    <cellStyle name="Accent6 2 8" xfId="0"/>
    <cellStyle name="Accent6 20" xfId="0"/>
    <cellStyle name="Accent6 20 2" xfId="0"/>
    <cellStyle name="Accent6 20 2 2" xfId="0"/>
    <cellStyle name="Accent6 20 3" xfId="0"/>
    <cellStyle name="Accent6 20 4" xfId="0"/>
    <cellStyle name="Accent6 200" xfId="0"/>
    <cellStyle name="Accent6 201" xfId="0"/>
    <cellStyle name="Accent6 202" xfId="0"/>
    <cellStyle name="Accent6 203" xfId="0"/>
    <cellStyle name="Accent6 204" xfId="0"/>
    <cellStyle name="Accent6 205" xfId="0"/>
    <cellStyle name="Accent6 206" xfId="0"/>
    <cellStyle name="Accent6 207" xfId="0"/>
    <cellStyle name="Accent6 208" xfId="0"/>
    <cellStyle name="Accent6 209" xfId="0"/>
    <cellStyle name="Accent6 21" xfId="0"/>
    <cellStyle name="Accent6 21 2" xfId="0"/>
    <cellStyle name="Accent6 21 2 2" xfId="0"/>
    <cellStyle name="Accent6 21 3" xfId="0"/>
    <cellStyle name="Accent6 210" xfId="0"/>
    <cellStyle name="Accent6 211" xfId="0"/>
    <cellStyle name="Accent6 212" xfId="0"/>
    <cellStyle name="Accent6 213" xfId="0"/>
    <cellStyle name="Accent6 214" xfId="0"/>
    <cellStyle name="Accent6 215" xfId="0"/>
    <cellStyle name="Accent6 216" xfId="0"/>
    <cellStyle name="Accent6 217" xfId="0"/>
    <cellStyle name="Accent6 218" xfId="0"/>
    <cellStyle name="Accent6 219" xfId="0"/>
    <cellStyle name="Accent6 22" xfId="0"/>
    <cellStyle name="Accent6 22 2" xfId="0"/>
    <cellStyle name="Accent6 22 2 2" xfId="0"/>
    <cellStyle name="Accent6 22 3" xfId="0"/>
    <cellStyle name="Accent6 220" xfId="0"/>
    <cellStyle name="Accent6 221" xfId="0"/>
    <cellStyle name="Accent6 222" xfId="0"/>
    <cellStyle name="Accent6 223" xfId="0"/>
    <cellStyle name="Accent6 224" xfId="0"/>
    <cellStyle name="Accent6 225" xfId="0"/>
    <cellStyle name="Accent6 226" xfId="0"/>
    <cellStyle name="Accent6 227" xfId="0"/>
    <cellStyle name="Accent6 228" xfId="0"/>
    <cellStyle name="Accent6 229" xfId="0"/>
    <cellStyle name="Accent6 23" xfId="0"/>
    <cellStyle name="Accent6 23 2" xfId="0"/>
    <cellStyle name="Accent6 23 2 2" xfId="0"/>
    <cellStyle name="Accent6 23 3" xfId="0"/>
    <cellStyle name="Accent6 230" xfId="0"/>
    <cellStyle name="Accent6 231" xfId="0"/>
    <cellStyle name="Accent6 232" xfId="0"/>
    <cellStyle name="Accent6 233" xfId="0"/>
    <cellStyle name="Accent6 234" xfId="0"/>
    <cellStyle name="Accent6 235" xfId="0"/>
    <cellStyle name="Accent6 236" xfId="0"/>
    <cellStyle name="Accent6 237" xfId="0"/>
    <cellStyle name="Accent6 238" xfId="0"/>
    <cellStyle name="Accent6 239" xfId="0"/>
    <cellStyle name="Accent6 24" xfId="0"/>
    <cellStyle name="Accent6 24 2" xfId="0"/>
    <cellStyle name="Accent6 24 2 2" xfId="0"/>
    <cellStyle name="Accent6 240" xfId="0"/>
    <cellStyle name="Accent6 241" xfId="0"/>
    <cellStyle name="Accent6 242" xfId="0"/>
    <cellStyle name="Accent6 243" xfId="0"/>
    <cellStyle name="Accent6 244" xfId="0"/>
    <cellStyle name="Accent6 245" xfId="0"/>
    <cellStyle name="Accent6 246" xfId="0"/>
    <cellStyle name="Accent6 247" xfId="0"/>
    <cellStyle name="Accent6 248" xfId="0"/>
    <cellStyle name="Accent6 249" xfId="0"/>
    <cellStyle name="Accent6 25" xfId="0"/>
    <cellStyle name="Accent6 25 2" xfId="0"/>
    <cellStyle name="Accent6 25 2 2" xfId="0"/>
    <cellStyle name="Accent6 250" xfId="0"/>
    <cellStyle name="Accent6 251" xfId="0"/>
    <cellStyle name="Accent6 252" xfId="0"/>
    <cellStyle name="Accent6 253" xfId="0"/>
    <cellStyle name="Accent6 254" xfId="0"/>
    <cellStyle name="Accent6 255" xfId="0"/>
    <cellStyle name="Accent6 256" xfId="0"/>
    <cellStyle name="Accent6 257" xfId="0"/>
    <cellStyle name="Accent6 258" xfId="0"/>
    <cellStyle name="Accent6 259" xfId="0"/>
    <cellStyle name="Accent6 26" xfId="0"/>
    <cellStyle name="Accent6 26 2" xfId="0"/>
    <cellStyle name="Accent6 26 2 2" xfId="0"/>
    <cellStyle name="Accent6 26 3" xfId="0"/>
    <cellStyle name="Accent6 260" xfId="0"/>
    <cellStyle name="Accent6 261" xfId="0"/>
    <cellStyle name="Accent6 262" xfId="0"/>
    <cellStyle name="Accent6 263" xfId="0"/>
    <cellStyle name="Accent6 264" xfId="0"/>
    <cellStyle name="Accent6 265" xfId="0"/>
    <cellStyle name="Accent6 266" xfId="0"/>
    <cellStyle name="Accent6 267" xfId="0"/>
    <cellStyle name="Accent6 268" xfId="0"/>
    <cellStyle name="Accent6 269" xfId="0"/>
    <cellStyle name="Accent6 27" xfId="0"/>
    <cellStyle name="Accent6 27 2" xfId="0"/>
    <cellStyle name="Accent6 27 2 2" xfId="0"/>
    <cellStyle name="Accent6 27 3" xfId="0"/>
    <cellStyle name="Accent6 270" xfId="0"/>
    <cellStyle name="Accent6 271" xfId="0"/>
    <cellStyle name="Accent6 272" xfId="0"/>
    <cellStyle name="Accent6 273" xfId="0"/>
    <cellStyle name="Accent6 274" xfId="0"/>
    <cellStyle name="Accent6 275" xfId="0"/>
    <cellStyle name="Accent6 28" xfId="0"/>
    <cellStyle name="Accent6 28 2" xfId="0"/>
    <cellStyle name="Accent6 28 2 2" xfId="0"/>
    <cellStyle name="Accent6 28 3" xfId="0"/>
    <cellStyle name="Accent6 29" xfId="0"/>
    <cellStyle name="Accent6 29 2" xfId="0"/>
    <cellStyle name="Accent6 29 2 2" xfId="0"/>
    <cellStyle name="Accent6 29 3" xfId="0"/>
    <cellStyle name="Accent6 2_Market Fresh Cost" xfId="0"/>
    <cellStyle name="Accent6 3" xfId="0"/>
    <cellStyle name="Accent6 3 2" xfId="0"/>
    <cellStyle name="Accent6 3 2 2" xfId="0"/>
    <cellStyle name="Accent6 3 2 3" xfId="0"/>
    <cellStyle name="Accent6 3 3" xfId="0"/>
    <cellStyle name="Accent6 3 3 2" xfId="0"/>
    <cellStyle name="Accent6 3 3 3" xfId="0"/>
    <cellStyle name="Accent6 3 4" xfId="0"/>
    <cellStyle name="Accent6 3 4 2" xfId="0"/>
    <cellStyle name="Accent6 3 5" xfId="0"/>
    <cellStyle name="Accent6 3 5 2" xfId="0"/>
    <cellStyle name="Accent6 3 6" xfId="0"/>
    <cellStyle name="Accent6 3 7" xfId="0"/>
    <cellStyle name="Accent6 3 8" xfId="0"/>
    <cellStyle name="Accent6 30" xfId="0"/>
    <cellStyle name="Accent6 30 2" xfId="0"/>
    <cellStyle name="Accent6 30 2 2" xfId="0"/>
    <cellStyle name="Accent6 30 3" xfId="0"/>
    <cellStyle name="Accent6 31" xfId="0"/>
    <cellStyle name="Accent6 31 2" xfId="0"/>
    <cellStyle name="Accent6 31 2 2" xfId="0"/>
    <cellStyle name="Accent6 31 3" xfId="0"/>
    <cellStyle name="Accent6 32" xfId="0"/>
    <cellStyle name="Accent6 32 2" xfId="0"/>
    <cellStyle name="Accent6 32 2 2" xfId="0"/>
    <cellStyle name="Accent6 32 3" xfId="0"/>
    <cellStyle name="Accent6 33" xfId="0"/>
    <cellStyle name="Accent6 33 2" xfId="0"/>
    <cellStyle name="Accent6 33 2 2" xfId="0"/>
    <cellStyle name="Accent6 33 3" xfId="0"/>
    <cellStyle name="Accent6 34" xfId="0"/>
    <cellStyle name="Accent6 34 2" xfId="0"/>
    <cellStyle name="Accent6 34 2 2" xfId="0"/>
    <cellStyle name="Accent6 34 3" xfId="0"/>
    <cellStyle name="Accent6 35" xfId="0"/>
    <cellStyle name="Accent6 35 2" xfId="0"/>
    <cellStyle name="Accent6 35 2 2" xfId="0"/>
    <cellStyle name="Accent6 35 3" xfId="0"/>
    <cellStyle name="Accent6 36" xfId="0"/>
    <cellStyle name="Accent6 36 2" xfId="0"/>
    <cellStyle name="Accent6 36 3" xfId="0"/>
    <cellStyle name="Accent6 37" xfId="0"/>
    <cellStyle name="Accent6 37 2" xfId="0"/>
    <cellStyle name="Accent6 37 3" xfId="0"/>
    <cellStyle name="Accent6 38" xfId="0"/>
    <cellStyle name="Accent6 38 2" xfId="0"/>
    <cellStyle name="Accent6 38 3" xfId="0"/>
    <cellStyle name="Accent6 39" xfId="0"/>
    <cellStyle name="Accent6 39 2" xfId="0"/>
    <cellStyle name="Accent6 39 3" xfId="0"/>
    <cellStyle name="Accent6 3_Profitability Detail NT$ Sep-12" xfId="0"/>
    <cellStyle name="Accent6 4" xfId="0"/>
    <cellStyle name="Accent6 4 2" xfId="0"/>
    <cellStyle name="Accent6 4 2 2" xfId="0"/>
    <cellStyle name="Accent6 4 2 3" xfId="0"/>
    <cellStyle name="Accent6 4 3" xfId="0"/>
    <cellStyle name="Accent6 4 3 2" xfId="0"/>
    <cellStyle name="Accent6 4 3 3" xfId="0"/>
    <cellStyle name="Accent6 4 4" xfId="0"/>
    <cellStyle name="Accent6 4 4 2" xfId="0"/>
    <cellStyle name="Accent6 4 5" xfId="0"/>
    <cellStyle name="Accent6 4 5 2" xfId="0"/>
    <cellStyle name="Accent6 4 6" xfId="0"/>
    <cellStyle name="Accent6 4 7" xfId="0"/>
    <cellStyle name="Accent6 4 8" xfId="0"/>
    <cellStyle name="Accent6 40" xfId="0"/>
    <cellStyle name="Accent6 40 2" xfId="0"/>
    <cellStyle name="Accent6 40 3" xfId="0"/>
    <cellStyle name="Accent6 41" xfId="0"/>
    <cellStyle name="Accent6 41 2" xfId="0"/>
    <cellStyle name="Accent6 41 3" xfId="0"/>
    <cellStyle name="Accent6 42" xfId="0"/>
    <cellStyle name="Accent6 42 2" xfId="0"/>
    <cellStyle name="Accent6 42 3" xfId="0"/>
    <cellStyle name="Accent6 43" xfId="0"/>
    <cellStyle name="Accent6 43 2" xfId="0"/>
    <cellStyle name="Accent6 43 3" xfId="0"/>
    <cellStyle name="Accent6 44" xfId="0"/>
    <cellStyle name="Accent6 44 2" xfId="0"/>
    <cellStyle name="Accent6 45" xfId="0"/>
    <cellStyle name="Accent6 45 2" xfId="0"/>
    <cellStyle name="Accent6 46" xfId="0"/>
    <cellStyle name="Accent6 46 2" xfId="0"/>
    <cellStyle name="Accent6 47" xfId="0"/>
    <cellStyle name="Accent6 47 2" xfId="0"/>
    <cellStyle name="Accent6 48" xfId="0"/>
    <cellStyle name="Accent6 48 2" xfId="0"/>
    <cellStyle name="Accent6 49" xfId="0"/>
    <cellStyle name="Accent6 49 2" xfId="0"/>
    <cellStyle name="Accent6 4_Profitability Detail NT$ Sep-12" xfId="0"/>
    <cellStyle name="Accent6 5" xfId="0"/>
    <cellStyle name="Accent6 5 2" xfId="0"/>
    <cellStyle name="Accent6 5 3" xfId="0"/>
    <cellStyle name="Accent6 5 4" xfId="0"/>
    <cellStyle name="Accent6 50" xfId="0"/>
    <cellStyle name="Accent6 50 2" xfId="0"/>
    <cellStyle name="Accent6 51" xfId="0"/>
    <cellStyle name="Accent6 51 2" xfId="0"/>
    <cellStyle name="Accent6 52" xfId="0"/>
    <cellStyle name="Accent6 52 2" xfId="0"/>
    <cellStyle name="Accent6 53" xfId="0"/>
    <cellStyle name="Accent6 53 2" xfId="0"/>
    <cellStyle name="Accent6 54" xfId="0"/>
    <cellStyle name="Accent6 54 2" xfId="0"/>
    <cellStyle name="Accent6 55" xfId="0"/>
    <cellStyle name="Accent6 56" xfId="0"/>
    <cellStyle name="Accent6 56 2" xfId="0"/>
    <cellStyle name="Accent6 57" xfId="0"/>
    <cellStyle name="Accent6 57 2" xfId="0"/>
    <cellStyle name="Accent6 58" xfId="0"/>
    <cellStyle name="Accent6 58 2" xfId="0"/>
    <cellStyle name="Accent6 59" xfId="0"/>
    <cellStyle name="Accent6 59 2" xfId="0"/>
    <cellStyle name="Accent6 6" xfId="0"/>
    <cellStyle name="Accent6 6 2" xfId="0"/>
    <cellStyle name="Accent6 6 3" xfId="0"/>
    <cellStyle name="Accent6 6 4" xfId="0"/>
    <cellStyle name="Accent6 60" xfId="0"/>
    <cellStyle name="Accent6 60 2" xfId="0"/>
    <cellStyle name="Accent6 61" xfId="0"/>
    <cellStyle name="Accent6 61 2" xfId="0"/>
    <cellStyle name="Accent6 62" xfId="0"/>
    <cellStyle name="Accent6 62 2" xfId="0"/>
    <cellStyle name="Accent6 63" xfId="0"/>
    <cellStyle name="Accent6 63 2" xfId="0"/>
    <cellStyle name="Accent6 64" xfId="0"/>
    <cellStyle name="Accent6 64 2" xfId="0"/>
    <cellStyle name="Accent6 65" xfId="0"/>
    <cellStyle name="Accent6 65 2" xfId="0"/>
    <cellStyle name="Accent6 66" xfId="0"/>
    <cellStyle name="Accent6 66 2" xfId="0"/>
    <cellStyle name="Accent6 67" xfId="0"/>
    <cellStyle name="Accent6 67 2" xfId="0"/>
    <cellStyle name="Accent6 68" xfId="0"/>
    <cellStyle name="Accent6 68 2" xfId="0"/>
    <cellStyle name="Accent6 69" xfId="0"/>
    <cellStyle name="Accent6 69 2" xfId="0"/>
    <cellStyle name="Accent6 7" xfId="0"/>
    <cellStyle name="Accent6 7 2" xfId="0"/>
    <cellStyle name="Accent6 7 3" xfId="0"/>
    <cellStyle name="Accent6 7 4" xfId="0"/>
    <cellStyle name="Accent6 70" xfId="0"/>
    <cellStyle name="Accent6 70 2" xfId="0"/>
    <cellStyle name="Accent6 71" xfId="0"/>
    <cellStyle name="Accent6 71 2" xfId="0"/>
    <cellStyle name="Accent6 72" xfId="0"/>
    <cellStyle name="Accent6 72 2" xfId="0"/>
    <cellStyle name="Accent6 73" xfId="0"/>
    <cellStyle name="Accent6 74" xfId="0"/>
    <cellStyle name="Accent6 75" xfId="0"/>
    <cellStyle name="Accent6 76" xfId="0"/>
    <cellStyle name="Accent6 77" xfId="0"/>
    <cellStyle name="Accent6 78" xfId="0"/>
    <cellStyle name="Accent6 79" xfId="0"/>
    <cellStyle name="Accent6 8" xfId="0"/>
    <cellStyle name="Accent6 8 2" xfId="0"/>
    <cellStyle name="Accent6 8 3" xfId="0"/>
    <cellStyle name="Accent6 8 4" xfId="0"/>
    <cellStyle name="Accent6 80" xfId="0"/>
    <cellStyle name="Accent6 81" xfId="0"/>
    <cellStyle name="Accent6 82" xfId="0"/>
    <cellStyle name="Accent6 83" xfId="0"/>
    <cellStyle name="Accent6 84" xfId="0"/>
    <cellStyle name="Accent6 85" xfId="0"/>
    <cellStyle name="Accent6 86" xfId="0"/>
    <cellStyle name="Accent6 87" xfId="0"/>
    <cellStyle name="Accent6 88" xfId="0"/>
    <cellStyle name="Accent6 89" xfId="0"/>
    <cellStyle name="Accent6 9" xfId="0"/>
    <cellStyle name="Accent6 9 2" xfId="0"/>
    <cellStyle name="Accent6 9 2 2" xfId="0"/>
    <cellStyle name="Accent6 9 3" xfId="0"/>
    <cellStyle name="Accent6 9 4" xfId="0"/>
    <cellStyle name="Accent6 90" xfId="0"/>
    <cellStyle name="Accent6 91" xfId="0"/>
    <cellStyle name="Accent6 92" xfId="0"/>
    <cellStyle name="Accent6 93" xfId="0"/>
    <cellStyle name="Accent6 94" xfId="0"/>
    <cellStyle name="Accent6 95" xfId="0"/>
    <cellStyle name="Accent6 96" xfId="0"/>
    <cellStyle name="Accent6 97" xfId="0"/>
    <cellStyle name="Accent6 98" xfId="0"/>
    <cellStyle name="Accent6 99" xfId="0"/>
    <cellStyle name="Accent6_13-wk VSA_Revised" xfId="0"/>
    <cellStyle name="Akzent1" xfId="0"/>
    <cellStyle name="Akzent1 2" xfId="0"/>
    <cellStyle name="Akzent2" xfId="0"/>
    <cellStyle name="Akzent2 2" xfId="0"/>
    <cellStyle name="Akzent3" xfId="0"/>
    <cellStyle name="Akzent3 2" xfId="0"/>
    <cellStyle name="Akzent4" xfId="0"/>
    <cellStyle name="Akzent4 2" xfId="0"/>
    <cellStyle name="Akzent5" xfId="0"/>
    <cellStyle name="Akzent5 2" xfId="0"/>
    <cellStyle name="Akzent6" xfId="0"/>
    <cellStyle name="Akzent6 2" xfId="0"/>
    <cellStyle name="args.style" xfId="0"/>
    <cellStyle name="args.style 2" xfId="0"/>
    <cellStyle name="args.style 2 2" xfId="0"/>
    <cellStyle name="args.style 3" xfId="0"/>
    <cellStyle name="args.style_Prod Line MTD" xfId="0"/>
    <cellStyle name="Ausgabe" xfId="0"/>
    <cellStyle name="Ausgabe 2" xfId="0"/>
    <cellStyle name="Bad 1" xfId="0"/>
    <cellStyle name="Bad 10" xfId="0"/>
    <cellStyle name="Bad 10 2" xfId="0"/>
    <cellStyle name="Bad 11" xfId="0"/>
    <cellStyle name="Bad 11 2" xfId="0"/>
    <cellStyle name="Bad 12" xfId="0"/>
    <cellStyle name="Bad 12 2" xfId="0"/>
    <cellStyle name="Bad 13" xfId="0"/>
    <cellStyle name="Bad 13 2" xfId="0"/>
    <cellStyle name="Bad 14" xfId="0"/>
    <cellStyle name="Bad 14 2" xfId="0"/>
    <cellStyle name="Bad 15" xfId="0"/>
    <cellStyle name="Bad 15 2" xfId="0"/>
    <cellStyle name="Bad 16" xfId="0"/>
    <cellStyle name="Bad 16 2" xfId="0"/>
    <cellStyle name="Bad 17" xfId="0"/>
    <cellStyle name="Bad 17 2" xfId="0"/>
    <cellStyle name="Bad 18" xfId="0"/>
    <cellStyle name="Bad 18 2" xfId="0"/>
    <cellStyle name="Bad 19" xfId="0"/>
    <cellStyle name="Bad 19 2" xfId="0"/>
    <cellStyle name="Bad 2" xfId="0"/>
    <cellStyle name="Bad 2 2" xfId="0"/>
    <cellStyle name="Bad 2 2 2" xfId="0"/>
    <cellStyle name="Bad 2 2 3" xfId="0"/>
    <cellStyle name="Bad 2 3" xfId="0"/>
    <cellStyle name="Bad 2 3 2" xfId="0"/>
    <cellStyle name="Bad 2 3 3" xfId="0"/>
    <cellStyle name="Bad 2 4" xfId="0"/>
    <cellStyle name="Bad 2 4 2" xfId="0"/>
    <cellStyle name="Bad 2 5" xfId="0"/>
    <cellStyle name="Bad 2 5 2" xfId="0"/>
    <cellStyle name="Bad 2 6" xfId="0"/>
    <cellStyle name="Bad 2 7" xfId="0"/>
    <cellStyle name="Bad 2 8" xfId="0"/>
    <cellStyle name="Bad 20" xfId="0"/>
    <cellStyle name="Bad 20 2" xfId="0"/>
    <cellStyle name="Bad 21" xfId="0"/>
    <cellStyle name="Bad 21 2" xfId="0"/>
    <cellStyle name="Bad 22" xfId="0"/>
    <cellStyle name="Bad 22 2" xfId="0"/>
    <cellStyle name="Bad 23" xfId="0"/>
    <cellStyle name="Bad 23 2" xfId="0"/>
    <cellStyle name="Bad 24" xfId="0"/>
    <cellStyle name="Bad 25" xfId="0"/>
    <cellStyle name="Bad 26" xfId="0"/>
    <cellStyle name="Bad 27" xfId="0"/>
    <cellStyle name="Bad 28" xfId="0"/>
    <cellStyle name="Bad 29" xfId="0"/>
    <cellStyle name="Bad 2_Profitability Detail NT$ Sep-12" xfId="0"/>
    <cellStyle name="Bad 3" xfId="0"/>
    <cellStyle name="Bad 3 2" xfId="0"/>
    <cellStyle name="Bad 3 2 2" xfId="0"/>
    <cellStyle name="Bad 3 3" xfId="0"/>
    <cellStyle name="Bad 3 3 2" xfId="0"/>
    <cellStyle name="Bad 3 4" xfId="0"/>
    <cellStyle name="Bad 3 4 2" xfId="0"/>
    <cellStyle name="Bad 3 5" xfId="0"/>
    <cellStyle name="Bad 3 5 2" xfId="0"/>
    <cellStyle name="Bad 3 6" xfId="0"/>
    <cellStyle name="Bad 3 7" xfId="0"/>
    <cellStyle name="Bad 30" xfId="0"/>
    <cellStyle name="Bad 31" xfId="0"/>
    <cellStyle name="Bad 32" xfId="0"/>
    <cellStyle name="Bad 33" xfId="0"/>
    <cellStyle name="Bad 34" xfId="0"/>
    <cellStyle name="Bad 35" xfId="0"/>
    <cellStyle name="Bad 3_Profitability Detail NT$ Sep-12" xfId="0"/>
    <cellStyle name="Bad 4" xfId="0"/>
    <cellStyle name="Bad 4 2" xfId="0"/>
    <cellStyle name="Bad 4 2 2" xfId="0"/>
    <cellStyle name="Bad 4 3" xfId="0"/>
    <cellStyle name="Bad 4 3 2" xfId="0"/>
    <cellStyle name="Bad 4 4" xfId="0"/>
    <cellStyle name="Bad 4 4 2" xfId="0"/>
    <cellStyle name="Bad 4 5" xfId="0"/>
    <cellStyle name="Bad 4 5 2" xfId="0"/>
    <cellStyle name="Bad 4 6" xfId="0"/>
    <cellStyle name="Bad 4 7" xfId="0"/>
    <cellStyle name="Bad 4_Profitability Detail NT$ Sep-12" xfId="0"/>
    <cellStyle name="Bad 5" xfId="0"/>
    <cellStyle name="Bad 5 2" xfId="0"/>
    <cellStyle name="Bad 5 3" xfId="0"/>
    <cellStyle name="Bad 5 4" xfId="0"/>
    <cellStyle name="Bad 6" xfId="0"/>
    <cellStyle name="Bad 6 2" xfId="0"/>
    <cellStyle name="Bad 6 3" xfId="0"/>
    <cellStyle name="Bad 7" xfId="0"/>
    <cellStyle name="Bad 7 2" xfId="0"/>
    <cellStyle name="Bad 8" xfId="0"/>
    <cellStyle name="Bad 8 2" xfId="0"/>
    <cellStyle name="Bad 9" xfId="0"/>
    <cellStyle name="Bad 9 2" xfId="0"/>
    <cellStyle name="Bad_13-wk VSA_Revised" xfId="0"/>
    <cellStyle name="Berechnung" xfId="0"/>
    <cellStyle name="Berechnung 2" xfId="0"/>
    <cellStyle name="Calc Currency (0)" xfId="0"/>
    <cellStyle name="Calc Currency (0) 2" xfId="0"/>
    <cellStyle name="Calc Currency (0)_090424 WMR_VSE (2)" xfId="0"/>
    <cellStyle name="Calc Currency (2)" xfId="0"/>
    <cellStyle name="Calc Percent (0)" xfId="0"/>
    <cellStyle name="Calc Percent (1)" xfId="0"/>
    <cellStyle name="Calc Percent (2)" xfId="0"/>
    <cellStyle name="Calc Units (0)" xfId="0"/>
    <cellStyle name="Calc Units (1)" xfId="0"/>
    <cellStyle name="Calc Units (2)" xfId="0"/>
    <cellStyle name="Calculation" xfId="0"/>
    <cellStyle name="Calculation 10" xfId="0"/>
    <cellStyle name="Calculation 10 2" xfId="0"/>
    <cellStyle name="Calculation 10 3" xfId="0"/>
    <cellStyle name="Calculation 11" xfId="0"/>
    <cellStyle name="Calculation 11 2" xfId="0"/>
    <cellStyle name="Calculation 12" xfId="0"/>
    <cellStyle name="Calculation 12 2" xfId="0"/>
    <cellStyle name="Calculation 13" xfId="0"/>
    <cellStyle name="Calculation 13 2" xfId="0"/>
    <cellStyle name="Calculation 14" xfId="0"/>
    <cellStyle name="Calculation 14 2" xfId="0"/>
    <cellStyle name="Calculation 15" xfId="0"/>
    <cellStyle name="Calculation 15 2" xfId="0"/>
    <cellStyle name="Calculation 16" xfId="0"/>
    <cellStyle name="Calculation 16 2" xfId="0"/>
    <cellStyle name="Calculation 17" xfId="0"/>
    <cellStyle name="Calculation 17 2" xfId="0"/>
    <cellStyle name="Calculation 18" xfId="0"/>
    <cellStyle name="Calculation 18 2" xfId="0"/>
    <cellStyle name="Calculation 19" xfId="0"/>
    <cellStyle name="Calculation 19 2" xfId="0"/>
    <cellStyle name="Calculation 2" xfId="0"/>
    <cellStyle name="Calculation 2 2" xfId="0"/>
    <cellStyle name="Calculation 2 2 2" xfId="0"/>
    <cellStyle name="Calculation 2 2 2 2" xfId="0"/>
    <cellStyle name="Calculation 2 2 3" xfId="0"/>
    <cellStyle name="Calculation 2 3" xfId="0"/>
    <cellStyle name="Calculation 2 3 2" xfId="0"/>
    <cellStyle name="Calculation 2 3 3" xfId="0"/>
    <cellStyle name="Calculation 2 4" xfId="0"/>
    <cellStyle name="Calculation 2 4 2" xfId="0"/>
    <cellStyle name="Calculation 2 5" xfId="0"/>
    <cellStyle name="Calculation 2 5 2" xfId="0"/>
    <cellStyle name="Calculation 2 6" xfId="0"/>
    <cellStyle name="Calculation 2 7" xfId="0"/>
    <cellStyle name="Calculation 2 8" xfId="0"/>
    <cellStyle name="Calculation 20" xfId="0"/>
    <cellStyle name="Calculation 20 2" xfId="0"/>
    <cellStyle name="Calculation 21" xfId="0"/>
    <cellStyle name="Calculation 21 2" xfId="0"/>
    <cellStyle name="Calculation 22" xfId="0"/>
    <cellStyle name="Calculation 22 2" xfId="0"/>
    <cellStyle name="Calculation 23" xfId="0"/>
    <cellStyle name="Calculation 23 2" xfId="0"/>
    <cellStyle name="Calculation 24" xfId="0"/>
    <cellStyle name="Calculation 25" xfId="0"/>
    <cellStyle name="Calculation 26" xfId="0"/>
    <cellStyle name="Calculation 27" xfId="0"/>
    <cellStyle name="Calculation 28" xfId="0"/>
    <cellStyle name="Calculation 29" xfId="0"/>
    <cellStyle name="Calculation 2_Market Fresh Cost" xfId="0"/>
    <cellStyle name="Calculation 3" xfId="0"/>
    <cellStyle name="Calculation 3 2" xfId="0"/>
    <cellStyle name="Calculation 3 2 2" xfId="0"/>
    <cellStyle name="Calculation 3 3" xfId="0"/>
    <cellStyle name="Calculation 3 3 2" xfId="0"/>
    <cellStyle name="Calculation 3 4" xfId="0"/>
    <cellStyle name="Calculation 3 4 2" xfId="0"/>
    <cellStyle name="Calculation 3 5" xfId="0"/>
    <cellStyle name="Calculation 3 5 2" xfId="0"/>
    <cellStyle name="Calculation 3 6" xfId="0"/>
    <cellStyle name="Calculation 3 7" xfId="0"/>
    <cellStyle name="Calculation 30" xfId="0"/>
    <cellStyle name="Calculation 31" xfId="0"/>
    <cellStyle name="Calculation 32" xfId="0"/>
    <cellStyle name="Calculation 33" xfId="0"/>
    <cellStyle name="Calculation 34" xfId="0"/>
    <cellStyle name="Calculation 35" xfId="0"/>
    <cellStyle name="Calculation 3_Profitability Detail NT$ Sep-12" xfId="0"/>
    <cellStyle name="Calculation 4" xfId="0"/>
    <cellStyle name="Calculation 4 2" xfId="0"/>
    <cellStyle name="Calculation 4 2 2" xfId="0"/>
    <cellStyle name="Calculation 4 3" xfId="0"/>
    <cellStyle name="Calculation 4 3 2" xfId="0"/>
    <cellStyle name="Calculation 4 4" xfId="0"/>
    <cellStyle name="Calculation 4 4 2" xfId="0"/>
    <cellStyle name="Calculation 4 5" xfId="0"/>
    <cellStyle name="Calculation 4 5 2" xfId="0"/>
    <cellStyle name="Calculation 4 6" xfId="0"/>
    <cellStyle name="Calculation 4 7" xfId="0"/>
    <cellStyle name="Calculation 4_Profitability Detail NT$ Sep-12" xfId="0"/>
    <cellStyle name="Calculation 5" xfId="0"/>
    <cellStyle name="Calculation 5 2" xfId="0"/>
    <cellStyle name="Calculation 5 3" xfId="0"/>
    <cellStyle name="Calculation 5 4" xfId="0"/>
    <cellStyle name="Calculation 6" xfId="0"/>
    <cellStyle name="Calculation 6 2" xfId="0"/>
    <cellStyle name="Calculation 6 3" xfId="0"/>
    <cellStyle name="Calculation 7" xfId="0"/>
    <cellStyle name="Calculation 7 2" xfId="0"/>
    <cellStyle name="Calculation 7 3" xfId="0"/>
    <cellStyle name="Calculation 8" xfId="0"/>
    <cellStyle name="Calculation 8 2" xfId="0"/>
    <cellStyle name="Calculation 8 3" xfId="0"/>
    <cellStyle name="Calculation 9" xfId="0"/>
    <cellStyle name="Calculation 9 2" xfId="0"/>
    <cellStyle name="Calculation 9 3" xfId="0"/>
    <cellStyle name="Calculation_13-wk VSA_Revised" xfId="0"/>
    <cellStyle name="Centered Heading" xfId="0"/>
    <cellStyle name="Centered Heading 2" xfId="0"/>
    <cellStyle name="Check Cell" xfId="0"/>
    <cellStyle name="Check Cell 10" xfId="0"/>
    <cellStyle name="Check Cell 10 2" xfId="0"/>
    <cellStyle name="Check Cell 10 3" xfId="0"/>
    <cellStyle name="Check Cell 11" xfId="0"/>
    <cellStyle name="Check Cell 11 2" xfId="0"/>
    <cellStyle name="Check Cell 12" xfId="0"/>
    <cellStyle name="Check Cell 12 2" xfId="0"/>
    <cellStyle name="Check Cell 13" xfId="0"/>
    <cellStyle name="Check Cell 13 2" xfId="0"/>
    <cellStyle name="Check Cell 14" xfId="0"/>
    <cellStyle name="Check Cell 14 2" xfId="0"/>
    <cellStyle name="Check Cell 15" xfId="0"/>
    <cellStyle name="Check Cell 15 2" xfId="0"/>
    <cellStyle name="Check Cell 16" xfId="0"/>
    <cellStyle name="Check Cell 16 2" xfId="0"/>
    <cellStyle name="Check Cell 17" xfId="0"/>
    <cellStyle name="Check Cell 17 2" xfId="0"/>
    <cellStyle name="Check Cell 18" xfId="0"/>
    <cellStyle name="Check Cell 18 2" xfId="0"/>
    <cellStyle name="Check Cell 19" xfId="0"/>
    <cellStyle name="Check Cell 19 2" xfId="0"/>
    <cellStyle name="Check Cell 2" xfId="0"/>
    <cellStyle name="Check Cell 2 10" xfId="0"/>
    <cellStyle name="Check Cell 2 2" xfId="0"/>
    <cellStyle name="Check Cell 2 2 2" xfId="0"/>
    <cellStyle name="Check Cell 2 2 3" xfId="0"/>
    <cellStyle name="Check Cell 2 2 4" xfId="0"/>
    <cellStyle name="Check Cell 2 2 5" xfId="0"/>
    <cellStyle name="Check Cell 2 2 6" xfId="0"/>
    <cellStyle name="Check Cell 2 2 7" xfId="0"/>
    <cellStyle name="Check Cell 2 2 8" xfId="0"/>
    <cellStyle name="Check Cell 2 3" xfId="0"/>
    <cellStyle name="Check Cell 2 3 2" xfId="0"/>
    <cellStyle name="Check Cell 2 3 3" xfId="0"/>
    <cellStyle name="Check Cell 2 4" xfId="0"/>
    <cellStyle name="Check Cell 2 4 2" xfId="0"/>
    <cellStyle name="Check Cell 2 5" xfId="0"/>
    <cellStyle name="Check Cell 2 5 2" xfId="0"/>
    <cellStyle name="Check Cell 2 6" xfId="0"/>
    <cellStyle name="Check Cell 2 6 2" xfId="0"/>
    <cellStyle name="Check Cell 2 7" xfId="0"/>
    <cellStyle name="Check Cell 2 8" xfId="0"/>
    <cellStyle name="Check Cell 2 9" xfId="0"/>
    <cellStyle name="Check Cell 20" xfId="0"/>
    <cellStyle name="Check Cell 20 2" xfId="0"/>
    <cellStyle name="Check Cell 21" xfId="0"/>
    <cellStyle name="Check Cell 21 2" xfId="0"/>
    <cellStyle name="Check Cell 22" xfId="0"/>
    <cellStyle name="Check Cell 22 2" xfId="0"/>
    <cellStyle name="Check Cell 23" xfId="0"/>
    <cellStyle name="Check Cell 23 2" xfId="0"/>
    <cellStyle name="Check Cell 24" xfId="0"/>
    <cellStyle name="Check Cell 25" xfId="0"/>
    <cellStyle name="Check Cell 26" xfId="0"/>
    <cellStyle name="Check Cell 27" xfId="0"/>
    <cellStyle name="Check Cell 28" xfId="0"/>
    <cellStyle name="Check Cell 29" xfId="0"/>
    <cellStyle name="Check Cell 2_Market Fresh Cost" xfId="0"/>
    <cellStyle name="Check Cell 3" xfId="0"/>
    <cellStyle name="Check Cell 3 10" xfId="0"/>
    <cellStyle name="Check Cell 3 2" xfId="0"/>
    <cellStyle name="Check Cell 3 2 2" xfId="0"/>
    <cellStyle name="Check Cell 3 2 3" xfId="0"/>
    <cellStyle name="Check Cell 3 2 4" xfId="0"/>
    <cellStyle name="Check Cell 3 2 5" xfId="0"/>
    <cellStyle name="Check Cell 3 2 6" xfId="0"/>
    <cellStyle name="Check Cell 3 2 7" xfId="0"/>
    <cellStyle name="Check Cell 3 3" xfId="0"/>
    <cellStyle name="Check Cell 3 3 2" xfId="0"/>
    <cellStyle name="Check Cell 3 4" xfId="0"/>
    <cellStyle name="Check Cell 3 4 2" xfId="0"/>
    <cellStyle name="Check Cell 3 5" xfId="0"/>
    <cellStyle name="Check Cell 3 5 2" xfId="0"/>
    <cellStyle name="Check Cell 3 6" xfId="0"/>
    <cellStyle name="Check Cell 3 6 2" xfId="0"/>
    <cellStyle name="Check Cell 3 7" xfId="0"/>
    <cellStyle name="Check Cell 3 7 2" xfId="0"/>
    <cellStyle name="Check Cell 3 8" xfId="0"/>
    <cellStyle name="Check Cell 3 9" xfId="0"/>
    <cellStyle name="Check Cell 30" xfId="0"/>
    <cellStyle name="Check Cell 3_Profitability Detail NT$ Sep-12" xfId="0"/>
    <cellStyle name="Check Cell 4" xfId="0"/>
    <cellStyle name="Check Cell 4 10" xfId="0"/>
    <cellStyle name="Check Cell 4 2" xfId="0"/>
    <cellStyle name="Check Cell 4 2 2" xfId="0"/>
    <cellStyle name="Check Cell 4 2 3" xfId="0"/>
    <cellStyle name="Check Cell 4 2 4" xfId="0"/>
    <cellStyle name="Check Cell 4 2 5" xfId="0"/>
    <cellStyle name="Check Cell 4 2 6" xfId="0"/>
    <cellStyle name="Check Cell 4 2 7" xfId="0"/>
    <cellStyle name="Check Cell 4 3" xfId="0"/>
    <cellStyle name="Check Cell 4 3 2" xfId="0"/>
    <cellStyle name="Check Cell 4 4" xfId="0"/>
    <cellStyle name="Check Cell 4 4 2" xfId="0"/>
    <cellStyle name="Check Cell 4 5" xfId="0"/>
    <cellStyle name="Check Cell 4 5 2" xfId="0"/>
    <cellStyle name="Check Cell 4 6" xfId="0"/>
    <cellStyle name="Check Cell 4 6 2" xfId="0"/>
    <cellStyle name="Check Cell 4 7" xfId="0"/>
    <cellStyle name="Check Cell 4 7 2" xfId="0"/>
    <cellStyle name="Check Cell 4 8" xfId="0"/>
    <cellStyle name="Check Cell 4 9" xfId="0"/>
    <cellStyle name="Check Cell 4_Profitability Detail NT$ Sep-12" xfId="0"/>
    <cellStyle name="Check Cell 5" xfId="0"/>
    <cellStyle name="Check Cell 5 2" xfId="0"/>
    <cellStyle name="Check Cell 5 3" xfId="0"/>
    <cellStyle name="Check Cell 6" xfId="0"/>
    <cellStyle name="Check Cell 6 2" xfId="0"/>
    <cellStyle name="Check Cell 6 3" xfId="0"/>
    <cellStyle name="Check Cell 7" xfId="0"/>
    <cellStyle name="Check Cell 7 2" xfId="0"/>
    <cellStyle name="Check Cell 7 3" xfId="0"/>
    <cellStyle name="Check Cell 8" xfId="0"/>
    <cellStyle name="Check Cell 8 2" xfId="0"/>
    <cellStyle name="Check Cell 8 3" xfId="0"/>
    <cellStyle name="Check Cell 9" xfId="0"/>
    <cellStyle name="Check Cell 9 2" xfId="0"/>
    <cellStyle name="Check Cell 9 3" xfId="0"/>
    <cellStyle name="Check Cell_13-wk VSA_Revised" xfId="0"/>
    <cellStyle name="Column Header" xfId="0"/>
    <cellStyle name="Column Header 2" xfId="0"/>
    <cellStyle name="Column_Title" xfId="0"/>
    <cellStyle name="ColumnHeading" xfId="0"/>
    <cellStyle name="ColumnHeading 2" xfId="0"/>
    <cellStyle name="ColumnHeading 3" xfId="0"/>
    <cellStyle name="Comma %" xfId="0"/>
    <cellStyle name="Comma % 2" xfId="0"/>
    <cellStyle name="Comma % 3" xfId="0"/>
    <cellStyle name="Comma (0)" xfId="0"/>
    <cellStyle name="Comma 0.0" xfId="0"/>
    <cellStyle name="Comma 0.0%" xfId="0"/>
    <cellStyle name="Comma 0.00" xfId="0"/>
    <cellStyle name="Comma 0.00%" xfId="0"/>
    <cellStyle name="Comma 0.000" xfId="0"/>
    <cellStyle name="Comma 0.000%" xfId="0"/>
    <cellStyle name="Comma 0.0000" xfId="0"/>
    <cellStyle name="Comma 10" xfId="0"/>
    <cellStyle name="Comma 10 2" xfId="0"/>
    <cellStyle name="Comma 10 3" xfId="0"/>
    <cellStyle name="Comma 11" xfId="0"/>
    <cellStyle name="Comma 12" xfId="0"/>
    <cellStyle name="Comma 13" xfId="0"/>
    <cellStyle name="Comma 14" xfId="0"/>
    <cellStyle name="Comma 15" xfId="0"/>
    <cellStyle name="Comma 16" xfId="0"/>
    <cellStyle name="Comma 17" xfId="0"/>
    <cellStyle name="Comma 18" xfId="0"/>
    <cellStyle name="Comma 19" xfId="0"/>
    <cellStyle name="Comma 2" xfId="0"/>
    <cellStyle name="Comma 2 2" xfId="0"/>
    <cellStyle name="Comma 2 2 2" xfId="0"/>
    <cellStyle name="Comma 2 2 2 2" xfId="0"/>
    <cellStyle name="Comma 2 2 3" xfId="0"/>
    <cellStyle name="Comma 2 3" xfId="0"/>
    <cellStyle name="Comma 2 3 2" xfId="0"/>
    <cellStyle name="Comma 2 4" xfId="0"/>
    <cellStyle name="Comma 2 4 2" xfId="0"/>
    <cellStyle name="Comma 2 5" xfId="0"/>
    <cellStyle name="Comma 2 5 2" xfId="0"/>
    <cellStyle name="Comma 2 6" xfId="0"/>
    <cellStyle name="Comma 2 7" xfId="0"/>
    <cellStyle name="Comma 20" xfId="0"/>
    <cellStyle name="Comma 21" xfId="0"/>
    <cellStyle name="Comma 22" xfId="0"/>
    <cellStyle name="Comma 23" xfId="0"/>
    <cellStyle name="Comma 24" xfId="0"/>
    <cellStyle name="Comma 25" xfId="0"/>
    <cellStyle name="Comma 26" xfId="0"/>
    <cellStyle name="Comma 27" xfId="0"/>
    <cellStyle name="Comma 28" xfId="0"/>
    <cellStyle name="Comma 29" xfId="0"/>
    <cellStyle name="Comma 2_BU Allocation" xfId="0"/>
    <cellStyle name="Comma 3" xfId="0"/>
    <cellStyle name="Comma 3 2" xfId="0"/>
    <cellStyle name="Comma 3 2 2" xfId="0"/>
    <cellStyle name="Comma 3 3" xfId="0"/>
    <cellStyle name="Comma 30" xfId="0"/>
    <cellStyle name="Comma 31" xfId="0"/>
    <cellStyle name="Comma 32" xfId="0"/>
    <cellStyle name="Comma 33" xfId="0"/>
    <cellStyle name="Comma 34" xfId="0"/>
    <cellStyle name="Comma 4" xfId="0"/>
    <cellStyle name="Comma 4 2" xfId="0"/>
    <cellStyle name="Comma 4 2 2" xfId="0"/>
    <cellStyle name="Comma 4 3" xfId="0"/>
    <cellStyle name="Comma 5" xfId="0"/>
    <cellStyle name="Comma 5 2" xfId="0"/>
    <cellStyle name="Comma 5 2 2" xfId="0"/>
    <cellStyle name="Comma 5 3" xfId="0"/>
    <cellStyle name="Comma 5 3 2" xfId="0"/>
    <cellStyle name="Comma 5 4" xfId="0"/>
    <cellStyle name="Comma 5 4 2" xfId="0"/>
    <cellStyle name="Comma 5 5" xfId="0"/>
    <cellStyle name="Comma 6" xfId="0"/>
    <cellStyle name="Comma 6 2" xfId="0"/>
    <cellStyle name="Comma 6 2 2" xfId="0"/>
    <cellStyle name="Comma 6 3" xfId="0"/>
    <cellStyle name="Comma 7" xfId="0"/>
    <cellStyle name="Comma 7 2" xfId="0"/>
    <cellStyle name="Comma 7 2 2" xfId="0"/>
    <cellStyle name="Comma 7 3" xfId="0"/>
    <cellStyle name="Comma 7 4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3" xfId="0"/>
    <cellStyle name="Comma 8 2 2 2 3" xfId="0"/>
    <cellStyle name="Comma 8 2 2 2 3 2" xfId="0"/>
    <cellStyle name="Comma 8 2 2 2 4" xfId="0"/>
    <cellStyle name="Comma 8 2 2 3" xfId="0"/>
    <cellStyle name="Comma 8 2 2 3 2" xfId="0"/>
    <cellStyle name="Comma 8 2 2 3 2 2" xfId="0"/>
    <cellStyle name="Comma 8 2 2 3 3" xfId="0"/>
    <cellStyle name="Comma 8 2 2 4" xfId="0"/>
    <cellStyle name="Comma 8 2 2 4 2" xfId="0"/>
    <cellStyle name="Comma 8 2 2 5" xfId="0"/>
    <cellStyle name="Comma 8 2 3" xfId="0"/>
    <cellStyle name="Comma 8 2 3 2" xfId="0"/>
    <cellStyle name="Comma 8 2 3 2 2" xfId="0"/>
    <cellStyle name="Comma 8 2 3 2 2 2" xfId="0"/>
    <cellStyle name="Comma 8 2 3 2 3" xfId="0"/>
    <cellStyle name="Comma 8 2 3 3" xfId="0"/>
    <cellStyle name="Comma 8 2 3 3 2" xfId="0"/>
    <cellStyle name="Comma 8 2 3 4" xfId="0"/>
    <cellStyle name="Comma 8 2 4" xfId="0"/>
    <cellStyle name="Comma 8 2 4 2" xfId="0"/>
    <cellStyle name="Comma 8 2 4 2 2" xfId="0"/>
    <cellStyle name="Comma 8 2 4 3" xfId="0"/>
    <cellStyle name="Comma 8 2 5" xfId="0"/>
    <cellStyle name="Comma 8 2 5 2" xfId="0"/>
    <cellStyle name="Comma 8 2 6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3" xfId="0"/>
    <cellStyle name="Comma 8 3 2 3" xfId="0"/>
    <cellStyle name="Comma 8 3 2 3 2" xfId="0"/>
    <cellStyle name="Comma 8 3 2 4" xfId="0"/>
    <cellStyle name="Comma 8 3 3" xfId="0"/>
    <cellStyle name="Comma 8 3 3 2" xfId="0"/>
    <cellStyle name="Comma 8 3 3 2 2" xfId="0"/>
    <cellStyle name="Comma 8 3 3 3" xfId="0"/>
    <cellStyle name="Comma 8 3 4" xfId="0"/>
    <cellStyle name="Comma 8 3 4 2" xfId="0"/>
    <cellStyle name="Comma 8 3 5" xfId="0"/>
    <cellStyle name="Comma 8 4" xfId="0"/>
    <cellStyle name="Comma 8 4 2" xfId="0"/>
    <cellStyle name="Comma 8 4 2 2" xfId="0"/>
    <cellStyle name="Comma 8 4 2 2 2" xfId="0"/>
    <cellStyle name="Comma 8 4 2 3" xfId="0"/>
    <cellStyle name="Comma 8 4 3" xfId="0"/>
    <cellStyle name="Comma 8 4 3 2" xfId="0"/>
    <cellStyle name="Comma 8 4 4" xfId="0"/>
    <cellStyle name="Comma 8 5" xfId="0"/>
    <cellStyle name="Comma 8 5 2" xfId="0"/>
    <cellStyle name="Comma 8 5 2 2" xfId="0"/>
    <cellStyle name="Comma 8 5 3" xfId="0"/>
    <cellStyle name="Comma 8 6" xfId="0"/>
    <cellStyle name="Comma 8 6 2" xfId="0"/>
    <cellStyle name="Comma 8 7" xfId="0"/>
    <cellStyle name="Comma 8 8" xfId="0"/>
    <cellStyle name="Comma 9" xfId="0"/>
    <cellStyle name="Comma 9 2" xfId="0"/>
    <cellStyle name="Comma 9 3" xfId="0"/>
    <cellStyle name="Comma [00]" xfId="0"/>
    <cellStyle name="Company Name" xfId="0"/>
    <cellStyle name="Company Name 2" xfId="0"/>
    <cellStyle name="Copied" xfId="0"/>
    <cellStyle name="Copied 10" xfId="0"/>
    <cellStyle name="Copied 10 2" xfId="0"/>
    <cellStyle name="Copied 11" xfId="0"/>
    <cellStyle name="Copied 11 2" xfId="0"/>
    <cellStyle name="Copied 12" xfId="0"/>
    <cellStyle name="Copied 2" xfId="0"/>
    <cellStyle name="Copied 2 2" xfId="0"/>
    <cellStyle name="Copied 3" xfId="0"/>
    <cellStyle name="Copied 3 2" xfId="0"/>
    <cellStyle name="Copied 4" xfId="0"/>
    <cellStyle name="Copied 4 2" xfId="0"/>
    <cellStyle name="Copied 5" xfId="0"/>
    <cellStyle name="Copied 5 2" xfId="0"/>
    <cellStyle name="Copied 6" xfId="0"/>
    <cellStyle name="Copied 6 2" xfId="0"/>
    <cellStyle name="Copied 7" xfId="0"/>
    <cellStyle name="Copied 7 2" xfId="0"/>
    <cellStyle name="Copied 8" xfId="0"/>
    <cellStyle name="Copied 8 2" xfId="0"/>
    <cellStyle name="Copied 9" xfId="0"/>
    <cellStyle name="Copied 9 2" xfId="0"/>
    <cellStyle name="COST1" xfId="0"/>
    <cellStyle name="COST1 2" xfId="0"/>
    <cellStyle name="COST1 2 2" xfId="0"/>
    <cellStyle name="COST1 3" xfId="0"/>
    <cellStyle name="CR Comma" xfId="0"/>
    <cellStyle name="CR Currency" xfId="0"/>
    <cellStyle name="Credit" xfId="0"/>
    <cellStyle name="Credit subtotal" xfId="0"/>
    <cellStyle name="Credit subtotal 2" xfId="0"/>
    <cellStyle name="Credit Total" xfId="0"/>
    <cellStyle name="Currency %" xfId="0"/>
    <cellStyle name="Currency % 2" xfId="0"/>
    <cellStyle name="Currency % 3" xfId="0"/>
    <cellStyle name="Currency 0.0" xfId="0"/>
    <cellStyle name="Currency 0.0%" xfId="0"/>
    <cellStyle name="Currency 0.00" xfId="0"/>
    <cellStyle name="Currency 0.00%" xfId="0"/>
    <cellStyle name="Currency 0.000" xfId="0"/>
    <cellStyle name="Currency 0.000%" xfId="0"/>
    <cellStyle name="Currency 0.0000" xfId="0"/>
    <cellStyle name="Currency 10" xfId="0"/>
    <cellStyle name="Currency 11" xfId="0"/>
    <cellStyle name="Currency 12" xfId="0"/>
    <cellStyle name="Currency 13" xfId="0"/>
    <cellStyle name="Currency 2" xfId="0"/>
    <cellStyle name="Currency 2 2" xfId="0"/>
    <cellStyle name="Currency 3" xfId="0"/>
    <cellStyle name="Currency 3 2" xfId="0"/>
    <cellStyle name="Currency 4" xfId="0"/>
    <cellStyle name="Currency 4 2" xfId="0"/>
    <cellStyle name="Currency 5" xfId="0"/>
    <cellStyle name="Currency 6" xfId="0"/>
    <cellStyle name="Currency 7" xfId="0"/>
    <cellStyle name="Currency 8" xfId="0"/>
    <cellStyle name="Currency 9" xfId="0"/>
    <cellStyle name="Currency [00]" xfId="0"/>
    <cellStyle name="Date" xfId="0"/>
    <cellStyle name="Date 2" xfId="0"/>
    <cellStyle name="Date 3" xfId="0"/>
    <cellStyle name="Date Short" xfId="0"/>
    <cellStyle name="Debit" xfId="0"/>
    <cellStyle name="Debit subtotal" xfId="0"/>
    <cellStyle name="Debit subtotal 2" xfId="0"/>
    <cellStyle name="Debit Total" xfId="0"/>
    <cellStyle name="Dziesietny [0]_PLDT" xfId="0"/>
    <cellStyle name="Dziesietny [0]_PLDT 10" xfId="0"/>
    <cellStyle name="Dziesietny [0]_PLDT 11" xfId="0"/>
    <cellStyle name="Dziesietny [0]_PLDT 12" xfId="0"/>
    <cellStyle name="Dziesietny [0]_PLDT 2" xfId="0"/>
    <cellStyle name="Dziesietny [0]_PLDT 2 2" xfId="0"/>
    <cellStyle name="Dziesietny [0]_PLDT 2 2 2" xfId="0"/>
    <cellStyle name="Dziesietny [0]_PLDT 2 2 3" xfId="0"/>
    <cellStyle name="Dziesietny [0]_PLDT 2 2 4" xfId="0"/>
    <cellStyle name="Dziesietny [0]_PLDT 2 2 5" xfId="0"/>
    <cellStyle name="Dziesietny [0]_PLDT 3" xfId="0"/>
    <cellStyle name="Dziesietny [0]_PLDT 3 2" xfId="0"/>
    <cellStyle name="Dziesietny [0]_PLDT 3 3" xfId="0"/>
    <cellStyle name="Dziesietny [0]_PLDT 3 4" xfId="0"/>
    <cellStyle name="Dziesietny [0]_PLDT 3 5" xfId="0"/>
    <cellStyle name="Dziesietny [0]_PLDT 4" xfId="0"/>
    <cellStyle name="Dziesietny [0]_PLDT 4 2" xfId="0"/>
    <cellStyle name="Dziesietny [0]_PLDT 4 3" xfId="0"/>
    <cellStyle name="Dziesietny [0]_PLDT 4 4" xfId="0"/>
    <cellStyle name="Dziesietny [0]_PLDT 4 5" xfId="0"/>
    <cellStyle name="Dziesietny [0]_PLDT 5" xfId="0"/>
    <cellStyle name="Dziesietny [0]_PLDT 5 2" xfId="0"/>
    <cellStyle name="Dziesietny [0]_PLDT 5 3" xfId="0"/>
    <cellStyle name="Dziesietny [0]_PLDT 5 4" xfId="0"/>
    <cellStyle name="Dziesietny [0]_PLDT 5 5" xfId="0"/>
    <cellStyle name="Dziesietny [0]_PLDT 6" xfId="0"/>
    <cellStyle name="Dziesietny [0]_PLDT 6 2" xfId="0"/>
    <cellStyle name="Dziesietny [0]_PLDT 6 3" xfId="0"/>
    <cellStyle name="Dziesietny [0]_PLDT 6 4" xfId="0"/>
    <cellStyle name="Dziesietny [0]_PLDT 6 5" xfId="0"/>
    <cellStyle name="Dziesietny [0]_PLDT 7" xfId="0"/>
    <cellStyle name="Dziesietny [0]_PLDT 8" xfId="0"/>
    <cellStyle name="Dziesietny [0]_PLDT 9" xfId="0"/>
    <cellStyle name="Dziesietny_PLDT" xfId="0"/>
    <cellStyle name="Dziesietny_PLDT 10" xfId="0"/>
    <cellStyle name="Dziesietny_PLDT 11" xfId="0"/>
    <cellStyle name="Dziesietny_PLDT 12" xfId="0"/>
    <cellStyle name="Dziesietny_PLDT 2" xfId="0"/>
    <cellStyle name="Dziesietny_PLDT 2 2" xfId="0"/>
    <cellStyle name="Dziesietny_PLDT 2 2 2" xfId="0"/>
    <cellStyle name="Dziesietny_PLDT 2 2 3" xfId="0"/>
    <cellStyle name="Dziesietny_PLDT 2 2 4" xfId="0"/>
    <cellStyle name="Dziesietny_PLDT 2 2 5" xfId="0"/>
    <cellStyle name="Dziesietny_PLDT 3" xfId="0"/>
    <cellStyle name="Dziesietny_PLDT 3 2" xfId="0"/>
    <cellStyle name="Dziesietny_PLDT 3 3" xfId="0"/>
    <cellStyle name="Dziesietny_PLDT 3 4" xfId="0"/>
    <cellStyle name="Dziesietny_PLDT 3 5" xfId="0"/>
    <cellStyle name="Dziesietny_PLDT 4" xfId="0"/>
    <cellStyle name="Dziesietny_PLDT 4 2" xfId="0"/>
    <cellStyle name="Dziesietny_PLDT 4 3" xfId="0"/>
    <cellStyle name="Dziesietny_PLDT 4 4" xfId="0"/>
    <cellStyle name="Dziesietny_PLDT 4 5" xfId="0"/>
    <cellStyle name="Dziesietny_PLDT 5" xfId="0"/>
    <cellStyle name="Dziesietny_PLDT 5 2" xfId="0"/>
    <cellStyle name="Dziesietny_PLDT 5 3" xfId="0"/>
    <cellStyle name="Dziesietny_PLDT 5 4" xfId="0"/>
    <cellStyle name="Dziesietny_PLDT 5 5" xfId="0"/>
    <cellStyle name="Dziesietny_PLDT 6" xfId="0"/>
    <cellStyle name="Dziesietny_PLDT 6 2" xfId="0"/>
    <cellStyle name="Dziesietny_PLDT 6 3" xfId="0"/>
    <cellStyle name="Dziesietny_PLDT 6 4" xfId="0"/>
    <cellStyle name="Dziesietny_PLDT 6 5" xfId="0"/>
    <cellStyle name="Dziesietny_PLDT 7" xfId="0"/>
    <cellStyle name="Dziesietny_PLDT 8" xfId="0"/>
    <cellStyle name="Dziesietny_PLDT 9" xfId="0"/>
    <cellStyle name="Dziesiętny [0]_PLDT" xfId="0"/>
    <cellStyle name="Dziesiętny [0]_PLDT 10" xfId="0"/>
    <cellStyle name="Dziesiętny [0]_PLDT 11" xfId="0"/>
    <cellStyle name="Dziesiętny [0]_PLDT 12" xfId="0"/>
    <cellStyle name="Dziesiętny [0]_PLDT 2" xfId="0"/>
    <cellStyle name="Dziesiętny [0]_PLDT 2 2" xfId="0"/>
    <cellStyle name="Dziesiętny [0]_PLDT 2 2 2" xfId="0"/>
    <cellStyle name="Dziesiętny [0]_PLDT 2 2 3" xfId="0"/>
    <cellStyle name="Dziesiętny [0]_PLDT 2 2 4" xfId="0"/>
    <cellStyle name="Dziesiętny [0]_PLDT 2 2 5" xfId="0"/>
    <cellStyle name="Dziesiętny [0]_PLDT 3" xfId="0"/>
    <cellStyle name="Dziesiętny [0]_PLDT 3 2" xfId="0"/>
    <cellStyle name="Dziesiętny [0]_PLDT 3 3" xfId="0"/>
    <cellStyle name="Dziesiętny [0]_PLDT 3 4" xfId="0"/>
    <cellStyle name="Dziesiętny [0]_PLDT 3 5" xfId="0"/>
    <cellStyle name="Dziesiętny [0]_PLDT 4" xfId="0"/>
    <cellStyle name="Dziesiętny [0]_PLDT 4 2" xfId="0"/>
    <cellStyle name="Dziesiętny [0]_PLDT 4 3" xfId="0"/>
    <cellStyle name="Dziesiętny [0]_PLDT 4 4" xfId="0"/>
    <cellStyle name="Dziesiętny [0]_PLDT 4 5" xfId="0"/>
    <cellStyle name="Dziesiętny [0]_PLDT 5" xfId="0"/>
    <cellStyle name="Dziesiętny [0]_PLDT 5 2" xfId="0"/>
    <cellStyle name="Dziesiętny [0]_PLDT 5 3" xfId="0"/>
    <cellStyle name="Dziesiętny [0]_PLDT 5 4" xfId="0"/>
    <cellStyle name="Dziesiętny [0]_PLDT 5 5" xfId="0"/>
    <cellStyle name="Dziesiętny [0]_PLDT 6" xfId="0"/>
    <cellStyle name="Dziesiętny [0]_PLDT 6 2" xfId="0"/>
    <cellStyle name="Dziesiętny [0]_PLDT 6 3" xfId="0"/>
    <cellStyle name="Dziesiętny [0]_PLDT 6 4" xfId="0"/>
    <cellStyle name="Dziesiętny [0]_PLDT 6 5" xfId="0"/>
    <cellStyle name="Dziesiętny [0]_PLDT 7" xfId="0"/>
    <cellStyle name="Dziesiętny [0]_PLDT 8" xfId="0"/>
    <cellStyle name="Dziesiętny [0]_PLDT 9" xfId="0"/>
    <cellStyle name="Dziesiętny_PLDT" xfId="0"/>
    <cellStyle name="Dziesiętny_PLDT 10" xfId="0"/>
    <cellStyle name="Dziesiętny_PLDT 11" xfId="0"/>
    <cellStyle name="Dziesiętny_PLDT 12" xfId="0"/>
    <cellStyle name="Dziesiętny_PLDT 2" xfId="0"/>
    <cellStyle name="Dziesiętny_PLDT 2 2" xfId="0"/>
    <cellStyle name="Dziesiętny_PLDT 2 2 2" xfId="0"/>
    <cellStyle name="Dziesiętny_PLDT 2 2 3" xfId="0"/>
    <cellStyle name="Dziesiętny_PLDT 2 2 4" xfId="0"/>
    <cellStyle name="Dziesiętny_PLDT 2 2 5" xfId="0"/>
    <cellStyle name="Dziesiętny_PLDT 3" xfId="0"/>
    <cellStyle name="Dziesiętny_PLDT 3 2" xfId="0"/>
    <cellStyle name="Dziesiętny_PLDT 3 3" xfId="0"/>
    <cellStyle name="Dziesiętny_PLDT 3 4" xfId="0"/>
    <cellStyle name="Dziesiętny_PLDT 3 5" xfId="0"/>
    <cellStyle name="Dziesiętny_PLDT 4" xfId="0"/>
    <cellStyle name="Dziesiętny_PLDT 4 2" xfId="0"/>
    <cellStyle name="Dziesiętny_PLDT 4 3" xfId="0"/>
    <cellStyle name="Dziesiętny_PLDT 4 4" xfId="0"/>
    <cellStyle name="Dziesiętny_PLDT 4 5" xfId="0"/>
    <cellStyle name="Dziesiętny_PLDT 5" xfId="0"/>
    <cellStyle name="Dziesiętny_PLDT 5 2" xfId="0"/>
    <cellStyle name="Dziesiętny_PLDT 5 3" xfId="0"/>
    <cellStyle name="Dziesiętny_PLDT 5 4" xfId="0"/>
    <cellStyle name="Dziesiętny_PLDT 5 5" xfId="0"/>
    <cellStyle name="Dziesiętny_PLDT 6" xfId="0"/>
    <cellStyle name="Dziesiętny_PLDT 6 2" xfId="0"/>
    <cellStyle name="Dziesiętny_PLDT 6 3" xfId="0"/>
    <cellStyle name="Dziesiętny_PLDT 6 4" xfId="0"/>
    <cellStyle name="Dziesiętny_PLDT 6 5" xfId="0"/>
    <cellStyle name="Dziesiętny_PLDT 7" xfId="0"/>
    <cellStyle name="Dziesiętny_PLDT 8" xfId="0"/>
    <cellStyle name="Dziesiętny_PLDT 9" xfId="0"/>
    <cellStyle name="Eingabe" xfId="0"/>
    <cellStyle name="Eingabe 2" xfId="0"/>
    <cellStyle name="Emphasis 1" xfId="0"/>
    <cellStyle name="Emphasis 1 2" xfId="0"/>
    <cellStyle name="Emphasis 1 2 2" xfId="0"/>
    <cellStyle name="Emphasis 1 2_Market Fresh Cost" xfId="0"/>
    <cellStyle name="Emphasis 1 3" xfId="0"/>
    <cellStyle name="Emphasis 1 3 2" xfId="0"/>
    <cellStyle name="Emphasis 1 4" xfId="0"/>
    <cellStyle name="Emphasis 1 5" xfId="0"/>
    <cellStyle name="Emphasis 1 6" xfId="0"/>
    <cellStyle name="Emphasis 1_Market Fresh Cost" xfId="0"/>
    <cellStyle name="Emphasis 2" xfId="0"/>
    <cellStyle name="Emphasis 2 2" xfId="0"/>
    <cellStyle name="Emphasis 2 2 2" xfId="0"/>
    <cellStyle name="Emphasis 2 2 2 2" xfId="0"/>
    <cellStyle name="Emphasis 2 2_Market Fresh Cost" xfId="0"/>
    <cellStyle name="Emphasis 2 3" xfId="0"/>
    <cellStyle name="Emphasis 2 3 2" xfId="0"/>
    <cellStyle name="Emphasis 2 4" xfId="0"/>
    <cellStyle name="Emphasis 2 4 2" xfId="0"/>
    <cellStyle name="Emphasis 2 5" xfId="0"/>
    <cellStyle name="Emphasis 2 6" xfId="0"/>
    <cellStyle name="Emphasis 2_Market Fresh Cost" xfId="0"/>
    <cellStyle name="Emphasis 3" xfId="0"/>
    <cellStyle name="Emphasis 3 2" xfId="0"/>
    <cellStyle name="Emphasis 3 2 2" xfId="0"/>
    <cellStyle name="Emphasis 3 2_Market Fresh Cost" xfId="0"/>
    <cellStyle name="Emphasis 3 3" xfId="0"/>
    <cellStyle name="Emphasis 3 3 2" xfId="0"/>
    <cellStyle name="Emphasis 3 4" xfId="0"/>
    <cellStyle name="Emphasis 3 5" xfId="0"/>
    <cellStyle name="Emphasis 3 6" xfId="0"/>
    <cellStyle name="Emphasis 3_Market Fresh Cost" xfId="0"/>
    <cellStyle name="Enter Currency (0)" xfId="0"/>
    <cellStyle name="Enter Currency (2)" xfId="0"/>
    <cellStyle name="Enter Units (0)" xfId="0"/>
    <cellStyle name="Enter Units (1)" xfId="0"/>
    <cellStyle name="Enter Units (2)" xfId="0"/>
    <cellStyle name="Entered" xfId="0"/>
    <cellStyle name="Entered 10" xfId="0"/>
    <cellStyle name="Entered 10 2" xfId="0"/>
    <cellStyle name="Entered 11" xfId="0"/>
    <cellStyle name="Entered 11 2" xfId="0"/>
    <cellStyle name="Entered 12" xfId="0"/>
    <cellStyle name="Entered 2" xfId="0"/>
    <cellStyle name="Entered 2 2" xfId="0"/>
    <cellStyle name="Entered 3" xfId="0"/>
    <cellStyle name="Entered 3 2" xfId="0"/>
    <cellStyle name="Entered 4" xfId="0"/>
    <cellStyle name="Entered 4 2" xfId="0"/>
    <cellStyle name="Entered 5" xfId="0"/>
    <cellStyle name="Entered 5 2" xfId="0"/>
    <cellStyle name="Entered 6" xfId="0"/>
    <cellStyle name="Entered 6 2" xfId="0"/>
    <cellStyle name="Entered 7" xfId="0"/>
    <cellStyle name="Entered 7 2" xfId="0"/>
    <cellStyle name="Entered 8" xfId="0"/>
    <cellStyle name="Entered 8 2" xfId="0"/>
    <cellStyle name="Entered 9" xfId="0"/>
    <cellStyle name="Entered 9 2" xfId="0"/>
    <cellStyle name="Ergebnis" xfId="0"/>
    <cellStyle name="Ergebnis 2" xfId="0"/>
    <cellStyle name="Erklärender Text" xfId="0"/>
    <cellStyle name="Erklärender Text 2" xfId="0"/>
    <cellStyle name="Euro" xfId="0"/>
    <cellStyle name="Euro 2" xfId="0"/>
    <cellStyle name="Euro 2 10" xfId="0"/>
    <cellStyle name="Euro 2 11" xfId="0"/>
    <cellStyle name="Euro 2 12" xfId="0"/>
    <cellStyle name="Euro 2 13" xfId="0"/>
    <cellStyle name="Euro 2 2" xfId="0"/>
    <cellStyle name="Euro 2 2 2" xfId="0"/>
    <cellStyle name="Euro 2 2 2 2" xfId="0"/>
    <cellStyle name="Euro 2 3" xfId="0"/>
    <cellStyle name="Euro 2 4" xfId="0"/>
    <cellStyle name="Euro 2 5" xfId="0"/>
    <cellStyle name="Euro 2 6" xfId="0"/>
    <cellStyle name="Euro 2 7" xfId="0"/>
    <cellStyle name="Euro 2 8" xfId="0"/>
    <cellStyle name="Euro 2 9" xfId="0"/>
    <cellStyle name="Euro 3" xfId="0"/>
    <cellStyle name="Euro 3 10" xfId="0"/>
    <cellStyle name="Euro 3 11" xfId="0"/>
    <cellStyle name="Euro 3 12" xfId="0"/>
    <cellStyle name="Euro 3 13" xfId="0"/>
    <cellStyle name="Euro 3 2" xfId="0"/>
    <cellStyle name="Euro 3 2 2" xfId="0"/>
    <cellStyle name="Euro 3 3" xfId="0"/>
    <cellStyle name="Euro 3 4" xfId="0"/>
    <cellStyle name="Euro 3 5" xfId="0"/>
    <cellStyle name="Euro 3 6" xfId="0"/>
    <cellStyle name="Euro 3 7" xfId="0"/>
    <cellStyle name="Euro 3 8" xfId="0"/>
    <cellStyle name="Euro 3 9" xfId="0"/>
    <cellStyle name="Euro 4" xfId="0"/>
    <cellStyle name="Euro 4 10" xfId="0"/>
    <cellStyle name="Euro 4 11" xfId="0"/>
    <cellStyle name="Euro 4 12" xfId="0"/>
    <cellStyle name="Euro 4 13" xfId="0"/>
    <cellStyle name="Euro 4 2" xfId="0"/>
    <cellStyle name="Euro 4 2 2" xfId="0"/>
    <cellStyle name="Euro 4 3" xfId="0"/>
    <cellStyle name="Euro 4 4" xfId="0"/>
    <cellStyle name="Euro 4 5" xfId="0"/>
    <cellStyle name="Euro 4 6" xfId="0"/>
    <cellStyle name="Euro 4 7" xfId="0"/>
    <cellStyle name="Euro 4 8" xfId="0"/>
    <cellStyle name="Euro 4 9" xfId="0"/>
    <cellStyle name="Euro 5" xfId="0"/>
    <cellStyle name="Euro 5 2" xfId="0"/>
    <cellStyle name="Euro 6" xfId="0"/>
    <cellStyle name="Euro 7" xfId="0"/>
    <cellStyle name="Explanatory Text" xfId="0"/>
    <cellStyle name="Explanatory Text 10" xfId="0"/>
    <cellStyle name="Explanatory Text 10 2" xfId="0"/>
    <cellStyle name="Explanatory Text 11" xfId="0"/>
    <cellStyle name="Explanatory Text 11 2" xfId="0"/>
    <cellStyle name="Explanatory Text 12" xfId="0"/>
    <cellStyle name="Explanatory Text 12 2" xfId="0"/>
    <cellStyle name="Explanatory Text 13" xfId="0"/>
    <cellStyle name="Explanatory Text 13 2" xfId="0"/>
    <cellStyle name="Explanatory Text 14" xfId="0"/>
    <cellStyle name="Explanatory Text 14 2" xfId="0"/>
    <cellStyle name="Explanatory Text 15" xfId="0"/>
    <cellStyle name="Explanatory Text 15 2" xfId="0"/>
    <cellStyle name="Explanatory Text 16" xfId="0"/>
    <cellStyle name="Explanatory Text 16 2" xfId="0"/>
    <cellStyle name="Explanatory Text 17" xfId="0"/>
    <cellStyle name="Explanatory Text 17 2" xfId="0"/>
    <cellStyle name="Explanatory Text 18" xfId="0"/>
    <cellStyle name="Explanatory Text 18 2" xfId="0"/>
    <cellStyle name="Explanatory Text 19" xfId="0"/>
    <cellStyle name="Explanatory Text 19 2" xfId="0"/>
    <cellStyle name="Explanatory Text 2" xfId="0"/>
    <cellStyle name="Explanatory Text 2 2" xfId="0"/>
    <cellStyle name="Explanatory Text 2 2 2" xfId="0"/>
    <cellStyle name="Explanatory Text 2 2 3" xfId="0"/>
    <cellStyle name="Explanatory Text 2 3" xfId="0"/>
    <cellStyle name="Explanatory Text 2 3 2" xfId="0"/>
    <cellStyle name="Explanatory Text 2 3 3" xfId="0"/>
    <cellStyle name="Explanatory Text 2 4" xfId="0"/>
    <cellStyle name="Explanatory Text 2 4 2" xfId="0"/>
    <cellStyle name="Explanatory Text 2 5" xfId="0"/>
    <cellStyle name="Explanatory Text 2 5 2" xfId="0"/>
    <cellStyle name="Explanatory Text 2 6" xfId="0"/>
    <cellStyle name="Explanatory Text 2 7" xfId="0"/>
    <cellStyle name="Explanatory Text 2 8" xfId="0"/>
    <cellStyle name="Explanatory Text 20" xfId="0"/>
    <cellStyle name="Explanatory Text 20 2" xfId="0"/>
    <cellStyle name="Explanatory Text 21" xfId="0"/>
    <cellStyle name="Explanatory Text 21 2" xfId="0"/>
    <cellStyle name="Explanatory Text 22" xfId="0"/>
    <cellStyle name="Explanatory Text 22 2" xfId="0"/>
    <cellStyle name="Explanatory Text 23" xfId="0"/>
    <cellStyle name="Explanatory Text 24" xfId="0"/>
    <cellStyle name="Explanatory Text 25" xfId="0"/>
    <cellStyle name="Explanatory Text 26" xfId="0"/>
    <cellStyle name="Explanatory Text 27" xfId="0"/>
    <cellStyle name="Explanatory Text 28" xfId="0"/>
    <cellStyle name="Explanatory Text 29" xfId="0"/>
    <cellStyle name="Explanatory Text 2_Profitability Detail NT$ Sep-12" xfId="0"/>
    <cellStyle name="Explanatory Text 3" xfId="0"/>
    <cellStyle name="Explanatory Text 3 2" xfId="0"/>
    <cellStyle name="Explanatory Text 3 2 2" xfId="0"/>
    <cellStyle name="Explanatory Text 3 3" xfId="0"/>
    <cellStyle name="Explanatory Text 3 3 2" xfId="0"/>
    <cellStyle name="Explanatory Text 3 4" xfId="0"/>
    <cellStyle name="Explanatory Text 3 4 2" xfId="0"/>
    <cellStyle name="Explanatory Text 3 5" xfId="0"/>
    <cellStyle name="Explanatory Text 3 5 2" xfId="0"/>
    <cellStyle name="Explanatory Text 3 6" xfId="0"/>
    <cellStyle name="Explanatory Text 3 7" xfId="0"/>
    <cellStyle name="Explanatory Text 30" xfId="0"/>
    <cellStyle name="Explanatory Text 31" xfId="0"/>
    <cellStyle name="Explanatory Text 32" xfId="0"/>
    <cellStyle name="Explanatory Text 33" xfId="0"/>
    <cellStyle name="Explanatory Text 34" xfId="0"/>
    <cellStyle name="Explanatory Text 35" xfId="0"/>
    <cellStyle name="Explanatory Text 3_Profitability Detail NT$ Sep-12" xfId="0"/>
    <cellStyle name="Explanatory Text 4" xfId="0"/>
    <cellStyle name="Explanatory Text 4 2" xfId="0"/>
    <cellStyle name="Explanatory Text 4 2 2" xfId="0"/>
    <cellStyle name="Explanatory Text 4 3" xfId="0"/>
    <cellStyle name="Explanatory Text 4 3 2" xfId="0"/>
    <cellStyle name="Explanatory Text 4 4" xfId="0"/>
    <cellStyle name="Explanatory Text 4 4 2" xfId="0"/>
    <cellStyle name="Explanatory Text 4 5" xfId="0"/>
    <cellStyle name="Explanatory Text 4 5 2" xfId="0"/>
    <cellStyle name="Explanatory Text 4 6" xfId="0"/>
    <cellStyle name="Explanatory Text 4 7" xfId="0"/>
    <cellStyle name="Explanatory Text 4_Profitability Detail NT$ Sep-12" xfId="0"/>
    <cellStyle name="Explanatory Text 5" xfId="0"/>
    <cellStyle name="Explanatory Text 5 2" xfId="0"/>
    <cellStyle name="Explanatory Text 5 3" xfId="0"/>
    <cellStyle name="Explanatory Text 6" xfId="0"/>
    <cellStyle name="Explanatory Text 6 2" xfId="0"/>
    <cellStyle name="Explanatory Text 7" xfId="0"/>
    <cellStyle name="Explanatory Text 7 2" xfId="0"/>
    <cellStyle name="Explanatory Text 8" xfId="0"/>
    <cellStyle name="Explanatory Text 8 2" xfId="0"/>
    <cellStyle name="Explanatory Text 9" xfId="0"/>
    <cellStyle name="Explanatory Text 9 2" xfId="0"/>
    <cellStyle name="Explanatory Text_Apr CPC" xfId="0"/>
    <cellStyle name="Good 10" xfId="0"/>
    <cellStyle name="Good 10 2" xfId="0"/>
    <cellStyle name="Good 11" xfId="0"/>
    <cellStyle name="Good 11 2" xfId="0"/>
    <cellStyle name="Good 12" xfId="0"/>
    <cellStyle name="Good 12 2" xfId="0"/>
    <cellStyle name="Good 13" xfId="0"/>
    <cellStyle name="Good 13 2" xfId="0"/>
    <cellStyle name="Good 14" xfId="0"/>
    <cellStyle name="Good 14 2" xfId="0"/>
    <cellStyle name="Good 15" xfId="0"/>
    <cellStyle name="Good 15 2" xfId="0"/>
    <cellStyle name="Good 16" xfId="0"/>
    <cellStyle name="Good 16 2" xfId="0"/>
    <cellStyle name="Good 17" xfId="0"/>
    <cellStyle name="Good 17 2" xfId="0"/>
    <cellStyle name="Good 18" xfId="0"/>
    <cellStyle name="Good 18 2" xfId="0"/>
    <cellStyle name="Good 19" xfId="0"/>
    <cellStyle name="Good 19 2" xfId="0"/>
    <cellStyle name="Good 2" xfId="0"/>
    <cellStyle name="Good 2 2" xfId="0"/>
    <cellStyle name="Good 2 2 2" xfId="0"/>
    <cellStyle name="Good 2 2 3" xfId="0"/>
    <cellStyle name="Good 2 3" xfId="0"/>
    <cellStyle name="Good 2 3 2" xfId="0"/>
    <cellStyle name="Good 2 4" xfId="0"/>
    <cellStyle name="Good 2 4 2" xfId="0"/>
    <cellStyle name="Good 2 5" xfId="0"/>
    <cellStyle name="Good 2 5 2" xfId="0"/>
    <cellStyle name="Good 2 6" xfId="0"/>
    <cellStyle name="Good 20" xfId="0"/>
    <cellStyle name="Good 20 2" xfId="0"/>
    <cellStyle name="Good 21" xfId="0"/>
    <cellStyle name="Good 21 2" xfId="0"/>
    <cellStyle name="Good 22" xfId="0"/>
    <cellStyle name="Good 22 2" xfId="0"/>
    <cellStyle name="Good 23" xfId="0"/>
    <cellStyle name="Good 23 2" xfId="0"/>
    <cellStyle name="Good 24" xfId="0"/>
    <cellStyle name="Good 25" xfId="0"/>
    <cellStyle name="Good 26" xfId="0"/>
    <cellStyle name="Good 27" xfId="0"/>
    <cellStyle name="Good 28" xfId="0"/>
    <cellStyle name="Good 29" xfId="0"/>
    <cellStyle name="Good 2_Profitability Detail NT$ Sep-12" xfId="0"/>
    <cellStyle name="Good 3" xfId="0"/>
    <cellStyle name="Good 3 2" xfId="0"/>
    <cellStyle name="Good 3 2 2" xfId="0"/>
    <cellStyle name="Good 3 3" xfId="0"/>
    <cellStyle name="Good 3 3 2" xfId="0"/>
    <cellStyle name="Good 3 4" xfId="0"/>
    <cellStyle name="Good 3 4 2" xfId="0"/>
    <cellStyle name="Good 3 5" xfId="0"/>
    <cellStyle name="Good 3 5 2" xfId="0"/>
    <cellStyle name="Good 3 6" xfId="0"/>
    <cellStyle name="Good 3 7" xfId="0"/>
    <cellStyle name="Good 30" xfId="0"/>
    <cellStyle name="Good 31" xfId="0"/>
    <cellStyle name="Good 3_Profitability Detail NT$ Sep-12" xfId="0"/>
    <cellStyle name="Good 4" xfId="0"/>
    <cellStyle name="Good 4 2" xfId="0"/>
    <cellStyle name="Good 4 2 2" xfId="0"/>
    <cellStyle name="Good 4 3" xfId="0"/>
    <cellStyle name="Good 4 3 2" xfId="0"/>
    <cellStyle name="Good 4 4" xfId="0"/>
    <cellStyle name="Good 4 4 2" xfId="0"/>
    <cellStyle name="Good 4 5" xfId="0"/>
    <cellStyle name="Good 4 5 2" xfId="0"/>
    <cellStyle name="Good 4 6" xfId="0"/>
    <cellStyle name="Good 4 7" xfId="0"/>
    <cellStyle name="Good 4_Profitability Detail NT$ Sep-12" xfId="0"/>
    <cellStyle name="Good 5" xfId="0"/>
    <cellStyle name="Good 5 2" xfId="0"/>
    <cellStyle name="Good 5 3" xfId="0"/>
    <cellStyle name="Good 6" xfId="0"/>
    <cellStyle name="Good 6 2" xfId="0"/>
    <cellStyle name="Good 6 3" xfId="0"/>
    <cellStyle name="Good 7" xfId="0"/>
    <cellStyle name="Good 7 2" xfId="0"/>
    <cellStyle name="Good 8" xfId="0"/>
    <cellStyle name="Good 8 2" xfId="0"/>
    <cellStyle name="Good 9" xfId="0"/>
    <cellStyle name="Good 9 2" xfId="0"/>
    <cellStyle name="Good_090703 WMR-VSC" xfId="0"/>
    <cellStyle name="Grey" xfId="0"/>
    <cellStyle name="Gut" xfId="0"/>
    <cellStyle name="Gut 2" xfId="0"/>
    <cellStyle name="Header1" xfId="0"/>
    <cellStyle name="Header1 2" xfId="0"/>
    <cellStyle name="Header1 2 2" xfId="0"/>
    <cellStyle name="Header2" xfId="0"/>
    <cellStyle name="Header2 2" xfId="0"/>
    <cellStyle name="Header2 2 2" xfId="0"/>
    <cellStyle name="Header2_Prod Line MTD" xfId="0"/>
    <cellStyle name="Heading 1 10" xfId="0"/>
    <cellStyle name="Heading 1 10 2" xfId="0"/>
    <cellStyle name="Heading 1 11" xfId="0"/>
    <cellStyle name="Heading 1 11 2" xfId="0"/>
    <cellStyle name="Heading 1 12" xfId="0"/>
    <cellStyle name="Heading 1 12 2" xfId="0"/>
    <cellStyle name="Heading 1 13" xfId="0"/>
    <cellStyle name="Heading 1 13 2" xfId="0"/>
    <cellStyle name="Heading 1 14" xfId="0"/>
    <cellStyle name="Heading 1 14 2" xfId="0"/>
    <cellStyle name="Heading 1 15" xfId="0"/>
    <cellStyle name="Heading 1 15 2" xfId="0"/>
    <cellStyle name="Heading 1 16" xfId="0"/>
    <cellStyle name="Heading 1 16 2" xfId="0"/>
    <cellStyle name="Heading 1 17" xfId="0"/>
    <cellStyle name="Heading 1 17 2" xfId="0"/>
    <cellStyle name="Heading 1 18" xfId="0"/>
    <cellStyle name="Heading 1 18 2" xfId="0"/>
    <cellStyle name="Heading 1 19" xfId="0"/>
    <cellStyle name="Heading 1 19 2" xfId="0"/>
    <cellStyle name="Heading 1 2" xfId="0"/>
    <cellStyle name="Heading 1 2 2" xfId="0"/>
    <cellStyle name="Heading 1 2 2 2" xfId="0"/>
    <cellStyle name="Heading 1 2 2 3" xfId="0"/>
    <cellStyle name="Heading 1 2 3" xfId="0"/>
    <cellStyle name="Heading 1 2 3 2" xfId="0"/>
    <cellStyle name="Heading 1 2 3 3" xfId="0"/>
    <cellStyle name="Heading 1 2 4" xfId="0"/>
    <cellStyle name="Heading 1 2 4 2" xfId="0"/>
    <cellStyle name="Heading 1 2 5" xfId="0"/>
    <cellStyle name="Heading 1 2 5 2" xfId="0"/>
    <cellStyle name="Heading 1 2 6" xfId="0"/>
    <cellStyle name="Heading 1 2 7" xfId="0"/>
    <cellStyle name="Heading 1 2 8" xfId="0"/>
    <cellStyle name="Heading 1 20" xfId="0"/>
    <cellStyle name="Heading 1 20 2" xfId="0"/>
    <cellStyle name="Heading 1 21" xfId="0"/>
    <cellStyle name="Heading 1 21 2" xfId="0"/>
    <cellStyle name="Heading 1 22" xfId="0"/>
    <cellStyle name="Heading 1 22 2" xfId="0"/>
    <cellStyle name="Heading 1 23" xfId="0"/>
    <cellStyle name="Heading 1 23 2" xfId="0"/>
    <cellStyle name="Heading 1 24" xfId="0"/>
    <cellStyle name="Heading 1 25" xfId="0"/>
    <cellStyle name="Heading 1 26" xfId="0"/>
    <cellStyle name="Heading 1 27" xfId="0"/>
    <cellStyle name="Heading 1 28" xfId="0"/>
    <cellStyle name="Heading 1 29" xfId="0"/>
    <cellStyle name="Heading 1 2_Profitability Detail NT$ Sep-12" xfId="0"/>
    <cellStyle name="Heading 1 3" xfId="0"/>
    <cellStyle name="Heading 1 3 2" xfId="0"/>
    <cellStyle name="Heading 1 3 2 2" xfId="0"/>
    <cellStyle name="Heading 1 3 3" xfId="0"/>
    <cellStyle name="Heading 1 3 3 2" xfId="0"/>
    <cellStyle name="Heading 1 3 4" xfId="0"/>
    <cellStyle name="Heading 1 3 4 2" xfId="0"/>
    <cellStyle name="Heading 1 3 5" xfId="0"/>
    <cellStyle name="Heading 1 3 5 2" xfId="0"/>
    <cellStyle name="Heading 1 3 6" xfId="0"/>
    <cellStyle name="Heading 1 3 7" xfId="0"/>
    <cellStyle name="Heading 1 3 8" xfId="0"/>
    <cellStyle name="Heading 1 30" xfId="0"/>
    <cellStyle name="Heading 1 31" xfId="0"/>
    <cellStyle name="Heading 1 32" xfId="0"/>
    <cellStyle name="Heading 1 33" xfId="0"/>
    <cellStyle name="Heading 1 34" xfId="0"/>
    <cellStyle name="Heading 1 35" xfId="0"/>
    <cellStyle name="Heading 1 36" xfId="0"/>
    <cellStyle name="Heading 1 3_Profitability Detail NT$ Sep-12" xfId="0"/>
    <cellStyle name="Heading 1 4" xfId="0"/>
    <cellStyle name="Heading 1 4 2" xfId="0"/>
    <cellStyle name="Heading 1 4 2 2" xfId="0"/>
    <cellStyle name="Heading 1 4 3" xfId="0"/>
    <cellStyle name="Heading 1 4 3 2" xfId="0"/>
    <cellStyle name="Heading 1 4 4" xfId="0"/>
    <cellStyle name="Heading 1 4 4 2" xfId="0"/>
    <cellStyle name="Heading 1 4 5" xfId="0"/>
    <cellStyle name="Heading 1 4 5 2" xfId="0"/>
    <cellStyle name="Heading 1 4 6" xfId="0"/>
    <cellStyle name="Heading 1 4 7" xfId="0"/>
    <cellStyle name="Heading 1 4 8" xfId="0"/>
    <cellStyle name="Heading 1 4_Profitability Detail NT$ Sep-12" xfId="0"/>
    <cellStyle name="Heading 1 5" xfId="0"/>
    <cellStyle name="Heading 1 5 2" xfId="0"/>
    <cellStyle name="Heading 1 5 3" xfId="0"/>
    <cellStyle name="Heading 1 6" xfId="0"/>
    <cellStyle name="Heading 1 6 2" xfId="0"/>
    <cellStyle name="Heading 1 7" xfId="0"/>
    <cellStyle name="Heading 1 7 2" xfId="0"/>
    <cellStyle name="Heading 1 8" xfId="0"/>
    <cellStyle name="Heading 1 8 2" xfId="0"/>
    <cellStyle name="Heading 1 9" xfId="0"/>
    <cellStyle name="Heading 1 9 2" xfId="0"/>
    <cellStyle name="Heading 1_13-wk VSA_Revised" xfId="0"/>
    <cellStyle name="Heading 2 10" xfId="0"/>
    <cellStyle name="Heading 2 10 2" xfId="0"/>
    <cellStyle name="Heading 2 11" xfId="0"/>
    <cellStyle name="Heading 2 11 2" xfId="0"/>
    <cellStyle name="Heading 2 12" xfId="0"/>
    <cellStyle name="Heading 2 12 2" xfId="0"/>
    <cellStyle name="Heading 2 13" xfId="0"/>
    <cellStyle name="Heading 2 13 2" xfId="0"/>
    <cellStyle name="Heading 2 14" xfId="0"/>
    <cellStyle name="Heading 2 14 2" xfId="0"/>
    <cellStyle name="Heading 2 15" xfId="0"/>
    <cellStyle name="Heading 2 15 2" xfId="0"/>
    <cellStyle name="Heading 2 16" xfId="0"/>
    <cellStyle name="Heading 2 16 2" xfId="0"/>
    <cellStyle name="Heading 2 17" xfId="0"/>
    <cellStyle name="Heading 2 17 2" xfId="0"/>
    <cellStyle name="Heading 2 18" xfId="0"/>
    <cellStyle name="Heading 2 18 2" xfId="0"/>
    <cellStyle name="Heading 2 19" xfId="0"/>
    <cellStyle name="Heading 2 19 2" xfId="0"/>
    <cellStyle name="Heading 2 2" xfId="0"/>
    <cellStyle name="Heading 2 2 2" xfId="0"/>
    <cellStyle name="Heading 2 2 2 2" xfId="0"/>
    <cellStyle name="Heading 2 2 2 3" xfId="0"/>
    <cellStyle name="Heading 2 2 3" xfId="0"/>
    <cellStyle name="Heading 2 2 3 2" xfId="0"/>
    <cellStyle name="Heading 2 2 3 3" xfId="0"/>
    <cellStyle name="Heading 2 2 4" xfId="0"/>
    <cellStyle name="Heading 2 2 4 2" xfId="0"/>
    <cellStyle name="Heading 2 2 5" xfId="0"/>
    <cellStyle name="Heading 2 2 5 2" xfId="0"/>
    <cellStyle name="Heading 2 2 6" xfId="0"/>
    <cellStyle name="Heading 2 2 7" xfId="0"/>
    <cellStyle name="Heading 2 2 8" xfId="0"/>
    <cellStyle name="Heading 2 2 9" xfId="0"/>
    <cellStyle name="Heading 2 20" xfId="0"/>
    <cellStyle name="Heading 2 20 2" xfId="0"/>
    <cellStyle name="Heading 2 21" xfId="0"/>
    <cellStyle name="Heading 2 21 2" xfId="0"/>
    <cellStyle name="Heading 2 22" xfId="0"/>
    <cellStyle name="Heading 2 22 2" xfId="0"/>
    <cellStyle name="Heading 2 23" xfId="0"/>
    <cellStyle name="Heading 2 23 2" xfId="0"/>
    <cellStyle name="Heading 2 24" xfId="0"/>
    <cellStyle name="Heading 2 25" xfId="0"/>
    <cellStyle name="Heading 2 26" xfId="0"/>
    <cellStyle name="Heading 2 27" xfId="0"/>
    <cellStyle name="Heading 2 28" xfId="0"/>
    <cellStyle name="Heading 2 29" xfId="0"/>
    <cellStyle name="Heading 2 2_Profitability Detail NT$ Sep-12" xfId="0"/>
    <cellStyle name="Heading 2 3" xfId="0"/>
    <cellStyle name="Heading 2 3 2" xfId="0"/>
    <cellStyle name="Heading 2 3 2 2" xfId="0"/>
    <cellStyle name="Heading 2 3 3" xfId="0"/>
    <cellStyle name="Heading 2 3 3 2" xfId="0"/>
    <cellStyle name="Heading 2 3 4" xfId="0"/>
    <cellStyle name="Heading 2 3 4 2" xfId="0"/>
    <cellStyle name="Heading 2 3 5" xfId="0"/>
    <cellStyle name="Heading 2 3 5 2" xfId="0"/>
    <cellStyle name="Heading 2 3 6" xfId="0"/>
    <cellStyle name="Heading 2 3 7" xfId="0"/>
    <cellStyle name="Heading 2 3 8" xfId="0"/>
    <cellStyle name="Heading 2 30" xfId="0"/>
    <cellStyle name="Heading 2 31" xfId="0"/>
    <cellStyle name="Heading 2 32" xfId="0"/>
    <cellStyle name="Heading 2 33" xfId="0"/>
    <cellStyle name="Heading 2 34" xfId="0"/>
    <cellStyle name="Heading 2 35" xfId="0"/>
    <cellStyle name="Heading 2 37" xfId="0"/>
    <cellStyle name="Heading 2 3_Profitability Detail NT$ Sep-12" xfId="0"/>
    <cellStyle name="Heading 2 4" xfId="0"/>
    <cellStyle name="Heading 2 4 2" xfId="0"/>
    <cellStyle name="Heading 2 4 2 2" xfId="0"/>
    <cellStyle name="Heading 2 4 3" xfId="0"/>
    <cellStyle name="Heading 2 4 3 2" xfId="0"/>
    <cellStyle name="Heading 2 4 4" xfId="0"/>
    <cellStyle name="Heading 2 4 4 2" xfId="0"/>
    <cellStyle name="Heading 2 4 5" xfId="0"/>
    <cellStyle name="Heading 2 4 5 2" xfId="0"/>
    <cellStyle name="Heading 2 4 6" xfId="0"/>
    <cellStyle name="Heading 2 4 7" xfId="0"/>
    <cellStyle name="Heading 2 4_Profitability Detail NT$ Sep-12" xfId="0"/>
    <cellStyle name="Heading 2 5" xfId="0"/>
    <cellStyle name="Heading 2 5 2" xfId="0"/>
    <cellStyle name="Heading 2 5 3" xfId="0"/>
    <cellStyle name="Heading 2 6" xfId="0"/>
    <cellStyle name="Heading 2 6 2" xfId="0"/>
    <cellStyle name="Heading 2 7" xfId="0"/>
    <cellStyle name="Heading 2 7 2" xfId="0"/>
    <cellStyle name="Heading 2 8" xfId="0"/>
    <cellStyle name="Heading 2 8 2" xfId="0"/>
    <cellStyle name="Heading 2 9" xfId="0"/>
    <cellStyle name="Heading 2 9 2" xfId="0"/>
    <cellStyle name="Heading 2_13-wk VSA_Revised" xfId="0"/>
    <cellStyle name="Heading 3" xfId="0"/>
    <cellStyle name="Heading 3 10" xfId="0"/>
    <cellStyle name="Heading 3 10 2" xfId="0"/>
    <cellStyle name="Heading 3 10 3" xfId="0"/>
    <cellStyle name="Heading 3 10 4" xfId="0"/>
    <cellStyle name="Heading 3 11" xfId="0"/>
    <cellStyle name="Heading 3 11 2" xfId="0"/>
    <cellStyle name="Heading 3 11 3" xfId="0"/>
    <cellStyle name="Heading 3 11 4" xfId="0"/>
    <cellStyle name="Heading 3 12" xfId="0"/>
    <cellStyle name="Heading 3 12 2" xfId="0"/>
    <cellStyle name="Heading 3 12 3" xfId="0"/>
    <cellStyle name="Heading 3 12 4" xfId="0"/>
    <cellStyle name="Heading 3 13" xfId="0"/>
    <cellStyle name="Heading 3 13 2" xfId="0"/>
    <cellStyle name="Heading 3 13 3" xfId="0"/>
    <cellStyle name="Heading 3 13 4" xfId="0"/>
    <cellStyle name="Heading 3 14" xfId="0"/>
    <cellStyle name="Heading 3 14 2" xfId="0"/>
    <cellStyle name="Heading 3 14 3" xfId="0"/>
    <cellStyle name="Heading 3 14 4" xfId="0"/>
    <cellStyle name="Heading 3 15" xfId="0"/>
    <cellStyle name="Heading 3 15 2" xfId="0"/>
    <cellStyle name="Heading 3 15 3" xfId="0"/>
    <cellStyle name="Heading 3 15 4" xfId="0"/>
    <cellStyle name="Heading 3 16" xfId="0"/>
    <cellStyle name="Heading 3 16 2" xfId="0"/>
    <cellStyle name="Heading 3 16 3" xfId="0"/>
    <cellStyle name="Heading 3 16 4" xfId="0"/>
    <cellStyle name="Heading 3 17" xfId="0"/>
    <cellStyle name="Heading 3 17 2" xfId="0"/>
    <cellStyle name="Heading 3 17 3" xfId="0"/>
    <cellStyle name="Heading 3 17 4" xfId="0"/>
    <cellStyle name="Heading 3 18" xfId="0"/>
    <cellStyle name="Heading 3 18 2" xfId="0"/>
    <cellStyle name="Heading 3 18 3" xfId="0"/>
    <cellStyle name="Heading 3 18 4" xfId="0"/>
    <cellStyle name="Heading 3 19" xfId="0"/>
    <cellStyle name="Heading 3 19 2" xfId="0"/>
    <cellStyle name="Heading 3 19 3" xfId="0"/>
    <cellStyle name="Heading 3 19 4" xfId="0"/>
    <cellStyle name="Heading 3 2" xfId="0"/>
    <cellStyle name="Heading 3 2 10" xfId="0"/>
    <cellStyle name="Heading 3 2 2" xfId="0"/>
    <cellStyle name="Heading 3 2 2 2" xfId="0"/>
    <cellStyle name="Heading 3 2 2 2 2" xfId="0"/>
    <cellStyle name="Heading 3 2 2 2 3" xfId="0"/>
    <cellStyle name="Heading 3 2 2 3" xfId="0"/>
    <cellStyle name="Heading 3 2 2 3 2" xfId="0"/>
    <cellStyle name="Heading 3 2 2 3 3" xfId="0"/>
    <cellStyle name="Heading 3 2 2 4" xfId="0"/>
    <cellStyle name="Heading 3 2 2 5" xfId="0"/>
    <cellStyle name="Heading 3 2 2 6" xfId="0"/>
    <cellStyle name="Heading 3 2 2 7" xfId="0"/>
    <cellStyle name="Heading 3 2 3" xfId="0"/>
    <cellStyle name="Heading 3 2 3 2" xfId="0"/>
    <cellStyle name="Heading 3 2 3 2 2" xfId="0"/>
    <cellStyle name="Heading 3 2 3 3" xfId="0"/>
    <cellStyle name="Heading 3 2 3 3 2" xfId="0"/>
    <cellStyle name="Heading 3 2 3 4" xfId="0"/>
    <cellStyle name="Heading 3 2 3 5" xfId="0"/>
    <cellStyle name="Heading 3 2 3 6" xfId="0"/>
    <cellStyle name="Heading 3 2 4" xfId="0"/>
    <cellStyle name="Heading 3 2 4 2" xfId="0"/>
    <cellStyle name="Heading 3 2 4 2 2" xfId="0"/>
    <cellStyle name="Heading 3 2 4 3" xfId="0"/>
    <cellStyle name="Heading 3 2 4 3 2" xfId="0"/>
    <cellStyle name="Heading 3 2 4 4" xfId="0"/>
    <cellStyle name="Heading 3 2 4 5" xfId="0"/>
    <cellStyle name="Heading 3 2 5" xfId="0"/>
    <cellStyle name="Heading 3 2 5 2" xfId="0"/>
    <cellStyle name="Heading 3 2 5 2 2" xfId="0"/>
    <cellStyle name="Heading 3 2 5 3" xfId="0"/>
    <cellStyle name="Heading 3 2 5 3 2" xfId="0"/>
    <cellStyle name="Heading 3 2 5 4" xfId="0"/>
    <cellStyle name="Heading 3 2 5 5" xfId="0"/>
    <cellStyle name="Heading 3 2 6" xfId="0"/>
    <cellStyle name="Heading 3 2 6 2" xfId="0"/>
    <cellStyle name="Heading 3 2 6 3" xfId="0"/>
    <cellStyle name="Heading 3 2 6 4" xfId="0"/>
    <cellStyle name="Heading 3 2 7" xfId="0"/>
    <cellStyle name="Heading 3 2 7 2" xfId="0"/>
    <cellStyle name="Heading 3 2 7 3" xfId="0"/>
    <cellStyle name="Heading 3 2 7 4" xfId="0"/>
    <cellStyle name="Heading 3 2 8" xfId="0"/>
    <cellStyle name="Heading 3 2 8 2" xfId="0"/>
    <cellStyle name="Heading 3 2 9" xfId="0"/>
    <cellStyle name="Heading 3 20" xfId="0"/>
    <cellStyle name="Heading 3 20 2" xfId="0"/>
    <cellStyle name="Heading 3 20 3" xfId="0"/>
    <cellStyle name="Heading 3 20 4" xfId="0"/>
    <cellStyle name="Heading 3 21" xfId="0"/>
    <cellStyle name="Heading 3 21 2" xfId="0"/>
    <cellStyle name="Heading 3 21 3" xfId="0"/>
    <cellStyle name="Heading 3 21 4" xfId="0"/>
    <cellStyle name="Heading 3 22" xfId="0"/>
    <cellStyle name="Heading 3 22 2" xfId="0"/>
    <cellStyle name="Heading 3 22 3" xfId="0"/>
    <cellStyle name="Heading 3 22 4" xfId="0"/>
    <cellStyle name="Heading 3 23" xfId="0"/>
    <cellStyle name="Heading 3 23 2" xfId="0"/>
    <cellStyle name="Heading 3 23 3" xfId="0"/>
    <cellStyle name="Heading 3 23 4" xfId="0"/>
    <cellStyle name="Heading 3 24" xfId="0"/>
    <cellStyle name="Heading 3 24 2" xfId="0"/>
    <cellStyle name="Heading 3 25" xfId="0"/>
    <cellStyle name="Heading 3 25 2" xfId="0"/>
    <cellStyle name="Heading 3 26" xfId="0"/>
    <cellStyle name="Heading 3 27" xfId="0"/>
    <cellStyle name="Heading 3 28" xfId="0"/>
    <cellStyle name="Heading 3 29" xfId="0"/>
    <cellStyle name="Heading 3 2_Profitability Detail NT$ Sep-12" xfId="0"/>
    <cellStyle name="Heading 3 3" xfId="0"/>
    <cellStyle name="Heading 3 3 10" xfId="0"/>
    <cellStyle name="Heading 3 3 2" xfId="0"/>
    <cellStyle name="Heading 3 3 2 2" xfId="0"/>
    <cellStyle name="Heading 3 3 2 2 2" xfId="0"/>
    <cellStyle name="Heading 3 3 2 2 3" xfId="0"/>
    <cellStyle name="Heading 3 3 2 3" xfId="0"/>
    <cellStyle name="Heading 3 3 2 3 2" xfId="0"/>
    <cellStyle name="Heading 3 3 2 3 3" xfId="0"/>
    <cellStyle name="Heading 3 3 2 4" xfId="0"/>
    <cellStyle name="Heading 3 3 2 5" xfId="0"/>
    <cellStyle name="Heading 3 3 2 6" xfId="0"/>
    <cellStyle name="Heading 3 3 3" xfId="0"/>
    <cellStyle name="Heading 3 3 3 2" xfId="0"/>
    <cellStyle name="Heading 3 3 3 2 2" xfId="0"/>
    <cellStyle name="Heading 3 3 3 3" xfId="0"/>
    <cellStyle name="Heading 3 3 3 3 2" xfId="0"/>
    <cellStyle name="Heading 3 3 3 4" xfId="0"/>
    <cellStyle name="Heading 3 3 3 5" xfId="0"/>
    <cellStyle name="Heading 3 3 4" xfId="0"/>
    <cellStyle name="Heading 3 3 4 2" xfId="0"/>
    <cellStyle name="Heading 3 3 4 2 2" xfId="0"/>
    <cellStyle name="Heading 3 3 4 3" xfId="0"/>
    <cellStyle name="Heading 3 3 4 3 2" xfId="0"/>
    <cellStyle name="Heading 3 3 4 4" xfId="0"/>
    <cellStyle name="Heading 3 3 4 5" xfId="0"/>
    <cellStyle name="Heading 3 3 5" xfId="0"/>
    <cellStyle name="Heading 3 3 5 2" xfId="0"/>
    <cellStyle name="Heading 3 3 5 2 2" xfId="0"/>
    <cellStyle name="Heading 3 3 5 3" xfId="0"/>
    <cellStyle name="Heading 3 3 5 3 2" xfId="0"/>
    <cellStyle name="Heading 3 3 5 4" xfId="0"/>
    <cellStyle name="Heading 3 3 5 5" xfId="0"/>
    <cellStyle name="Heading 3 3 6" xfId="0"/>
    <cellStyle name="Heading 3 3 6 2" xfId="0"/>
    <cellStyle name="Heading 3 3 6 3" xfId="0"/>
    <cellStyle name="Heading 3 3 6 4" xfId="0"/>
    <cellStyle name="Heading 3 3 7" xfId="0"/>
    <cellStyle name="Heading 3 3 7 2" xfId="0"/>
    <cellStyle name="Heading 3 3 7 3" xfId="0"/>
    <cellStyle name="Heading 3 3 7 4" xfId="0"/>
    <cellStyle name="Heading 3 3 8" xfId="0"/>
    <cellStyle name="Heading 3 3 9" xfId="0"/>
    <cellStyle name="Heading 3 30" xfId="0"/>
    <cellStyle name="Heading 3 31" xfId="0"/>
    <cellStyle name="Heading 3 32" xfId="0"/>
    <cellStyle name="Heading 3 33" xfId="0"/>
    <cellStyle name="Heading 3 34" xfId="0"/>
    <cellStyle name="Heading 3 35" xfId="0"/>
    <cellStyle name="Heading 3 3_Profitability Detail NT$ Sep-12" xfId="0"/>
    <cellStyle name="Heading 3 4" xfId="0"/>
    <cellStyle name="Heading 3 4 2" xfId="0"/>
    <cellStyle name="Heading 3 4 2 2" xfId="0"/>
    <cellStyle name="Heading 3 4 2 2 2" xfId="0"/>
    <cellStyle name="Heading 3 4 2 2 3" xfId="0"/>
    <cellStyle name="Heading 3 4 2 3" xfId="0"/>
    <cellStyle name="Heading 3 4 2 3 2" xfId="0"/>
    <cellStyle name="Heading 3 4 2 3 3" xfId="0"/>
    <cellStyle name="Heading 3 4 2 4" xfId="0"/>
    <cellStyle name="Heading 3 4 2 5" xfId="0"/>
    <cellStyle name="Heading 3 4 2 6" xfId="0"/>
    <cellStyle name="Heading 3 4 3" xfId="0"/>
    <cellStyle name="Heading 3 4 3 2" xfId="0"/>
    <cellStyle name="Heading 3 4 3 2 2" xfId="0"/>
    <cellStyle name="Heading 3 4 3 3" xfId="0"/>
    <cellStyle name="Heading 3 4 3 3 2" xfId="0"/>
    <cellStyle name="Heading 3 4 3 4" xfId="0"/>
    <cellStyle name="Heading 3 4 3 5" xfId="0"/>
    <cellStyle name="Heading 3 4 4" xfId="0"/>
    <cellStyle name="Heading 3 4 4 2" xfId="0"/>
    <cellStyle name="Heading 3 4 4 2 2" xfId="0"/>
    <cellStyle name="Heading 3 4 4 3" xfId="0"/>
    <cellStyle name="Heading 3 4 4 3 2" xfId="0"/>
    <cellStyle name="Heading 3 4 4 4" xfId="0"/>
    <cellStyle name="Heading 3 4 4 5" xfId="0"/>
    <cellStyle name="Heading 3 4 5" xfId="0"/>
    <cellStyle name="Heading 3 4 5 2" xfId="0"/>
    <cellStyle name="Heading 3 4 5 2 2" xfId="0"/>
    <cellStyle name="Heading 3 4 5 3" xfId="0"/>
    <cellStyle name="Heading 3 4 5 3 2" xfId="0"/>
    <cellStyle name="Heading 3 4 5 4" xfId="0"/>
    <cellStyle name="Heading 3 4 5 5" xfId="0"/>
    <cellStyle name="Heading 3 4 6" xfId="0"/>
    <cellStyle name="Heading 3 4 6 2" xfId="0"/>
    <cellStyle name="Heading 3 4 6 3" xfId="0"/>
    <cellStyle name="Heading 3 4 6 4" xfId="0"/>
    <cellStyle name="Heading 3 4 7" xfId="0"/>
    <cellStyle name="Heading 3 4 7 2" xfId="0"/>
    <cellStyle name="Heading 3 4 7 3" xfId="0"/>
    <cellStyle name="Heading 3 4 7 4" xfId="0"/>
    <cellStyle name="Heading 3 4 8" xfId="0"/>
    <cellStyle name="Heading 3 4 9" xfId="0"/>
    <cellStyle name="Heading 3 4_Profitability Detail NT$ Sep-12" xfId="0"/>
    <cellStyle name="Heading 3 5" xfId="0"/>
    <cellStyle name="Heading 3 5 2" xfId="0"/>
    <cellStyle name="Heading 3 5 2 2" xfId="0"/>
    <cellStyle name="Heading 3 5 2 3" xfId="0"/>
    <cellStyle name="Heading 3 5 3" xfId="0"/>
    <cellStyle name="Heading 3 5 3 2" xfId="0"/>
    <cellStyle name="Heading 3 5 4" xfId="0"/>
    <cellStyle name="Heading 3 5 5" xfId="0"/>
    <cellStyle name="Heading 3 6" xfId="0"/>
    <cellStyle name="Heading 3 6 2" xfId="0"/>
    <cellStyle name="Heading 3 6 3" xfId="0"/>
    <cellStyle name="Heading 3 6 4" xfId="0"/>
    <cellStyle name="Heading 3 7" xfId="0"/>
    <cellStyle name="Heading 3 7 2" xfId="0"/>
    <cellStyle name="Heading 3 7 3" xfId="0"/>
    <cellStyle name="Heading 3 7 4" xfId="0"/>
    <cellStyle name="Heading 3 8" xfId="0"/>
    <cellStyle name="Heading 3 8 2" xfId="0"/>
    <cellStyle name="Heading 3 8 3" xfId="0"/>
    <cellStyle name="Heading 3 8 4" xfId="0"/>
    <cellStyle name="Heading 3 9" xfId="0"/>
    <cellStyle name="Heading 3 9 2" xfId="0"/>
    <cellStyle name="Heading 3 9 3" xfId="0"/>
    <cellStyle name="Heading 3 9 4" xfId="0"/>
    <cellStyle name="Heading 32" xfId="0"/>
    <cellStyle name="Heading 3_13-wk VSA_Revised" xfId="0"/>
    <cellStyle name="Heading 4" xfId="0"/>
    <cellStyle name="Heading 4 10" xfId="0"/>
    <cellStyle name="Heading 4 10 2" xfId="0"/>
    <cellStyle name="Heading 4 11" xfId="0"/>
    <cellStyle name="Heading 4 11 2" xfId="0"/>
    <cellStyle name="Heading 4 12" xfId="0"/>
    <cellStyle name="Heading 4 12 2" xfId="0"/>
    <cellStyle name="Heading 4 13" xfId="0"/>
    <cellStyle name="Heading 4 13 2" xfId="0"/>
    <cellStyle name="Heading 4 14" xfId="0"/>
    <cellStyle name="Heading 4 14 2" xfId="0"/>
    <cellStyle name="Heading 4 15" xfId="0"/>
    <cellStyle name="Heading 4 15 2" xfId="0"/>
    <cellStyle name="Heading 4 16" xfId="0"/>
    <cellStyle name="Heading 4 16 2" xfId="0"/>
    <cellStyle name="Heading 4 17" xfId="0"/>
    <cellStyle name="Heading 4 17 2" xfId="0"/>
    <cellStyle name="Heading 4 18" xfId="0"/>
    <cellStyle name="Heading 4 18 2" xfId="0"/>
    <cellStyle name="Heading 4 19" xfId="0"/>
    <cellStyle name="Heading 4 19 2" xfId="0"/>
    <cellStyle name="Heading 4 2" xfId="0"/>
    <cellStyle name="Heading 4 2 2" xfId="0"/>
    <cellStyle name="Heading 4 2 2 2" xfId="0"/>
    <cellStyle name="Heading 4 2 2 3" xfId="0"/>
    <cellStyle name="Heading 4 2 3" xfId="0"/>
    <cellStyle name="Heading 4 2 3 2" xfId="0"/>
    <cellStyle name="Heading 4 2 3 3" xfId="0"/>
    <cellStyle name="Heading 4 2 4" xfId="0"/>
    <cellStyle name="Heading 4 2 4 2" xfId="0"/>
    <cellStyle name="Heading 4 2 5" xfId="0"/>
    <cellStyle name="Heading 4 2 5 2" xfId="0"/>
    <cellStyle name="Heading 4 2 6" xfId="0"/>
    <cellStyle name="Heading 4 2 7" xfId="0"/>
    <cellStyle name="Heading 4 20" xfId="0"/>
    <cellStyle name="Heading 4 20 2" xfId="0"/>
    <cellStyle name="Heading 4 21" xfId="0"/>
    <cellStyle name="Heading 4 21 2" xfId="0"/>
    <cellStyle name="Heading 4 22" xfId="0"/>
    <cellStyle name="Heading 4 22 2" xfId="0"/>
    <cellStyle name="Heading 4 23" xfId="0"/>
    <cellStyle name="Heading 4 24" xfId="0"/>
    <cellStyle name="Heading 4 25" xfId="0"/>
    <cellStyle name="Heading 4 26" xfId="0"/>
    <cellStyle name="Heading 4 27" xfId="0"/>
    <cellStyle name="Heading 4 28" xfId="0"/>
    <cellStyle name="Heading 4 29" xfId="0"/>
    <cellStyle name="Heading 4 2_Profitability Detail NT$ Sep-12" xfId="0"/>
    <cellStyle name="Heading 4 3" xfId="0"/>
    <cellStyle name="Heading 4 3 2" xfId="0"/>
    <cellStyle name="Heading 4 3 2 2" xfId="0"/>
    <cellStyle name="Heading 4 3 3" xfId="0"/>
    <cellStyle name="Heading 4 3 3 2" xfId="0"/>
    <cellStyle name="Heading 4 3 4" xfId="0"/>
    <cellStyle name="Heading 4 3 4 2" xfId="0"/>
    <cellStyle name="Heading 4 3 5" xfId="0"/>
    <cellStyle name="Heading 4 3 5 2" xfId="0"/>
    <cellStyle name="Heading 4 3 6" xfId="0"/>
    <cellStyle name="Heading 4 3 7" xfId="0"/>
    <cellStyle name="Heading 4 3 8" xfId="0"/>
    <cellStyle name="Heading 4 3_Profitability Detail NT$ Sep-12" xfId="0"/>
    <cellStyle name="Heading 4 4" xfId="0"/>
    <cellStyle name="Heading 4 4 2" xfId="0"/>
    <cellStyle name="Heading 4 4 2 2" xfId="0"/>
    <cellStyle name="Heading 4 4 3" xfId="0"/>
    <cellStyle name="Heading 4 4 3 2" xfId="0"/>
    <cellStyle name="Heading 4 4 4" xfId="0"/>
    <cellStyle name="Heading 4 4 4 2" xfId="0"/>
    <cellStyle name="Heading 4 4 5" xfId="0"/>
    <cellStyle name="Heading 4 4 5 2" xfId="0"/>
    <cellStyle name="Heading 4 4 6" xfId="0"/>
    <cellStyle name="Heading 4 4 7" xfId="0"/>
    <cellStyle name="Heading 4 4_Profitability Detail NT$ Sep-12" xfId="0"/>
    <cellStyle name="Heading 4 5" xfId="0"/>
    <cellStyle name="Heading 4 5 2" xfId="0"/>
    <cellStyle name="Heading 4 6" xfId="0"/>
    <cellStyle name="Heading 4 6 2" xfId="0"/>
    <cellStyle name="Heading 4 7" xfId="0"/>
    <cellStyle name="Heading 4 7 2" xfId="0"/>
    <cellStyle name="Heading 4 8" xfId="0"/>
    <cellStyle name="Heading 4 8 2" xfId="0"/>
    <cellStyle name="Heading 4 9" xfId="0"/>
    <cellStyle name="Heading 4 9 2" xfId="0"/>
    <cellStyle name="Heading 4_Apr CPC" xfId="0"/>
    <cellStyle name="Heading No Underline" xfId="0"/>
    <cellStyle name="Heading No Underline 2" xfId="0"/>
    <cellStyle name="Heading With Underline" xfId="0"/>
    <cellStyle name="Heading With Underline 2" xfId="0"/>
    <cellStyle name="Heading_RETIREMEN vsi" xfId="0"/>
    <cellStyle name="Hiperlacze" xfId="0"/>
    <cellStyle name="Hiperlacze 2" xfId="0"/>
    <cellStyle name="Hiperlacze 2 2" xfId="0"/>
    <cellStyle name="Hiperlacze 2 2 2" xfId="0"/>
    <cellStyle name="Hiperlacze 2 2 3" xfId="0"/>
    <cellStyle name="Hiperlacze 2 2 4" xfId="0"/>
    <cellStyle name="Hiperlacze 2 3" xfId="0"/>
    <cellStyle name="Hiperlacze 2 3 2" xfId="0"/>
    <cellStyle name="Hiperlacze 2 3 3" xfId="0"/>
    <cellStyle name="Hiperlacze 2 3 4" xfId="0"/>
    <cellStyle name="Hiperlacze 2 4" xfId="0"/>
    <cellStyle name="Hiperlacze 2 4 2" xfId="0"/>
    <cellStyle name="Hiperlacze 2 4 3" xfId="0"/>
    <cellStyle name="Hiperlacze 2 4 4" xfId="0"/>
    <cellStyle name="Hiperlacze 2 5" xfId="0"/>
    <cellStyle name="Hiperlacze 2 5 2" xfId="0"/>
    <cellStyle name="Hiperlacze 2 5 3" xfId="0"/>
    <cellStyle name="Hiperlacze 2 5 4" xfId="0"/>
    <cellStyle name="Hiperlacze 2 6" xfId="0"/>
    <cellStyle name="Hiperlacze 2 7" xfId="0"/>
    <cellStyle name="Hiperlacze 2 8" xfId="0"/>
    <cellStyle name="Hiperlacze 3" xfId="0"/>
    <cellStyle name="Hiperlacze 3 2" xfId="0"/>
    <cellStyle name="Hiperlacze 3 2 2" xfId="0"/>
    <cellStyle name="Hiperlacze 3 2 3" xfId="0"/>
    <cellStyle name="Hiperlacze 3 2 4" xfId="0"/>
    <cellStyle name="Hiperlacze 3 3" xfId="0"/>
    <cellStyle name="Hiperlacze 3 3 2" xfId="0"/>
    <cellStyle name="Hiperlacze 3 3 3" xfId="0"/>
    <cellStyle name="Hiperlacze 3 3 4" xfId="0"/>
    <cellStyle name="Hiperlacze 3 4" xfId="0"/>
    <cellStyle name="Hiperlacze 3 4 2" xfId="0"/>
    <cellStyle name="Hiperlacze 3 4 3" xfId="0"/>
    <cellStyle name="Hiperlacze 3 4 4" xfId="0"/>
    <cellStyle name="Hiperlacze 3 5" xfId="0"/>
    <cellStyle name="Hiperlacze 3 6" xfId="0"/>
    <cellStyle name="Hiperlacze 3 7" xfId="0"/>
    <cellStyle name="Hiperlacze 4" xfId="0"/>
    <cellStyle name="Hiperlacze 5" xfId="0"/>
    <cellStyle name="Hiperlacze 6" xfId="0"/>
    <cellStyle name="Hiperłącze" xfId="0"/>
    <cellStyle name="Hiperłącze 2" xfId="0"/>
    <cellStyle name="Hiperłącze 2 2" xfId="0"/>
    <cellStyle name="Hiperłącze 2 2 2" xfId="0"/>
    <cellStyle name="Hiperłącze 2 2 3" xfId="0"/>
    <cellStyle name="Hiperłącze 2 2 4" xfId="0"/>
    <cellStyle name="Hiperłącze 2 3" xfId="0"/>
    <cellStyle name="Hiperłącze 2 3 2" xfId="0"/>
    <cellStyle name="Hiperłącze 2 3 3" xfId="0"/>
    <cellStyle name="Hiperłącze 2 3 4" xfId="0"/>
    <cellStyle name="Hiperłącze 2 4" xfId="0"/>
    <cellStyle name="Hiperłącze 2 4 2" xfId="0"/>
    <cellStyle name="Hiperłącze 2 4 3" xfId="0"/>
    <cellStyle name="Hiperłącze 2 4 4" xfId="0"/>
    <cellStyle name="Hiperłącze 2 5" xfId="0"/>
    <cellStyle name="Hiperłącze 2 5 2" xfId="0"/>
    <cellStyle name="Hiperłącze 2 5 3" xfId="0"/>
    <cellStyle name="Hiperłącze 2 5 4" xfId="0"/>
    <cellStyle name="Hiperłącze 2 6" xfId="0"/>
    <cellStyle name="Hiperłącze 2 7" xfId="0"/>
    <cellStyle name="Hiperłącze 2 8" xfId="0"/>
    <cellStyle name="Hiperłącze 3" xfId="0"/>
    <cellStyle name="Hiperłącze 3 2" xfId="0"/>
    <cellStyle name="Hiperłącze 3 2 2" xfId="0"/>
    <cellStyle name="Hiperłącze 3 2 3" xfId="0"/>
    <cellStyle name="Hiperłącze 3 2 4" xfId="0"/>
    <cellStyle name="Hiperłącze 3 3" xfId="0"/>
    <cellStyle name="Hiperłącze 3 3 2" xfId="0"/>
    <cellStyle name="Hiperłącze 3 3 3" xfId="0"/>
    <cellStyle name="Hiperłącze 3 3 4" xfId="0"/>
    <cellStyle name="Hiperłącze 3 4" xfId="0"/>
    <cellStyle name="Hiperłącze 3 4 2" xfId="0"/>
    <cellStyle name="Hiperłącze 3 4 3" xfId="0"/>
    <cellStyle name="Hiperłącze 3 4 4" xfId="0"/>
    <cellStyle name="Hiperłącze 3 5" xfId="0"/>
    <cellStyle name="Hiperłącze 3 6" xfId="0"/>
    <cellStyle name="Hiperłącze 3 7" xfId="0"/>
    <cellStyle name="Hiperłącze 4" xfId="0"/>
    <cellStyle name="Hiperłącze 5" xfId="0"/>
    <cellStyle name="Hiperłącze 6" xfId="0"/>
    <cellStyle name="Hyperlink 2" xfId="0"/>
    <cellStyle name="Hyperlink 2 2" xfId="0"/>
    <cellStyle name="Input" xfId="0"/>
    <cellStyle name="Input 10" xfId="0"/>
    <cellStyle name="Input 10 2" xfId="0"/>
    <cellStyle name="Input 10 3" xfId="0"/>
    <cellStyle name="Input 11" xfId="0"/>
    <cellStyle name="Input 11 2" xfId="0"/>
    <cellStyle name="Input 11 3" xfId="0"/>
    <cellStyle name="Input 12" xfId="0"/>
    <cellStyle name="Input 12 2" xfId="0"/>
    <cellStyle name="Input 12 3" xfId="0"/>
    <cellStyle name="Input 13" xfId="0"/>
    <cellStyle name="Input 13 2" xfId="0"/>
    <cellStyle name="Input 13 3" xfId="0"/>
    <cellStyle name="Input 14" xfId="0"/>
    <cellStyle name="Input 14 2" xfId="0"/>
    <cellStyle name="Input 14 3" xfId="0"/>
    <cellStyle name="Input 15" xfId="0"/>
    <cellStyle name="Input 15 2" xfId="0"/>
    <cellStyle name="Input 15 3" xfId="0"/>
    <cellStyle name="Input 16" xfId="0"/>
    <cellStyle name="Input 16 2" xfId="0"/>
    <cellStyle name="Input 16 3" xfId="0"/>
    <cellStyle name="Input 17" xfId="0"/>
    <cellStyle name="Input 17 2" xfId="0"/>
    <cellStyle name="Input 17 3" xfId="0"/>
    <cellStyle name="Input 18" xfId="0"/>
    <cellStyle name="Input 18 2" xfId="0"/>
    <cellStyle name="Input 18 3" xfId="0"/>
    <cellStyle name="Input 19" xfId="0"/>
    <cellStyle name="Input 19 2" xfId="0"/>
    <cellStyle name="Input 2" xfId="0"/>
    <cellStyle name="Input 2 2" xfId="0"/>
    <cellStyle name="Input 2 2 2" xfId="0"/>
    <cellStyle name="Input 2 2 3" xfId="0"/>
    <cellStyle name="Input 2 3" xfId="0"/>
    <cellStyle name="Input 2 3 2" xfId="0"/>
    <cellStyle name="Input 2 3 3" xfId="0"/>
    <cellStyle name="Input 2 4" xfId="0"/>
    <cellStyle name="Input 2 4 2" xfId="0"/>
    <cellStyle name="Input 2 5" xfId="0"/>
    <cellStyle name="Input 2 5 2" xfId="0"/>
    <cellStyle name="Input 2 6" xfId="0"/>
    <cellStyle name="Input 2 7" xfId="0"/>
    <cellStyle name="Input 2 8" xfId="0"/>
    <cellStyle name="Input 2 9" xfId="0"/>
    <cellStyle name="Input 20" xfId="0"/>
    <cellStyle name="Input 20 2" xfId="0"/>
    <cellStyle name="Input 21" xfId="0"/>
    <cellStyle name="Input 21 2" xfId="0"/>
    <cellStyle name="Input 22" xfId="0"/>
    <cellStyle name="Input 22 2" xfId="0"/>
    <cellStyle name="Input 23" xfId="0"/>
    <cellStyle name="Input 23 2" xfId="0"/>
    <cellStyle name="Input 24" xfId="0"/>
    <cellStyle name="Input 25" xfId="0"/>
    <cellStyle name="Input 26" xfId="0"/>
    <cellStyle name="Input 27" xfId="0"/>
    <cellStyle name="Input 28" xfId="0"/>
    <cellStyle name="Input 29" xfId="0"/>
    <cellStyle name="Input 2_Profitability Detail NT$ Sep-12" xfId="0"/>
    <cellStyle name="Input 3" xfId="0"/>
    <cellStyle name="Input 3 2" xfId="0"/>
    <cellStyle name="Input 3 2 2" xfId="0"/>
    <cellStyle name="Input 3 3" xfId="0"/>
    <cellStyle name="Input 3 3 2" xfId="0"/>
    <cellStyle name="Input 3 4" xfId="0"/>
    <cellStyle name="Input 3 4 2" xfId="0"/>
    <cellStyle name="Input 3 5" xfId="0"/>
    <cellStyle name="Input 3 5 2" xfId="0"/>
    <cellStyle name="Input 3 6" xfId="0"/>
    <cellStyle name="Input 3 7" xfId="0"/>
    <cellStyle name="Input 3 8" xfId="0"/>
    <cellStyle name="Input 30" xfId="0"/>
    <cellStyle name="Input 31" xfId="0"/>
    <cellStyle name="Input 32" xfId="0"/>
    <cellStyle name="Input 33" xfId="0"/>
    <cellStyle name="Input 34" xfId="0"/>
    <cellStyle name="Input 35" xfId="0"/>
    <cellStyle name="Input 36" xfId="0"/>
    <cellStyle name="Input 37" xfId="0"/>
    <cellStyle name="Input 38" xfId="0"/>
    <cellStyle name="Input 39" xfId="0"/>
    <cellStyle name="Input 3_Profitability Detail NT$ Sep-12" xfId="0"/>
    <cellStyle name="Input 4" xfId="0"/>
    <cellStyle name="Input 4 2" xfId="0"/>
    <cellStyle name="Input 4 2 2" xfId="0"/>
    <cellStyle name="Input 4 3" xfId="0"/>
    <cellStyle name="Input 4 3 2" xfId="0"/>
    <cellStyle name="Input 4 4" xfId="0"/>
    <cellStyle name="Input 4 4 2" xfId="0"/>
    <cellStyle name="Input 4 5" xfId="0"/>
    <cellStyle name="Input 4 5 2" xfId="0"/>
    <cellStyle name="Input 4 6" xfId="0"/>
    <cellStyle name="Input 4 7" xfId="0"/>
    <cellStyle name="Input 4 8" xfId="0"/>
    <cellStyle name="Input 40" xfId="0"/>
    <cellStyle name="Input 41" xfId="0"/>
    <cellStyle name="Input 42" xfId="0"/>
    <cellStyle name="Input 43" xfId="0"/>
    <cellStyle name="Input 44" xfId="0"/>
    <cellStyle name="Input 45" xfId="0"/>
    <cellStyle name="Input 46" xfId="0"/>
    <cellStyle name="Input 47" xfId="0"/>
    <cellStyle name="Input 48" xfId="0"/>
    <cellStyle name="Input 49" xfId="0"/>
    <cellStyle name="Input 4_Profitability Detail NT$ Sep-12" xfId="0"/>
    <cellStyle name="Input 5" xfId="0"/>
    <cellStyle name="Input 5 2" xfId="0"/>
    <cellStyle name="Input 5 3" xfId="0"/>
    <cellStyle name="Input 5 4" xfId="0"/>
    <cellStyle name="Input 50" xfId="0"/>
    <cellStyle name="Input 51" xfId="0"/>
    <cellStyle name="Input 6" xfId="0"/>
    <cellStyle name="Input 6 2" xfId="0"/>
    <cellStyle name="Input 6 3" xfId="0"/>
    <cellStyle name="Input 7" xfId="0"/>
    <cellStyle name="Input 7 2" xfId="0"/>
    <cellStyle name="Input 7 3" xfId="0"/>
    <cellStyle name="Input 8" xfId="0"/>
    <cellStyle name="Input 8 2" xfId="0"/>
    <cellStyle name="Input 8 3" xfId="0"/>
    <cellStyle name="Input 9" xfId="0"/>
    <cellStyle name="Input 9 2" xfId="0"/>
    <cellStyle name="Input 9 3" xfId="0"/>
    <cellStyle name="Input [yellow]" xfId="0"/>
    <cellStyle name="Input [yellow] 2" xfId="0"/>
    <cellStyle name="Input Cells" xfId="0"/>
    <cellStyle name="Input Cells 10" xfId="0"/>
    <cellStyle name="Input Cells 11" xfId="0"/>
    <cellStyle name="Input Cells 2" xfId="0"/>
    <cellStyle name="Input Cells 3" xfId="0"/>
    <cellStyle name="Input Cells 4" xfId="0"/>
    <cellStyle name="Input Cells 5" xfId="0"/>
    <cellStyle name="Input Cells 6" xfId="0"/>
    <cellStyle name="Input Cells 7" xfId="0"/>
    <cellStyle name="Input Cells 8" xfId="0"/>
    <cellStyle name="Input Cells 9" xfId="0"/>
    <cellStyle name="Input_13-wk VSA_Revised" xfId="0"/>
    <cellStyle name="l]&#13;&#10;Path=h:&#13;&#10;Name=Diana Chang&#13;&#10;DDEApps=nsf,nsg,nsh,ntf,ns2,ors,org&#13;&#10;SmartIcons=Read Message&#13;&#10;&#13;&#10;&#13;&#10;[cc:Edit" xfId="0"/>
    <cellStyle name="l]&#13;&#10;Path=h:&#13;&#10;Name=Diana Chang&#13;&#10;DDEApps=nsf,nsg,nsh,ntf,ns2,ors,org&#13;&#10;SmartIcons=Read Message&#13;&#10;&#13;&#10;&#13;&#10;[cc:Edit 2" xfId="0"/>
    <cellStyle name="Linked Cell" xfId="0"/>
    <cellStyle name="Linked Cell 10" xfId="0"/>
    <cellStyle name="Linked Cell 10 2" xfId="0"/>
    <cellStyle name="Linked Cell 10 3" xfId="0"/>
    <cellStyle name="Linked Cell 11" xfId="0"/>
    <cellStyle name="Linked Cell 11 2" xfId="0"/>
    <cellStyle name="Linked Cell 12" xfId="0"/>
    <cellStyle name="Linked Cell 12 2" xfId="0"/>
    <cellStyle name="Linked Cell 13" xfId="0"/>
    <cellStyle name="Linked Cell 13 2" xfId="0"/>
    <cellStyle name="Linked Cell 14" xfId="0"/>
    <cellStyle name="Linked Cell 14 2" xfId="0"/>
    <cellStyle name="Linked Cell 15" xfId="0"/>
    <cellStyle name="Linked Cell 15 2" xfId="0"/>
    <cellStyle name="Linked Cell 16" xfId="0"/>
    <cellStyle name="Linked Cell 16 2" xfId="0"/>
    <cellStyle name="Linked Cell 17" xfId="0"/>
    <cellStyle name="Linked Cell 17 2" xfId="0"/>
    <cellStyle name="Linked Cell 18" xfId="0"/>
    <cellStyle name="Linked Cell 18 2" xfId="0"/>
    <cellStyle name="Linked Cell 19" xfId="0"/>
    <cellStyle name="Linked Cell 19 2" xfId="0"/>
    <cellStyle name="Linked Cell 2" xfId="0"/>
    <cellStyle name="Linked Cell 2 2" xfId="0"/>
    <cellStyle name="Linked Cell 2 2 2" xfId="0"/>
    <cellStyle name="Linked Cell 2 2 2 2" xfId="0"/>
    <cellStyle name="Linked Cell 2 2 3" xfId="0"/>
    <cellStyle name="Linked Cell 2 2 4" xfId="0"/>
    <cellStyle name="Linked Cell 2 3" xfId="0"/>
    <cellStyle name="Linked Cell 2 3 2" xfId="0"/>
    <cellStyle name="Linked Cell 2 3 3" xfId="0"/>
    <cellStyle name="Linked Cell 2 3 4" xfId="0"/>
    <cellStyle name="Linked Cell 2 4" xfId="0"/>
    <cellStyle name="Linked Cell 2 4 2" xfId="0"/>
    <cellStyle name="Linked Cell 2 4 3" xfId="0"/>
    <cellStyle name="Linked Cell 2 4 4" xfId="0"/>
    <cellStyle name="Linked Cell 2 5" xfId="0"/>
    <cellStyle name="Linked Cell 2 5 2" xfId="0"/>
    <cellStyle name="Linked Cell 2 5 3" xfId="0"/>
    <cellStyle name="Linked Cell 2 6" xfId="0"/>
    <cellStyle name="Linked Cell 2 6 2" xfId="0"/>
    <cellStyle name="Linked Cell 2 7" xfId="0"/>
    <cellStyle name="Linked Cell 2 8" xfId="0"/>
    <cellStyle name="Linked Cell 20" xfId="0"/>
    <cellStyle name="Linked Cell 20 2" xfId="0"/>
    <cellStyle name="Linked Cell 21" xfId="0"/>
    <cellStyle name="Linked Cell 21 2" xfId="0"/>
    <cellStyle name="Linked Cell 22" xfId="0"/>
    <cellStyle name="Linked Cell 22 2" xfId="0"/>
    <cellStyle name="Linked Cell 23" xfId="0"/>
    <cellStyle name="Linked Cell 23 2" xfId="0"/>
    <cellStyle name="Linked Cell 24" xfId="0"/>
    <cellStyle name="Linked Cell 24 2" xfId="0"/>
    <cellStyle name="Linked Cell 25" xfId="0"/>
    <cellStyle name="Linked Cell 25 2" xfId="0"/>
    <cellStyle name="Linked Cell 26" xfId="0"/>
    <cellStyle name="Linked Cell 26 2" xfId="0"/>
    <cellStyle name="Linked Cell 27" xfId="0"/>
    <cellStyle name="Linked Cell 27 2" xfId="0"/>
    <cellStyle name="Linked Cell 28" xfId="0"/>
    <cellStyle name="Linked Cell 29" xfId="0"/>
    <cellStyle name="Linked Cell 2_Market Fresh Cost" xfId="0"/>
    <cellStyle name="Linked Cell 3" xfId="0"/>
    <cellStyle name="Linked Cell 3 2" xfId="0"/>
    <cellStyle name="Linked Cell 3 2 2" xfId="0"/>
    <cellStyle name="Linked Cell 3 2 3" xfId="0"/>
    <cellStyle name="Linked Cell 3 3" xfId="0"/>
    <cellStyle name="Linked Cell 3 3 2" xfId="0"/>
    <cellStyle name="Linked Cell 3 3 3" xfId="0"/>
    <cellStyle name="Linked Cell 3 4" xfId="0"/>
    <cellStyle name="Linked Cell 3 4 2" xfId="0"/>
    <cellStyle name="Linked Cell 3 4 3" xfId="0"/>
    <cellStyle name="Linked Cell 3 5" xfId="0"/>
    <cellStyle name="Linked Cell 3 5 2" xfId="0"/>
    <cellStyle name="Linked Cell 3 5 3" xfId="0"/>
    <cellStyle name="Linked Cell 3 6" xfId="0"/>
    <cellStyle name="Linked Cell 3 6 2" xfId="0"/>
    <cellStyle name="Linked Cell 3 7" xfId="0"/>
    <cellStyle name="Linked Cell 30" xfId="0"/>
    <cellStyle name="Linked Cell 31" xfId="0"/>
    <cellStyle name="Linked Cell 32" xfId="0"/>
    <cellStyle name="Linked Cell 33" xfId="0"/>
    <cellStyle name="Linked Cell 34" xfId="0"/>
    <cellStyle name="Linked Cell 35" xfId="0"/>
    <cellStyle name="Linked Cell 3_Profitability Detail NT$ Sep-12" xfId="0"/>
    <cellStyle name="Linked Cell 4" xfId="0"/>
    <cellStyle name="Linked Cell 4 2" xfId="0"/>
    <cellStyle name="Linked Cell 4 2 2" xfId="0"/>
    <cellStyle name="Linked Cell 4 2 3" xfId="0"/>
    <cellStyle name="Linked Cell 4 3" xfId="0"/>
    <cellStyle name="Linked Cell 4 3 2" xfId="0"/>
    <cellStyle name="Linked Cell 4 3 3" xfId="0"/>
    <cellStyle name="Linked Cell 4 4" xfId="0"/>
    <cellStyle name="Linked Cell 4 4 2" xfId="0"/>
    <cellStyle name="Linked Cell 4 4 3" xfId="0"/>
    <cellStyle name="Linked Cell 4 5" xfId="0"/>
    <cellStyle name="Linked Cell 4 5 2" xfId="0"/>
    <cellStyle name="Linked Cell 4 5 3" xfId="0"/>
    <cellStyle name="Linked Cell 4 6" xfId="0"/>
    <cellStyle name="Linked Cell 4 6 2" xfId="0"/>
    <cellStyle name="Linked Cell 4 7" xfId="0"/>
    <cellStyle name="Linked Cell 4_Profitability Detail NT$ Sep-12" xfId="0"/>
    <cellStyle name="Linked Cell 5" xfId="0"/>
    <cellStyle name="Linked Cell 5 2" xfId="0"/>
    <cellStyle name="Linked Cell 5 2 2" xfId="0"/>
    <cellStyle name="Linked Cell 5 3" xfId="0"/>
    <cellStyle name="Linked Cell 5 4" xfId="0"/>
    <cellStyle name="Linked Cell 6" xfId="0"/>
    <cellStyle name="Linked Cell 6 2" xfId="0"/>
    <cellStyle name="Linked Cell 6 3" xfId="0"/>
    <cellStyle name="Linked Cell 7" xfId="0"/>
    <cellStyle name="Linked Cell 7 2" xfId="0"/>
    <cellStyle name="Linked Cell 7 3" xfId="0"/>
    <cellStyle name="Linked Cell 8" xfId="0"/>
    <cellStyle name="Linked Cell 8 2" xfId="0"/>
    <cellStyle name="Linked Cell 8 3" xfId="0"/>
    <cellStyle name="Linked Cell 9" xfId="0"/>
    <cellStyle name="Linked Cell 9 2" xfId="0"/>
    <cellStyle name="Linked Cell 9 3" xfId="0"/>
    <cellStyle name="Linked Cell_13-wk VSA_Revised" xfId="0"/>
    <cellStyle name="Linked Cells" xfId="0"/>
    <cellStyle name="Linked Cells 10" xfId="0"/>
    <cellStyle name="Linked Cells 11" xfId="0"/>
    <cellStyle name="Linked Cells 2" xfId="0"/>
    <cellStyle name="Linked Cells 3" xfId="0"/>
    <cellStyle name="Linked Cells 4" xfId="0"/>
    <cellStyle name="Linked Cells 5" xfId="0"/>
    <cellStyle name="Linked Cells 6" xfId="0"/>
    <cellStyle name="Linked Cells 7" xfId="0"/>
    <cellStyle name="Linked Cells 8" xfId="0"/>
    <cellStyle name="Linked Cells 9" xfId="0"/>
    <cellStyle name="Milliers [0]_!!!GO" xfId="0"/>
    <cellStyle name="Milliers_!!!GO" xfId="0"/>
    <cellStyle name="Monétaire [0]_!!!GO" xfId="0"/>
    <cellStyle name="Monétaire_!!!GO" xfId="0"/>
    <cellStyle name="Neutral 10" xfId="0"/>
    <cellStyle name="Neutral 10 2" xfId="0"/>
    <cellStyle name="Neutral 11" xfId="0"/>
    <cellStyle name="Neutral 11 2" xfId="0"/>
    <cellStyle name="Neutral 12" xfId="0"/>
    <cellStyle name="Neutral 12 2" xfId="0"/>
    <cellStyle name="Neutral 13" xfId="0"/>
    <cellStyle name="Neutral 13 2" xfId="0"/>
    <cellStyle name="Neutral 14" xfId="0"/>
    <cellStyle name="Neutral 14 2" xfId="0"/>
    <cellStyle name="Neutral 15" xfId="0"/>
    <cellStyle name="Neutral 15 2" xfId="0"/>
    <cellStyle name="Neutral 16" xfId="0"/>
    <cellStyle name="Neutral 16 2" xfId="0"/>
    <cellStyle name="Neutral 17" xfId="0"/>
    <cellStyle name="Neutral 17 2" xfId="0"/>
    <cellStyle name="Neutral 18" xfId="0"/>
    <cellStyle name="Neutral 18 2" xfId="0"/>
    <cellStyle name="Neutral 19" xfId="0"/>
    <cellStyle name="Neutral 19 2" xfId="0"/>
    <cellStyle name="Neutral 2" xfId="0"/>
    <cellStyle name="Neutral 2 2" xfId="0"/>
    <cellStyle name="Neutral 2 2 2" xfId="0"/>
    <cellStyle name="Neutral 2 2 3" xfId="0"/>
    <cellStyle name="Neutral 2 3" xfId="0"/>
    <cellStyle name="Neutral 2 3 2" xfId="0"/>
    <cellStyle name="Neutral 2 3 3" xfId="0"/>
    <cellStyle name="Neutral 2 4" xfId="0"/>
    <cellStyle name="Neutral 2 4 2" xfId="0"/>
    <cellStyle name="Neutral 2 5" xfId="0"/>
    <cellStyle name="Neutral 2 5 2" xfId="0"/>
    <cellStyle name="Neutral 2 6" xfId="0"/>
    <cellStyle name="Neutral 2 7" xfId="0"/>
    <cellStyle name="Neutral 2 8" xfId="0"/>
    <cellStyle name="Neutral 2 9" xfId="0"/>
    <cellStyle name="Neutral 20" xfId="0"/>
    <cellStyle name="Neutral 20 2" xfId="0"/>
    <cellStyle name="Neutral 21" xfId="0"/>
    <cellStyle name="Neutral 21 2" xfId="0"/>
    <cellStyle name="Neutral 22" xfId="0"/>
    <cellStyle name="Neutral 22 2" xfId="0"/>
    <cellStyle name="Neutral 23" xfId="0"/>
    <cellStyle name="Neutral 23 2" xfId="0"/>
    <cellStyle name="Neutral 24" xfId="0"/>
    <cellStyle name="Neutral 25" xfId="0"/>
    <cellStyle name="Neutral 26" xfId="0"/>
    <cellStyle name="Neutral 27" xfId="0"/>
    <cellStyle name="Neutral 28" xfId="0"/>
    <cellStyle name="Neutral 29" xfId="0"/>
    <cellStyle name="Neutral 2_Profitability Detail NT$ Sep-12" xfId="0"/>
    <cellStyle name="Neutral 3" xfId="0"/>
    <cellStyle name="Neutral 3 2" xfId="0"/>
    <cellStyle name="Neutral 3 2 2" xfId="0"/>
    <cellStyle name="Neutral 3 3" xfId="0"/>
    <cellStyle name="Neutral 3 3 2" xfId="0"/>
    <cellStyle name="Neutral 3 4" xfId="0"/>
    <cellStyle name="Neutral 3 4 2" xfId="0"/>
    <cellStyle name="Neutral 3 5" xfId="0"/>
    <cellStyle name="Neutral 3 5 2" xfId="0"/>
    <cellStyle name="Neutral 3 6" xfId="0"/>
    <cellStyle name="Neutral 3 7" xfId="0"/>
    <cellStyle name="Neutral 3 8" xfId="0"/>
    <cellStyle name="Neutral 30" xfId="0"/>
    <cellStyle name="Neutral 31" xfId="0"/>
    <cellStyle name="Neutral 32" xfId="0"/>
    <cellStyle name="Neutral 33" xfId="0"/>
    <cellStyle name="Neutral 34" xfId="0"/>
    <cellStyle name="Neutral 35" xfId="0"/>
    <cellStyle name="Neutral 38" xfId="0"/>
    <cellStyle name="Neutral 3_Profitability Detail NT$ Sep-12" xfId="0"/>
    <cellStyle name="Neutral 4" xfId="0"/>
    <cellStyle name="Neutral 4 2" xfId="0"/>
    <cellStyle name="Neutral 4 2 2" xfId="0"/>
    <cellStyle name="Neutral 4 3" xfId="0"/>
    <cellStyle name="Neutral 4 3 2" xfId="0"/>
    <cellStyle name="Neutral 4 4" xfId="0"/>
    <cellStyle name="Neutral 4 4 2" xfId="0"/>
    <cellStyle name="Neutral 4 5" xfId="0"/>
    <cellStyle name="Neutral 4 5 2" xfId="0"/>
    <cellStyle name="Neutral 4 6" xfId="0"/>
    <cellStyle name="Neutral 4 7" xfId="0"/>
    <cellStyle name="Neutral 4_Profitability Detail NT$ Sep-12" xfId="0"/>
    <cellStyle name="Neutral 5" xfId="0"/>
    <cellStyle name="Neutral 5 2" xfId="0"/>
    <cellStyle name="Neutral 5 3" xfId="0"/>
    <cellStyle name="Neutral 6" xfId="0"/>
    <cellStyle name="Neutral 6 2" xfId="0"/>
    <cellStyle name="Neutral 7" xfId="0"/>
    <cellStyle name="Neutral 7 2" xfId="0"/>
    <cellStyle name="Neutral 8" xfId="0"/>
    <cellStyle name="Neutral 8 2" xfId="0"/>
    <cellStyle name="Neutral 9" xfId="0"/>
    <cellStyle name="Neutral 9 2" xfId="0"/>
    <cellStyle name="Neutral_13-wk VSA_Revised" xfId="0"/>
    <cellStyle name="no dec" xfId="0"/>
    <cellStyle name="no dec 10" xfId="0"/>
    <cellStyle name="no dec 11" xfId="0"/>
    <cellStyle name="no dec 2" xfId="0"/>
    <cellStyle name="no dec 3" xfId="0"/>
    <cellStyle name="no dec 4" xfId="0"/>
    <cellStyle name="no dec 5" xfId="0"/>
    <cellStyle name="no dec 6" xfId="0"/>
    <cellStyle name="no dec 7" xfId="0"/>
    <cellStyle name="no dec 8" xfId="0"/>
    <cellStyle name="no dec 9" xfId="0"/>
    <cellStyle name="Norm??" xfId="0"/>
    <cellStyle name="Norm?? 2" xfId="0"/>
    <cellStyle name="Normal - Style1" xfId="0"/>
    <cellStyle name="Normal - Style1 10" xfId="0"/>
    <cellStyle name="Normal - Style1 11" xfId="0"/>
    <cellStyle name="Normal - Style1 2" xfId="0"/>
    <cellStyle name="Normal - Style1 3" xfId="0"/>
    <cellStyle name="Normal - Style1 4" xfId="0"/>
    <cellStyle name="Normal - Style1 5" xfId="0"/>
    <cellStyle name="Normal - Style1 6" xfId="0"/>
    <cellStyle name="Normal - Style1 7" xfId="0"/>
    <cellStyle name="Normal - Style1 8" xfId="0"/>
    <cellStyle name="Normal - Style1 9" xfId="0"/>
    <cellStyle name="Normal 10" xfId="0"/>
    <cellStyle name="Normal 10 2" xfId="0"/>
    <cellStyle name="Normal 10 2 2" xfId="0"/>
    <cellStyle name="Normal 10 2 3" xfId="0"/>
    <cellStyle name="Normal 10 3" xfId="0"/>
    <cellStyle name="Normal 10 3 2" xfId="0"/>
    <cellStyle name="Normal 10 4" xfId="0"/>
    <cellStyle name="Normal 100" xfId="0"/>
    <cellStyle name="Normal 101" xfId="0"/>
    <cellStyle name="Normal 102" xfId="0"/>
    <cellStyle name="Normal 103" xfId="0"/>
    <cellStyle name="Normal 104" xfId="0"/>
    <cellStyle name="Normal 105" xfId="0"/>
    <cellStyle name="Normal 106" xfId="0"/>
    <cellStyle name="Normal 107" xfId="0"/>
    <cellStyle name="Normal 108" xfId="0"/>
    <cellStyle name="Normal 109" xfId="0"/>
    <cellStyle name="Normal 11" xfId="0"/>
    <cellStyle name="Normal 11 2" xfId="0"/>
    <cellStyle name="Normal 11 2 2" xfId="0"/>
    <cellStyle name="Normal 11 2 3" xfId="0"/>
    <cellStyle name="Normal 11 3" xfId="0"/>
    <cellStyle name="Normal 11 4" xfId="0"/>
    <cellStyle name="Normal 110" xfId="0"/>
    <cellStyle name="Normal 111" xfId="0"/>
    <cellStyle name="Normal 112" xfId="0"/>
    <cellStyle name="Normal 113" xfId="0"/>
    <cellStyle name="Normal 114" xfId="0"/>
    <cellStyle name="Normal 115" xfId="0"/>
    <cellStyle name="Normal 116" xfId="0"/>
    <cellStyle name="Normal 117" xfId="0"/>
    <cellStyle name="Normal 118" xfId="0"/>
    <cellStyle name="Normal 118 2" xfId="0"/>
    <cellStyle name="Normal 118 2 2" xfId="0"/>
    <cellStyle name="Normal 118 2 2 2" xfId="0"/>
    <cellStyle name="Normal 118 2 2 2 2" xfId="0"/>
    <cellStyle name="Normal 118 2 2 2 2 2" xfId="0"/>
    <cellStyle name="Normal 118 2 2 2 3" xfId="0"/>
    <cellStyle name="Normal 118 2 2 3" xfId="0"/>
    <cellStyle name="Normal 118 2 2 3 2" xfId="0"/>
    <cellStyle name="Normal 118 2 2 4" xfId="0"/>
    <cellStyle name="Normal 118 2 3" xfId="0"/>
    <cellStyle name="Normal 118 2 3 2" xfId="0"/>
    <cellStyle name="Normal 118 2 3 2 2" xfId="0"/>
    <cellStyle name="Normal 118 2 3 3" xfId="0"/>
    <cellStyle name="Normal 118 2 4" xfId="0"/>
    <cellStyle name="Normal 118 2 4 2" xfId="0"/>
    <cellStyle name="Normal 118 2 5" xfId="0"/>
    <cellStyle name="Normal 118 3" xfId="0"/>
    <cellStyle name="Normal 118 3 2" xfId="0"/>
    <cellStyle name="Normal 118 3 2 2" xfId="0"/>
    <cellStyle name="Normal 118 3 2 2 2" xfId="0"/>
    <cellStyle name="Normal 118 3 2 3" xfId="0"/>
    <cellStyle name="Normal 118 3 3" xfId="0"/>
    <cellStyle name="Normal 118 3 3 2" xfId="0"/>
    <cellStyle name="Normal 118 3 4" xfId="0"/>
    <cellStyle name="Normal 118 4" xfId="0"/>
    <cellStyle name="Normal 118 4 2" xfId="0"/>
    <cellStyle name="Normal 118 4 2 2" xfId="0"/>
    <cellStyle name="Normal 118 4 3" xfId="0"/>
    <cellStyle name="Normal 118 5" xfId="0"/>
    <cellStyle name="Normal 118 5 2" xfId="0"/>
    <cellStyle name="Normal 118 6" xfId="0"/>
    <cellStyle name="Normal 119" xfId="0"/>
    <cellStyle name="Normal 119 2" xfId="0"/>
    <cellStyle name="Normal 119 2 2" xfId="0"/>
    <cellStyle name="Normal 119 2 2 2" xfId="0"/>
    <cellStyle name="Normal 119 2 2 2 2" xfId="0"/>
    <cellStyle name="Normal 119 2 2 2 2 2" xfId="0"/>
    <cellStyle name="Normal 119 2 2 2 3" xfId="0"/>
    <cellStyle name="Normal 119 2 2 3" xfId="0"/>
    <cellStyle name="Normal 119 2 2 3 2" xfId="0"/>
    <cellStyle name="Normal 119 2 2 4" xfId="0"/>
    <cellStyle name="Normal 119 2 3" xfId="0"/>
    <cellStyle name="Normal 119 2 3 2" xfId="0"/>
    <cellStyle name="Normal 119 2 3 2 2" xfId="0"/>
    <cellStyle name="Normal 119 2 3 3" xfId="0"/>
    <cellStyle name="Normal 119 2 4" xfId="0"/>
    <cellStyle name="Normal 119 2 4 2" xfId="0"/>
    <cellStyle name="Normal 119 2 5" xfId="0"/>
    <cellStyle name="Normal 119 3" xfId="0"/>
    <cellStyle name="Normal 119 3 2" xfId="0"/>
    <cellStyle name="Normal 119 3 2 2" xfId="0"/>
    <cellStyle name="Normal 119 3 2 2 2" xfId="0"/>
    <cellStyle name="Normal 119 3 2 3" xfId="0"/>
    <cellStyle name="Normal 119 3 3" xfId="0"/>
    <cellStyle name="Normal 119 3 3 2" xfId="0"/>
    <cellStyle name="Normal 119 3 4" xfId="0"/>
    <cellStyle name="Normal 119 4" xfId="0"/>
    <cellStyle name="Normal 119 4 2" xfId="0"/>
    <cellStyle name="Normal 119 4 2 2" xfId="0"/>
    <cellStyle name="Normal 119 4 3" xfId="0"/>
    <cellStyle name="Normal 119 5" xfId="0"/>
    <cellStyle name="Normal 119 5 2" xfId="0"/>
    <cellStyle name="Normal 119 6" xfId="0"/>
    <cellStyle name="Normal 12" xfId="0"/>
    <cellStyle name="Normal 12 10" xfId="0"/>
    <cellStyle name="Normal 12 10 2" xfId="0"/>
    <cellStyle name="Normal 12 10 2 2" xfId="0"/>
    <cellStyle name="Normal 12 10 2 2 2" xfId="0"/>
    <cellStyle name="Normal 12 10 2 2 2 2" xfId="0"/>
    <cellStyle name="Normal 12 10 2 2 2 2 2" xfId="0"/>
    <cellStyle name="Normal 12 10 2 2 2 3" xfId="0"/>
    <cellStyle name="Normal 12 10 2 2 3" xfId="0"/>
    <cellStyle name="Normal 12 10 2 2 3 2" xfId="0"/>
    <cellStyle name="Normal 12 10 2 2 4" xfId="0"/>
    <cellStyle name="Normal 12 10 2 3" xfId="0"/>
    <cellStyle name="Normal 12 10 2 3 2" xfId="0"/>
    <cellStyle name="Normal 12 10 2 3 2 2" xfId="0"/>
    <cellStyle name="Normal 12 10 2 3 3" xfId="0"/>
    <cellStyle name="Normal 12 10 2 4" xfId="0"/>
    <cellStyle name="Normal 12 10 2 4 2" xfId="0"/>
    <cellStyle name="Normal 12 10 2 5" xfId="0"/>
    <cellStyle name="Normal 12 10 3" xfId="0"/>
    <cellStyle name="Normal 12 10 3 2" xfId="0"/>
    <cellStyle name="Normal 12 10 3 2 2" xfId="0"/>
    <cellStyle name="Normal 12 10 3 2 2 2" xfId="0"/>
    <cellStyle name="Normal 12 10 3 2 3" xfId="0"/>
    <cellStyle name="Normal 12 10 3 3" xfId="0"/>
    <cellStyle name="Normal 12 10 3 3 2" xfId="0"/>
    <cellStyle name="Normal 12 10 3 4" xfId="0"/>
    <cellStyle name="Normal 12 10 4" xfId="0"/>
    <cellStyle name="Normal 12 10 4 2" xfId="0"/>
    <cellStyle name="Normal 12 10 4 2 2" xfId="0"/>
    <cellStyle name="Normal 12 10 4 3" xfId="0"/>
    <cellStyle name="Normal 12 10 5" xfId="0"/>
    <cellStyle name="Normal 12 10 5 2" xfId="0"/>
    <cellStyle name="Normal 12 10 6" xfId="0"/>
    <cellStyle name="Normal 12 11" xfId="0"/>
    <cellStyle name="Normal 12 11 2" xfId="0"/>
    <cellStyle name="Normal 12 11 2 2" xfId="0"/>
    <cellStyle name="Normal 12 11 2 2 2" xfId="0"/>
    <cellStyle name="Normal 12 11 2 2 2 2" xfId="0"/>
    <cellStyle name="Normal 12 11 2 2 3" xfId="0"/>
    <cellStyle name="Normal 12 11 2 3" xfId="0"/>
    <cellStyle name="Normal 12 11 2 3 2" xfId="0"/>
    <cellStyle name="Normal 12 11 2 4" xfId="0"/>
    <cellStyle name="Normal 12 11 3" xfId="0"/>
    <cellStyle name="Normal 12 11 3 2" xfId="0"/>
    <cellStyle name="Normal 12 11 3 2 2" xfId="0"/>
    <cellStyle name="Normal 12 11 3 3" xfId="0"/>
    <cellStyle name="Normal 12 11 4" xfId="0"/>
    <cellStyle name="Normal 12 11 4 2" xfId="0"/>
    <cellStyle name="Normal 12 11 5" xfId="0"/>
    <cellStyle name="Normal 12 12" xfId="0"/>
    <cellStyle name="Normal 12 12 2" xfId="0"/>
    <cellStyle name="Normal 12 12 2 2" xfId="0"/>
    <cellStyle name="Normal 12 12 2 2 2" xfId="0"/>
    <cellStyle name="Normal 12 12 2 3" xfId="0"/>
    <cellStyle name="Normal 12 12 3" xfId="0"/>
    <cellStyle name="Normal 12 12 3 2" xfId="0"/>
    <cellStyle name="Normal 12 12 4" xfId="0"/>
    <cellStyle name="Normal 12 13" xfId="0"/>
    <cellStyle name="Normal 12 13 2" xfId="0"/>
    <cellStyle name="Normal 12 13 2 2" xfId="0"/>
    <cellStyle name="Normal 12 13 3" xfId="0"/>
    <cellStyle name="Normal 12 14" xfId="0"/>
    <cellStyle name="Normal 12 14 2" xfId="0"/>
    <cellStyle name="Normal 12 15" xfId="0"/>
    <cellStyle name="Normal 12 16" xfId="0"/>
    <cellStyle name="Normal 12 17" xfId="0"/>
    <cellStyle name="Normal 12 2" xfId="0"/>
    <cellStyle name="Normal 12 2 2" xfId="0"/>
    <cellStyle name="Normal 12 2 3" xfId="0"/>
    <cellStyle name="Normal 12 3" xfId="0"/>
    <cellStyle name="Normal 12 3 10" xfId="0"/>
    <cellStyle name="Normal 12 3 10 2" xfId="0"/>
    <cellStyle name="Normal 12 3 10 2 2" xfId="0"/>
    <cellStyle name="Normal 12 3 10 3" xfId="0"/>
    <cellStyle name="Normal 12 3 11" xfId="0"/>
    <cellStyle name="Normal 12 3 11 2" xfId="0"/>
    <cellStyle name="Normal 12 3 12" xfId="0"/>
    <cellStyle name="Normal 12 3 13" xfId="0"/>
    <cellStyle name="Normal 12 3 2" xfId="0"/>
    <cellStyle name="Normal 12 3 2 10" xfId="0"/>
    <cellStyle name="Normal 12 3 2 10 2" xfId="0"/>
    <cellStyle name="Normal 12 3 2 11" xfId="0"/>
    <cellStyle name="Normal 12 3 2 2" xfId="0"/>
    <cellStyle name="Normal 12 3 2 2 2" xfId="0"/>
    <cellStyle name="Normal 12 3 2 2 2 2" xfId="0"/>
    <cellStyle name="Normal 12 3 2 2 2 2 2" xfId="0"/>
    <cellStyle name="Normal 12 3 2 2 2 2 2 2" xfId="0"/>
    <cellStyle name="Normal 12 3 2 2 2 2 2 2 2" xfId="0"/>
    <cellStyle name="Normal 12 3 2 2 2 2 2 2 2 2" xfId="0"/>
    <cellStyle name="Normal 12 3 2 2 2 2 2 2 2 2 2" xfId="0"/>
    <cellStyle name="Normal 12 3 2 2 2 2 2 2 2 3" xfId="0"/>
    <cellStyle name="Normal 12 3 2 2 2 2 2 2 3" xfId="0"/>
    <cellStyle name="Normal 12 3 2 2 2 2 2 2 3 2" xfId="0"/>
    <cellStyle name="Normal 12 3 2 2 2 2 2 2 4" xfId="0"/>
    <cellStyle name="Normal 12 3 2 2 2 2 2 3" xfId="0"/>
    <cellStyle name="Normal 12 3 2 2 2 2 2 3 2" xfId="0"/>
    <cellStyle name="Normal 12 3 2 2 2 2 2 3 2 2" xfId="0"/>
    <cellStyle name="Normal 12 3 2 2 2 2 2 3 3" xfId="0"/>
    <cellStyle name="Normal 12 3 2 2 2 2 2 4" xfId="0"/>
    <cellStyle name="Normal 12 3 2 2 2 2 2 4 2" xfId="0"/>
    <cellStyle name="Normal 12 3 2 2 2 2 2 5" xfId="0"/>
    <cellStyle name="Normal 12 3 2 2 2 2 3" xfId="0"/>
    <cellStyle name="Normal 12 3 2 2 2 2 3 2" xfId="0"/>
    <cellStyle name="Normal 12 3 2 2 2 2 3 2 2" xfId="0"/>
    <cellStyle name="Normal 12 3 2 2 2 2 3 2 2 2" xfId="0"/>
    <cellStyle name="Normal 12 3 2 2 2 2 3 2 3" xfId="0"/>
    <cellStyle name="Normal 12 3 2 2 2 2 3 3" xfId="0"/>
    <cellStyle name="Normal 12 3 2 2 2 2 3 3 2" xfId="0"/>
    <cellStyle name="Normal 12 3 2 2 2 2 3 4" xfId="0"/>
    <cellStyle name="Normal 12 3 2 2 2 2 4" xfId="0"/>
    <cellStyle name="Normal 12 3 2 2 2 2 4 2" xfId="0"/>
    <cellStyle name="Normal 12 3 2 2 2 2 4 2 2" xfId="0"/>
    <cellStyle name="Normal 12 3 2 2 2 2 4 3" xfId="0"/>
    <cellStyle name="Normal 12 3 2 2 2 2 5" xfId="0"/>
    <cellStyle name="Normal 12 3 2 2 2 2 5 2" xfId="0"/>
    <cellStyle name="Normal 12 3 2 2 2 2 6" xfId="0"/>
    <cellStyle name="Normal 12 3 2 2 2 3" xfId="0"/>
    <cellStyle name="Normal 12 3 2 2 2 3 2" xfId="0"/>
    <cellStyle name="Normal 12 3 2 2 2 3 2 2" xfId="0"/>
    <cellStyle name="Normal 12 3 2 2 2 3 2 2 2" xfId="0"/>
    <cellStyle name="Normal 12 3 2 2 2 3 2 2 2 2" xfId="0"/>
    <cellStyle name="Normal 12 3 2 2 2 3 2 2 3" xfId="0"/>
    <cellStyle name="Normal 12 3 2 2 2 3 2 3" xfId="0"/>
    <cellStyle name="Normal 12 3 2 2 2 3 2 3 2" xfId="0"/>
    <cellStyle name="Normal 12 3 2 2 2 3 2 4" xfId="0"/>
    <cellStyle name="Normal 12 3 2 2 2 3 3" xfId="0"/>
    <cellStyle name="Normal 12 3 2 2 2 3 3 2" xfId="0"/>
    <cellStyle name="Normal 12 3 2 2 2 3 3 2 2" xfId="0"/>
    <cellStyle name="Normal 12 3 2 2 2 3 3 3" xfId="0"/>
    <cellStyle name="Normal 12 3 2 2 2 3 4" xfId="0"/>
    <cellStyle name="Normal 12 3 2 2 2 3 4 2" xfId="0"/>
    <cellStyle name="Normal 12 3 2 2 2 3 5" xfId="0"/>
    <cellStyle name="Normal 12 3 2 2 2 4" xfId="0"/>
    <cellStyle name="Normal 12 3 2 2 2 4 2" xfId="0"/>
    <cellStyle name="Normal 12 3 2 2 2 4 2 2" xfId="0"/>
    <cellStyle name="Normal 12 3 2 2 2 4 2 2 2" xfId="0"/>
    <cellStyle name="Normal 12 3 2 2 2 4 2 3" xfId="0"/>
    <cellStyle name="Normal 12 3 2 2 2 4 3" xfId="0"/>
    <cellStyle name="Normal 12 3 2 2 2 4 3 2" xfId="0"/>
    <cellStyle name="Normal 12 3 2 2 2 4 4" xfId="0"/>
    <cellStyle name="Normal 12 3 2 2 2 5" xfId="0"/>
    <cellStyle name="Normal 12 3 2 2 2 5 2" xfId="0"/>
    <cellStyle name="Normal 12 3 2 2 2 5 2 2" xfId="0"/>
    <cellStyle name="Normal 12 3 2 2 2 5 3" xfId="0"/>
    <cellStyle name="Normal 12 3 2 2 2 6" xfId="0"/>
    <cellStyle name="Normal 12 3 2 2 2 6 2" xfId="0"/>
    <cellStyle name="Normal 12 3 2 2 2 7" xfId="0"/>
    <cellStyle name="Normal 12 3 2 2 3" xfId="0"/>
    <cellStyle name="Normal 12 3 2 2 3 2" xfId="0"/>
    <cellStyle name="Normal 12 3 2 2 3 2 2" xfId="0"/>
    <cellStyle name="Normal 12 3 2 2 3 2 2 2" xfId="0"/>
    <cellStyle name="Normal 12 3 2 2 3 2 2 2 2" xfId="0"/>
    <cellStyle name="Normal 12 3 2 2 3 2 2 2 2 2" xfId="0"/>
    <cellStyle name="Normal 12 3 2 2 3 2 2 2 3" xfId="0"/>
    <cellStyle name="Normal 12 3 2 2 3 2 2 3" xfId="0"/>
    <cellStyle name="Normal 12 3 2 2 3 2 2 3 2" xfId="0"/>
    <cellStyle name="Normal 12 3 2 2 3 2 2 4" xfId="0"/>
    <cellStyle name="Normal 12 3 2 2 3 2 3" xfId="0"/>
    <cellStyle name="Normal 12 3 2 2 3 2 3 2" xfId="0"/>
    <cellStyle name="Normal 12 3 2 2 3 2 3 2 2" xfId="0"/>
    <cellStyle name="Normal 12 3 2 2 3 2 3 3" xfId="0"/>
    <cellStyle name="Normal 12 3 2 2 3 2 4" xfId="0"/>
    <cellStyle name="Normal 12 3 2 2 3 2 4 2" xfId="0"/>
    <cellStyle name="Normal 12 3 2 2 3 2 5" xfId="0"/>
    <cellStyle name="Normal 12 3 2 2 3 3" xfId="0"/>
    <cellStyle name="Normal 12 3 2 2 3 3 2" xfId="0"/>
    <cellStyle name="Normal 12 3 2 2 3 3 2 2" xfId="0"/>
    <cellStyle name="Normal 12 3 2 2 3 3 2 2 2" xfId="0"/>
    <cellStyle name="Normal 12 3 2 2 3 3 2 3" xfId="0"/>
    <cellStyle name="Normal 12 3 2 2 3 3 3" xfId="0"/>
    <cellStyle name="Normal 12 3 2 2 3 3 3 2" xfId="0"/>
    <cellStyle name="Normal 12 3 2 2 3 3 4" xfId="0"/>
    <cellStyle name="Normal 12 3 2 2 3 4" xfId="0"/>
    <cellStyle name="Normal 12 3 2 2 3 4 2" xfId="0"/>
    <cellStyle name="Normal 12 3 2 2 3 4 2 2" xfId="0"/>
    <cellStyle name="Normal 12 3 2 2 3 4 3" xfId="0"/>
    <cellStyle name="Normal 12 3 2 2 3 5" xfId="0"/>
    <cellStyle name="Normal 12 3 2 2 3 5 2" xfId="0"/>
    <cellStyle name="Normal 12 3 2 2 3 6" xfId="0"/>
    <cellStyle name="Normal 12 3 2 2 4" xfId="0"/>
    <cellStyle name="Normal 12 3 2 2 4 2" xfId="0"/>
    <cellStyle name="Normal 12 3 2 2 4 2 2" xfId="0"/>
    <cellStyle name="Normal 12 3 2 2 4 2 2 2" xfId="0"/>
    <cellStyle name="Normal 12 3 2 2 4 2 2 2 2" xfId="0"/>
    <cellStyle name="Normal 12 3 2 2 4 2 2 3" xfId="0"/>
    <cellStyle name="Normal 12 3 2 2 4 2 3" xfId="0"/>
    <cellStyle name="Normal 12 3 2 2 4 2 3 2" xfId="0"/>
    <cellStyle name="Normal 12 3 2 2 4 2 4" xfId="0"/>
    <cellStyle name="Normal 12 3 2 2 4 3" xfId="0"/>
    <cellStyle name="Normal 12 3 2 2 4 3 2" xfId="0"/>
    <cellStyle name="Normal 12 3 2 2 4 3 2 2" xfId="0"/>
    <cellStyle name="Normal 12 3 2 2 4 3 3" xfId="0"/>
    <cellStyle name="Normal 12 3 2 2 4 4" xfId="0"/>
    <cellStyle name="Normal 12 3 2 2 4 4 2" xfId="0"/>
    <cellStyle name="Normal 12 3 2 2 4 5" xfId="0"/>
    <cellStyle name="Normal 12 3 2 2 5" xfId="0"/>
    <cellStyle name="Normal 12 3 2 2 5 2" xfId="0"/>
    <cellStyle name="Normal 12 3 2 2 5 2 2" xfId="0"/>
    <cellStyle name="Normal 12 3 2 2 5 2 2 2" xfId="0"/>
    <cellStyle name="Normal 12 3 2 2 5 2 3" xfId="0"/>
    <cellStyle name="Normal 12 3 2 2 5 3" xfId="0"/>
    <cellStyle name="Normal 12 3 2 2 5 3 2" xfId="0"/>
    <cellStyle name="Normal 12 3 2 2 5 4" xfId="0"/>
    <cellStyle name="Normal 12 3 2 2 6" xfId="0"/>
    <cellStyle name="Normal 12 3 2 2 6 2" xfId="0"/>
    <cellStyle name="Normal 12 3 2 2 6 2 2" xfId="0"/>
    <cellStyle name="Normal 12 3 2 2 6 3" xfId="0"/>
    <cellStyle name="Normal 12 3 2 2 7" xfId="0"/>
    <cellStyle name="Normal 12 3 2 2 7 2" xfId="0"/>
    <cellStyle name="Normal 12 3 2 2 8" xfId="0"/>
    <cellStyle name="Normal 12 3 2 3" xfId="0"/>
    <cellStyle name="Normal 12 3 2 3 2" xfId="0"/>
    <cellStyle name="Normal 12 3 2 3 2 2" xfId="0"/>
    <cellStyle name="Normal 12 3 2 3 2 2 2" xfId="0"/>
    <cellStyle name="Normal 12 3 2 3 2 2 2 2" xfId="0"/>
    <cellStyle name="Normal 12 3 2 3 2 2 2 2 2" xfId="0"/>
    <cellStyle name="Normal 12 3 2 3 2 2 2 2 2 2" xfId="0"/>
    <cellStyle name="Normal 12 3 2 3 2 2 2 2 2 2 2" xfId="0"/>
    <cellStyle name="Normal 12 3 2 3 2 2 2 2 2 3" xfId="0"/>
    <cellStyle name="Normal 12 3 2 3 2 2 2 2 3" xfId="0"/>
    <cellStyle name="Normal 12 3 2 3 2 2 2 2 3 2" xfId="0"/>
    <cellStyle name="Normal 12 3 2 3 2 2 2 2 4" xfId="0"/>
    <cellStyle name="Normal 12 3 2 3 2 2 2 3" xfId="0"/>
    <cellStyle name="Normal 12 3 2 3 2 2 2 3 2" xfId="0"/>
    <cellStyle name="Normal 12 3 2 3 2 2 2 3 2 2" xfId="0"/>
    <cellStyle name="Normal 12 3 2 3 2 2 2 3 3" xfId="0"/>
    <cellStyle name="Normal 12 3 2 3 2 2 2 4" xfId="0"/>
    <cellStyle name="Normal 12 3 2 3 2 2 2 4 2" xfId="0"/>
    <cellStyle name="Normal 12 3 2 3 2 2 2 5" xfId="0"/>
    <cellStyle name="Normal 12 3 2 3 2 2 3" xfId="0"/>
    <cellStyle name="Normal 12 3 2 3 2 2 3 2" xfId="0"/>
    <cellStyle name="Normal 12 3 2 3 2 2 3 2 2" xfId="0"/>
    <cellStyle name="Normal 12 3 2 3 2 2 3 2 2 2" xfId="0"/>
    <cellStyle name="Normal 12 3 2 3 2 2 3 2 3" xfId="0"/>
    <cellStyle name="Normal 12 3 2 3 2 2 3 3" xfId="0"/>
    <cellStyle name="Normal 12 3 2 3 2 2 3 3 2" xfId="0"/>
    <cellStyle name="Normal 12 3 2 3 2 2 3 4" xfId="0"/>
    <cellStyle name="Normal 12 3 2 3 2 2 4" xfId="0"/>
    <cellStyle name="Normal 12 3 2 3 2 2 4 2" xfId="0"/>
    <cellStyle name="Normal 12 3 2 3 2 2 4 2 2" xfId="0"/>
    <cellStyle name="Normal 12 3 2 3 2 2 4 3" xfId="0"/>
    <cellStyle name="Normal 12 3 2 3 2 2 5" xfId="0"/>
    <cellStyle name="Normal 12 3 2 3 2 2 5 2" xfId="0"/>
    <cellStyle name="Normal 12 3 2 3 2 2 6" xfId="0"/>
    <cellStyle name="Normal 12 3 2 3 2 3" xfId="0"/>
    <cellStyle name="Normal 12 3 2 3 2 3 2" xfId="0"/>
    <cellStyle name="Normal 12 3 2 3 2 3 2 2" xfId="0"/>
    <cellStyle name="Normal 12 3 2 3 2 3 2 2 2" xfId="0"/>
    <cellStyle name="Normal 12 3 2 3 2 3 2 2 2 2" xfId="0"/>
    <cellStyle name="Normal 12 3 2 3 2 3 2 2 3" xfId="0"/>
    <cellStyle name="Normal 12 3 2 3 2 3 2 3" xfId="0"/>
    <cellStyle name="Normal 12 3 2 3 2 3 2 3 2" xfId="0"/>
    <cellStyle name="Normal 12 3 2 3 2 3 2 4" xfId="0"/>
    <cellStyle name="Normal 12 3 2 3 2 3 3" xfId="0"/>
    <cellStyle name="Normal 12 3 2 3 2 3 3 2" xfId="0"/>
    <cellStyle name="Normal 12 3 2 3 2 3 3 2 2" xfId="0"/>
    <cellStyle name="Normal 12 3 2 3 2 3 3 3" xfId="0"/>
    <cellStyle name="Normal 12 3 2 3 2 3 4" xfId="0"/>
    <cellStyle name="Normal 12 3 2 3 2 3 4 2" xfId="0"/>
    <cellStyle name="Normal 12 3 2 3 2 3 5" xfId="0"/>
    <cellStyle name="Normal 12 3 2 3 2 4" xfId="0"/>
    <cellStyle name="Normal 12 3 2 3 2 4 2" xfId="0"/>
    <cellStyle name="Normal 12 3 2 3 2 4 2 2" xfId="0"/>
    <cellStyle name="Normal 12 3 2 3 2 4 2 2 2" xfId="0"/>
    <cellStyle name="Normal 12 3 2 3 2 4 2 3" xfId="0"/>
    <cellStyle name="Normal 12 3 2 3 2 4 3" xfId="0"/>
    <cellStyle name="Normal 12 3 2 3 2 4 3 2" xfId="0"/>
    <cellStyle name="Normal 12 3 2 3 2 4 4" xfId="0"/>
    <cellStyle name="Normal 12 3 2 3 2 5" xfId="0"/>
    <cellStyle name="Normal 12 3 2 3 2 5 2" xfId="0"/>
    <cellStyle name="Normal 12 3 2 3 2 5 2 2" xfId="0"/>
    <cellStyle name="Normal 12 3 2 3 2 5 3" xfId="0"/>
    <cellStyle name="Normal 12 3 2 3 2 6" xfId="0"/>
    <cellStyle name="Normal 12 3 2 3 2 6 2" xfId="0"/>
    <cellStyle name="Normal 12 3 2 3 2 7" xfId="0"/>
    <cellStyle name="Normal 12 3 2 3 3" xfId="0"/>
    <cellStyle name="Normal 12 3 2 3 3 2" xfId="0"/>
    <cellStyle name="Normal 12 3 2 3 3 2 2" xfId="0"/>
    <cellStyle name="Normal 12 3 2 3 3 2 2 2" xfId="0"/>
    <cellStyle name="Normal 12 3 2 3 3 2 2 2 2" xfId="0"/>
    <cellStyle name="Normal 12 3 2 3 3 2 2 2 2 2" xfId="0"/>
    <cellStyle name="Normal 12 3 2 3 3 2 2 2 3" xfId="0"/>
    <cellStyle name="Normal 12 3 2 3 3 2 2 3" xfId="0"/>
    <cellStyle name="Normal 12 3 2 3 3 2 2 3 2" xfId="0"/>
    <cellStyle name="Normal 12 3 2 3 3 2 2 4" xfId="0"/>
    <cellStyle name="Normal 12 3 2 3 3 2 3" xfId="0"/>
    <cellStyle name="Normal 12 3 2 3 3 2 3 2" xfId="0"/>
    <cellStyle name="Normal 12 3 2 3 3 2 3 2 2" xfId="0"/>
    <cellStyle name="Normal 12 3 2 3 3 2 3 3" xfId="0"/>
    <cellStyle name="Normal 12 3 2 3 3 2 4" xfId="0"/>
    <cellStyle name="Normal 12 3 2 3 3 2 4 2" xfId="0"/>
    <cellStyle name="Normal 12 3 2 3 3 2 5" xfId="0"/>
    <cellStyle name="Normal 12 3 2 3 3 3" xfId="0"/>
    <cellStyle name="Normal 12 3 2 3 3 3 2" xfId="0"/>
    <cellStyle name="Normal 12 3 2 3 3 3 2 2" xfId="0"/>
    <cellStyle name="Normal 12 3 2 3 3 3 2 2 2" xfId="0"/>
    <cellStyle name="Normal 12 3 2 3 3 3 2 3" xfId="0"/>
    <cellStyle name="Normal 12 3 2 3 3 3 3" xfId="0"/>
    <cellStyle name="Normal 12 3 2 3 3 3 3 2" xfId="0"/>
    <cellStyle name="Normal 12 3 2 3 3 3 4" xfId="0"/>
    <cellStyle name="Normal 12 3 2 3 3 4" xfId="0"/>
    <cellStyle name="Normal 12 3 2 3 3 4 2" xfId="0"/>
    <cellStyle name="Normal 12 3 2 3 3 4 2 2" xfId="0"/>
    <cellStyle name="Normal 12 3 2 3 3 4 3" xfId="0"/>
    <cellStyle name="Normal 12 3 2 3 3 5" xfId="0"/>
    <cellStyle name="Normal 12 3 2 3 3 5 2" xfId="0"/>
    <cellStyle name="Normal 12 3 2 3 3 6" xfId="0"/>
    <cellStyle name="Normal 12 3 2 3 4" xfId="0"/>
    <cellStyle name="Normal 12 3 2 3 4 2" xfId="0"/>
    <cellStyle name="Normal 12 3 2 3 4 2 2" xfId="0"/>
    <cellStyle name="Normal 12 3 2 3 4 2 2 2" xfId="0"/>
    <cellStyle name="Normal 12 3 2 3 4 2 2 2 2" xfId="0"/>
    <cellStyle name="Normal 12 3 2 3 4 2 2 3" xfId="0"/>
    <cellStyle name="Normal 12 3 2 3 4 2 3" xfId="0"/>
    <cellStyle name="Normal 12 3 2 3 4 2 3 2" xfId="0"/>
    <cellStyle name="Normal 12 3 2 3 4 2 4" xfId="0"/>
    <cellStyle name="Normal 12 3 2 3 4 3" xfId="0"/>
    <cellStyle name="Normal 12 3 2 3 4 3 2" xfId="0"/>
    <cellStyle name="Normal 12 3 2 3 4 3 2 2" xfId="0"/>
    <cellStyle name="Normal 12 3 2 3 4 3 3" xfId="0"/>
    <cellStyle name="Normal 12 3 2 3 4 4" xfId="0"/>
    <cellStyle name="Normal 12 3 2 3 4 4 2" xfId="0"/>
    <cellStyle name="Normal 12 3 2 3 4 5" xfId="0"/>
    <cellStyle name="Normal 12 3 2 3 5" xfId="0"/>
    <cellStyle name="Normal 12 3 2 3 5 2" xfId="0"/>
    <cellStyle name="Normal 12 3 2 3 5 2 2" xfId="0"/>
    <cellStyle name="Normal 12 3 2 3 5 2 2 2" xfId="0"/>
    <cellStyle name="Normal 12 3 2 3 5 2 3" xfId="0"/>
    <cellStyle name="Normal 12 3 2 3 5 3" xfId="0"/>
    <cellStyle name="Normal 12 3 2 3 5 3 2" xfId="0"/>
    <cellStyle name="Normal 12 3 2 3 5 4" xfId="0"/>
    <cellStyle name="Normal 12 3 2 3 6" xfId="0"/>
    <cellStyle name="Normal 12 3 2 3 6 2" xfId="0"/>
    <cellStyle name="Normal 12 3 2 3 6 2 2" xfId="0"/>
    <cellStyle name="Normal 12 3 2 3 6 3" xfId="0"/>
    <cellStyle name="Normal 12 3 2 3 7" xfId="0"/>
    <cellStyle name="Normal 12 3 2 3 7 2" xfId="0"/>
    <cellStyle name="Normal 12 3 2 3 8" xfId="0"/>
    <cellStyle name="Normal 12 3 2 4" xfId="0"/>
    <cellStyle name="Normal 12 3 2 4 2" xfId="0"/>
    <cellStyle name="Normal 12 3 2 4 2 2" xfId="0"/>
    <cellStyle name="Normal 12 3 2 4 2 2 2" xfId="0"/>
    <cellStyle name="Normal 12 3 2 4 2 2 2 2" xfId="0"/>
    <cellStyle name="Normal 12 3 2 4 2 2 2 2 2" xfId="0"/>
    <cellStyle name="Normal 12 3 2 4 2 2 2 2 2 2" xfId="0"/>
    <cellStyle name="Normal 12 3 2 4 2 2 2 2 3" xfId="0"/>
    <cellStyle name="Normal 12 3 2 4 2 2 2 3" xfId="0"/>
    <cellStyle name="Normal 12 3 2 4 2 2 2 3 2" xfId="0"/>
    <cellStyle name="Normal 12 3 2 4 2 2 2 4" xfId="0"/>
    <cellStyle name="Normal 12 3 2 4 2 2 3" xfId="0"/>
    <cellStyle name="Normal 12 3 2 4 2 2 3 2" xfId="0"/>
    <cellStyle name="Normal 12 3 2 4 2 2 3 2 2" xfId="0"/>
    <cellStyle name="Normal 12 3 2 4 2 2 3 3" xfId="0"/>
    <cellStyle name="Normal 12 3 2 4 2 2 4" xfId="0"/>
    <cellStyle name="Normal 12 3 2 4 2 2 4 2" xfId="0"/>
    <cellStyle name="Normal 12 3 2 4 2 2 5" xfId="0"/>
    <cellStyle name="Normal 12 3 2 4 2 3" xfId="0"/>
    <cellStyle name="Normal 12 3 2 4 2 3 2" xfId="0"/>
    <cellStyle name="Normal 12 3 2 4 2 3 2 2" xfId="0"/>
    <cellStyle name="Normal 12 3 2 4 2 3 2 2 2" xfId="0"/>
    <cellStyle name="Normal 12 3 2 4 2 3 2 3" xfId="0"/>
    <cellStyle name="Normal 12 3 2 4 2 3 3" xfId="0"/>
    <cellStyle name="Normal 12 3 2 4 2 3 3 2" xfId="0"/>
    <cellStyle name="Normal 12 3 2 4 2 3 4" xfId="0"/>
    <cellStyle name="Normal 12 3 2 4 2 4" xfId="0"/>
    <cellStyle name="Normal 12 3 2 4 2 4 2" xfId="0"/>
    <cellStyle name="Normal 12 3 2 4 2 4 2 2" xfId="0"/>
    <cellStyle name="Normal 12 3 2 4 2 4 3" xfId="0"/>
    <cellStyle name="Normal 12 3 2 4 2 5" xfId="0"/>
    <cellStyle name="Normal 12 3 2 4 2 5 2" xfId="0"/>
    <cellStyle name="Normal 12 3 2 4 2 6" xfId="0"/>
    <cellStyle name="Normal 12 3 2 4 3" xfId="0"/>
    <cellStyle name="Normal 12 3 2 4 3 2" xfId="0"/>
    <cellStyle name="Normal 12 3 2 4 3 2 2" xfId="0"/>
    <cellStyle name="Normal 12 3 2 4 3 2 2 2" xfId="0"/>
    <cellStyle name="Normal 12 3 2 4 3 2 2 2 2" xfId="0"/>
    <cellStyle name="Normal 12 3 2 4 3 2 2 3" xfId="0"/>
    <cellStyle name="Normal 12 3 2 4 3 2 3" xfId="0"/>
    <cellStyle name="Normal 12 3 2 4 3 2 3 2" xfId="0"/>
    <cellStyle name="Normal 12 3 2 4 3 2 4" xfId="0"/>
    <cellStyle name="Normal 12 3 2 4 3 3" xfId="0"/>
    <cellStyle name="Normal 12 3 2 4 3 3 2" xfId="0"/>
    <cellStyle name="Normal 12 3 2 4 3 3 2 2" xfId="0"/>
    <cellStyle name="Normal 12 3 2 4 3 3 3" xfId="0"/>
    <cellStyle name="Normal 12 3 2 4 3 4" xfId="0"/>
    <cellStyle name="Normal 12 3 2 4 3 4 2" xfId="0"/>
    <cellStyle name="Normal 12 3 2 4 3 5" xfId="0"/>
    <cellStyle name="Normal 12 3 2 4 4" xfId="0"/>
    <cellStyle name="Normal 12 3 2 4 4 2" xfId="0"/>
    <cellStyle name="Normal 12 3 2 4 4 2 2" xfId="0"/>
    <cellStyle name="Normal 12 3 2 4 4 2 2 2" xfId="0"/>
    <cellStyle name="Normal 12 3 2 4 4 2 3" xfId="0"/>
    <cellStyle name="Normal 12 3 2 4 4 3" xfId="0"/>
    <cellStyle name="Normal 12 3 2 4 4 3 2" xfId="0"/>
    <cellStyle name="Normal 12 3 2 4 4 4" xfId="0"/>
    <cellStyle name="Normal 12 3 2 4 5" xfId="0"/>
    <cellStyle name="Normal 12 3 2 4 5 2" xfId="0"/>
    <cellStyle name="Normal 12 3 2 4 5 2 2" xfId="0"/>
    <cellStyle name="Normal 12 3 2 4 5 3" xfId="0"/>
    <cellStyle name="Normal 12 3 2 4 6" xfId="0"/>
    <cellStyle name="Normal 12 3 2 4 6 2" xfId="0"/>
    <cellStyle name="Normal 12 3 2 4 7" xfId="0"/>
    <cellStyle name="Normal 12 3 2 5" xfId="0"/>
    <cellStyle name="Normal 12 3 2 5 2" xfId="0"/>
    <cellStyle name="Normal 12 3 2 5 2 2" xfId="0"/>
    <cellStyle name="Normal 12 3 2 5 2 2 2" xfId="0"/>
    <cellStyle name="Normal 12 3 2 5 2 2 2 2" xfId="0"/>
    <cellStyle name="Normal 12 3 2 5 2 2 2 2 2" xfId="0"/>
    <cellStyle name="Normal 12 3 2 5 2 2 2 2 2 2" xfId="0"/>
    <cellStyle name="Normal 12 3 2 5 2 2 2 2 3" xfId="0"/>
    <cellStyle name="Normal 12 3 2 5 2 2 2 3" xfId="0"/>
    <cellStyle name="Normal 12 3 2 5 2 2 2 3 2" xfId="0"/>
    <cellStyle name="Normal 12 3 2 5 2 2 2 4" xfId="0"/>
    <cellStyle name="Normal 12 3 2 5 2 2 3" xfId="0"/>
    <cellStyle name="Normal 12 3 2 5 2 2 3 2" xfId="0"/>
    <cellStyle name="Normal 12 3 2 5 2 2 3 2 2" xfId="0"/>
    <cellStyle name="Normal 12 3 2 5 2 2 3 3" xfId="0"/>
    <cellStyle name="Normal 12 3 2 5 2 2 4" xfId="0"/>
    <cellStyle name="Normal 12 3 2 5 2 2 4 2" xfId="0"/>
    <cellStyle name="Normal 12 3 2 5 2 2 5" xfId="0"/>
    <cellStyle name="Normal 12 3 2 5 2 3" xfId="0"/>
    <cellStyle name="Normal 12 3 2 5 2 3 2" xfId="0"/>
    <cellStyle name="Normal 12 3 2 5 2 3 2 2" xfId="0"/>
    <cellStyle name="Normal 12 3 2 5 2 3 2 2 2" xfId="0"/>
    <cellStyle name="Normal 12 3 2 5 2 3 2 3" xfId="0"/>
    <cellStyle name="Normal 12 3 2 5 2 3 3" xfId="0"/>
    <cellStyle name="Normal 12 3 2 5 2 3 3 2" xfId="0"/>
    <cellStyle name="Normal 12 3 2 5 2 3 4" xfId="0"/>
    <cellStyle name="Normal 12 3 2 5 2 4" xfId="0"/>
    <cellStyle name="Normal 12 3 2 5 2 4 2" xfId="0"/>
    <cellStyle name="Normal 12 3 2 5 2 4 2 2" xfId="0"/>
    <cellStyle name="Normal 12 3 2 5 2 4 3" xfId="0"/>
    <cellStyle name="Normal 12 3 2 5 2 5" xfId="0"/>
    <cellStyle name="Normal 12 3 2 5 2 5 2" xfId="0"/>
    <cellStyle name="Normal 12 3 2 5 2 6" xfId="0"/>
    <cellStyle name="Normal 12 3 2 5 3" xfId="0"/>
    <cellStyle name="Normal 12 3 2 5 3 2" xfId="0"/>
    <cellStyle name="Normal 12 3 2 5 3 2 2" xfId="0"/>
    <cellStyle name="Normal 12 3 2 5 3 2 2 2" xfId="0"/>
    <cellStyle name="Normal 12 3 2 5 3 2 2 2 2" xfId="0"/>
    <cellStyle name="Normal 12 3 2 5 3 2 2 3" xfId="0"/>
    <cellStyle name="Normal 12 3 2 5 3 2 3" xfId="0"/>
    <cellStyle name="Normal 12 3 2 5 3 2 3 2" xfId="0"/>
    <cellStyle name="Normal 12 3 2 5 3 2 4" xfId="0"/>
    <cellStyle name="Normal 12 3 2 5 3 3" xfId="0"/>
    <cellStyle name="Normal 12 3 2 5 3 3 2" xfId="0"/>
    <cellStyle name="Normal 12 3 2 5 3 3 2 2" xfId="0"/>
    <cellStyle name="Normal 12 3 2 5 3 3 3" xfId="0"/>
    <cellStyle name="Normal 12 3 2 5 3 4" xfId="0"/>
    <cellStyle name="Normal 12 3 2 5 3 4 2" xfId="0"/>
    <cellStyle name="Normal 12 3 2 5 3 5" xfId="0"/>
    <cellStyle name="Normal 12 3 2 5 4" xfId="0"/>
    <cellStyle name="Normal 12 3 2 5 4 2" xfId="0"/>
    <cellStyle name="Normal 12 3 2 5 4 2 2" xfId="0"/>
    <cellStyle name="Normal 12 3 2 5 4 2 2 2" xfId="0"/>
    <cellStyle name="Normal 12 3 2 5 4 2 3" xfId="0"/>
    <cellStyle name="Normal 12 3 2 5 4 3" xfId="0"/>
    <cellStyle name="Normal 12 3 2 5 4 3 2" xfId="0"/>
    <cellStyle name="Normal 12 3 2 5 4 4" xfId="0"/>
    <cellStyle name="Normal 12 3 2 5 5" xfId="0"/>
    <cellStyle name="Normal 12 3 2 5 5 2" xfId="0"/>
    <cellStyle name="Normal 12 3 2 5 5 2 2" xfId="0"/>
    <cellStyle name="Normal 12 3 2 5 5 3" xfId="0"/>
    <cellStyle name="Normal 12 3 2 5 6" xfId="0"/>
    <cellStyle name="Normal 12 3 2 5 6 2" xfId="0"/>
    <cellStyle name="Normal 12 3 2 5 7" xfId="0"/>
    <cellStyle name="Normal 12 3 2 6" xfId="0"/>
    <cellStyle name="Normal 12 3 2 6 2" xfId="0"/>
    <cellStyle name="Normal 12 3 2 6 2 2" xfId="0"/>
    <cellStyle name="Normal 12 3 2 6 2 2 2" xfId="0"/>
    <cellStyle name="Normal 12 3 2 6 2 2 2 2" xfId="0"/>
    <cellStyle name="Normal 12 3 2 6 2 2 2 2 2" xfId="0"/>
    <cellStyle name="Normal 12 3 2 6 2 2 2 3" xfId="0"/>
    <cellStyle name="Normal 12 3 2 6 2 2 3" xfId="0"/>
    <cellStyle name="Normal 12 3 2 6 2 2 3 2" xfId="0"/>
    <cellStyle name="Normal 12 3 2 6 2 2 4" xfId="0"/>
    <cellStyle name="Normal 12 3 2 6 2 3" xfId="0"/>
    <cellStyle name="Normal 12 3 2 6 2 3 2" xfId="0"/>
    <cellStyle name="Normal 12 3 2 6 2 3 2 2" xfId="0"/>
    <cellStyle name="Normal 12 3 2 6 2 3 3" xfId="0"/>
    <cellStyle name="Normal 12 3 2 6 2 4" xfId="0"/>
    <cellStyle name="Normal 12 3 2 6 2 4 2" xfId="0"/>
    <cellStyle name="Normal 12 3 2 6 2 5" xfId="0"/>
    <cellStyle name="Normal 12 3 2 6 3" xfId="0"/>
    <cellStyle name="Normal 12 3 2 6 3 2" xfId="0"/>
    <cellStyle name="Normal 12 3 2 6 3 2 2" xfId="0"/>
    <cellStyle name="Normal 12 3 2 6 3 2 2 2" xfId="0"/>
    <cellStyle name="Normal 12 3 2 6 3 2 3" xfId="0"/>
    <cellStyle name="Normal 12 3 2 6 3 3" xfId="0"/>
    <cellStyle name="Normal 12 3 2 6 3 3 2" xfId="0"/>
    <cellStyle name="Normal 12 3 2 6 3 4" xfId="0"/>
    <cellStyle name="Normal 12 3 2 6 4" xfId="0"/>
    <cellStyle name="Normal 12 3 2 6 4 2" xfId="0"/>
    <cellStyle name="Normal 12 3 2 6 4 2 2" xfId="0"/>
    <cellStyle name="Normal 12 3 2 6 4 3" xfId="0"/>
    <cellStyle name="Normal 12 3 2 6 5" xfId="0"/>
    <cellStyle name="Normal 12 3 2 6 5 2" xfId="0"/>
    <cellStyle name="Normal 12 3 2 6 6" xfId="0"/>
    <cellStyle name="Normal 12 3 2 7" xfId="0"/>
    <cellStyle name="Normal 12 3 2 7 2" xfId="0"/>
    <cellStyle name="Normal 12 3 2 7 2 2" xfId="0"/>
    <cellStyle name="Normal 12 3 2 7 2 2 2" xfId="0"/>
    <cellStyle name="Normal 12 3 2 7 2 2 2 2" xfId="0"/>
    <cellStyle name="Normal 12 3 2 7 2 2 3" xfId="0"/>
    <cellStyle name="Normal 12 3 2 7 2 3" xfId="0"/>
    <cellStyle name="Normal 12 3 2 7 2 3 2" xfId="0"/>
    <cellStyle name="Normal 12 3 2 7 2 4" xfId="0"/>
    <cellStyle name="Normal 12 3 2 7 3" xfId="0"/>
    <cellStyle name="Normal 12 3 2 7 3 2" xfId="0"/>
    <cellStyle name="Normal 12 3 2 7 3 2 2" xfId="0"/>
    <cellStyle name="Normal 12 3 2 7 3 3" xfId="0"/>
    <cellStyle name="Normal 12 3 2 7 4" xfId="0"/>
    <cellStyle name="Normal 12 3 2 7 4 2" xfId="0"/>
    <cellStyle name="Normal 12 3 2 7 5" xfId="0"/>
    <cellStyle name="Normal 12 3 2 8" xfId="0"/>
    <cellStyle name="Normal 12 3 2 8 2" xfId="0"/>
    <cellStyle name="Normal 12 3 2 8 2 2" xfId="0"/>
    <cellStyle name="Normal 12 3 2 8 2 2 2" xfId="0"/>
    <cellStyle name="Normal 12 3 2 8 2 3" xfId="0"/>
    <cellStyle name="Normal 12 3 2 8 3" xfId="0"/>
    <cellStyle name="Normal 12 3 2 8 3 2" xfId="0"/>
    <cellStyle name="Normal 12 3 2 8 4" xfId="0"/>
    <cellStyle name="Normal 12 3 2 9" xfId="0"/>
    <cellStyle name="Normal 12 3 2 9 2" xfId="0"/>
    <cellStyle name="Normal 12 3 2 9 2 2" xfId="0"/>
    <cellStyle name="Normal 12 3 2 9 3" xfId="0"/>
    <cellStyle name="Normal 12 3 3" xfId="0"/>
    <cellStyle name="Normal 12 3 3 2" xfId="0"/>
    <cellStyle name="Normal 12 3 3 2 2" xfId="0"/>
    <cellStyle name="Normal 12 3 3 2 2 2" xfId="0"/>
    <cellStyle name="Normal 12 3 3 2 2 2 2" xfId="0"/>
    <cellStyle name="Normal 12 3 3 2 2 2 2 2" xfId="0"/>
    <cellStyle name="Normal 12 3 3 2 2 2 2 2 2" xfId="0"/>
    <cellStyle name="Normal 12 3 3 2 2 2 2 2 2 2" xfId="0"/>
    <cellStyle name="Normal 12 3 3 2 2 2 2 2 3" xfId="0"/>
    <cellStyle name="Normal 12 3 3 2 2 2 2 3" xfId="0"/>
    <cellStyle name="Normal 12 3 3 2 2 2 2 3 2" xfId="0"/>
    <cellStyle name="Normal 12 3 3 2 2 2 2 4" xfId="0"/>
    <cellStyle name="Normal 12 3 3 2 2 2 3" xfId="0"/>
    <cellStyle name="Normal 12 3 3 2 2 2 3 2" xfId="0"/>
    <cellStyle name="Normal 12 3 3 2 2 2 3 2 2" xfId="0"/>
    <cellStyle name="Normal 12 3 3 2 2 2 3 3" xfId="0"/>
    <cellStyle name="Normal 12 3 3 2 2 2 4" xfId="0"/>
    <cellStyle name="Normal 12 3 3 2 2 2 4 2" xfId="0"/>
    <cellStyle name="Normal 12 3 3 2 2 2 5" xfId="0"/>
    <cellStyle name="Normal 12 3 3 2 2 3" xfId="0"/>
    <cellStyle name="Normal 12 3 3 2 2 3 2" xfId="0"/>
    <cellStyle name="Normal 12 3 3 2 2 3 2 2" xfId="0"/>
    <cellStyle name="Normal 12 3 3 2 2 3 2 2 2" xfId="0"/>
    <cellStyle name="Normal 12 3 3 2 2 3 2 3" xfId="0"/>
    <cellStyle name="Normal 12 3 3 2 2 3 3" xfId="0"/>
    <cellStyle name="Normal 12 3 3 2 2 3 3 2" xfId="0"/>
    <cellStyle name="Normal 12 3 3 2 2 3 4" xfId="0"/>
    <cellStyle name="Normal 12 3 3 2 2 4" xfId="0"/>
    <cellStyle name="Normal 12 3 3 2 2 4 2" xfId="0"/>
    <cellStyle name="Normal 12 3 3 2 2 4 2 2" xfId="0"/>
    <cellStyle name="Normal 12 3 3 2 2 4 3" xfId="0"/>
    <cellStyle name="Normal 12 3 3 2 2 5" xfId="0"/>
    <cellStyle name="Normal 12 3 3 2 2 5 2" xfId="0"/>
    <cellStyle name="Normal 12 3 3 2 2 6" xfId="0"/>
    <cellStyle name="Normal 12 3 3 2 3" xfId="0"/>
    <cellStyle name="Normal 12 3 3 2 3 2" xfId="0"/>
    <cellStyle name="Normal 12 3 3 2 3 2 2" xfId="0"/>
    <cellStyle name="Normal 12 3 3 2 3 2 2 2" xfId="0"/>
    <cellStyle name="Normal 12 3 3 2 3 2 2 2 2" xfId="0"/>
    <cellStyle name="Normal 12 3 3 2 3 2 2 3" xfId="0"/>
    <cellStyle name="Normal 12 3 3 2 3 2 3" xfId="0"/>
    <cellStyle name="Normal 12 3 3 2 3 2 3 2" xfId="0"/>
    <cellStyle name="Normal 12 3 3 2 3 2 4" xfId="0"/>
    <cellStyle name="Normal 12 3 3 2 3 3" xfId="0"/>
    <cellStyle name="Normal 12 3 3 2 3 3 2" xfId="0"/>
    <cellStyle name="Normal 12 3 3 2 3 3 2 2" xfId="0"/>
    <cellStyle name="Normal 12 3 3 2 3 3 3" xfId="0"/>
    <cellStyle name="Normal 12 3 3 2 3 4" xfId="0"/>
    <cellStyle name="Normal 12 3 3 2 3 4 2" xfId="0"/>
    <cellStyle name="Normal 12 3 3 2 3 5" xfId="0"/>
    <cellStyle name="Normal 12 3 3 2 4" xfId="0"/>
    <cellStyle name="Normal 12 3 3 2 4 2" xfId="0"/>
    <cellStyle name="Normal 12 3 3 2 4 2 2" xfId="0"/>
    <cellStyle name="Normal 12 3 3 2 4 2 2 2" xfId="0"/>
    <cellStyle name="Normal 12 3 3 2 4 2 3" xfId="0"/>
    <cellStyle name="Normal 12 3 3 2 4 3" xfId="0"/>
    <cellStyle name="Normal 12 3 3 2 4 3 2" xfId="0"/>
    <cellStyle name="Normal 12 3 3 2 4 4" xfId="0"/>
    <cellStyle name="Normal 12 3 3 2 5" xfId="0"/>
    <cellStyle name="Normal 12 3 3 2 5 2" xfId="0"/>
    <cellStyle name="Normal 12 3 3 2 5 2 2" xfId="0"/>
    <cellStyle name="Normal 12 3 3 2 5 3" xfId="0"/>
    <cellStyle name="Normal 12 3 3 2 6" xfId="0"/>
    <cellStyle name="Normal 12 3 3 2 6 2" xfId="0"/>
    <cellStyle name="Normal 12 3 3 2 7" xfId="0"/>
    <cellStyle name="Normal 12 3 3 3" xfId="0"/>
    <cellStyle name="Normal 12 3 3 3 2" xfId="0"/>
    <cellStyle name="Normal 12 3 3 3 2 2" xfId="0"/>
    <cellStyle name="Normal 12 3 3 3 2 2 2" xfId="0"/>
    <cellStyle name="Normal 12 3 3 3 2 2 2 2" xfId="0"/>
    <cellStyle name="Normal 12 3 3 3 2 2 2 2 2" xfId="0"/>
    <cellStyle name="Normal 12 3 3 3 2 2 2 3" xfId="0"/>
    <cellStyle name="Normal 12 3 3 3 2 2 3" xfId="0"/>
    <cellStyle name="Normal 12 3 3 3 2 2 3 2" xfId="0"/>
    <cellStyle name="Normal 12 3 3 3 2 2 4" xfId="0"/>
    <cellStyle name="Normal 12 3 3 3 2 3" xfId="0"/>
    <cellStyle name="Normal 12 3 3 3 2 3 2" xfId="0"/>
    <cellStyle name="Normal 12 3 3 3 2 3 2 2" xfId="0"/>
    <cellStyle name="Normal 12 3 3 3 2 3 3" xfId="0"/>
    <cellStyle name="Normal 12 3 3 3 2 4" xfId="0"/>
    <cellStyle name="Normal 12 3 3 3 2 4 2" xfId="0"/>
    <cellStyle name="Normal 12 3 3 3 2 5" xfId="0"/>
    <cellStyle name="Normal 12 3 3 3 3" xfId="0"/>
    <cellStyle name="Normal 12 3 3 3 3 2" xfId="0"/>
    <cellStyle name="Normal 12 3 3 3 3 2 2" xfId="0"/>
    <cellStyle name="Normal 12 3 3 3 3 2 2 2" xfId="0"/>
    <cellStyle name="Normal 12 3 3 3 3 2 3" xfId="0"/>
    <cellStyle name="Normal 12 3 3 3 3 3" xfId="0"/>
    <cellStyle name="Normal 12 3 3 3 3 3 2" xfId="0"/>
    <cellStyle name="Normal 12 3 3 3 3 4" xfId="0"/>
    <cellStyle name="Normal 12 3 3 3 4" xfId="0"/>
    <cellStyle name="Normal 12 3 3 3 4 2" xfId="0"/>
    <cellStyle name="Normal 12 3 3 3 4 2 2" xfId="0"/>
    <cellStyle name="Normal 12 3 3 3 4 3" xfId="0"/>
    <cellStyle name="Normal 12 3 3 3 5" xfId="0"/>
    <cellStyle name="Normal 12 3 3 3 5 2" xfId="0"/>
    <cellStyle name="Normal 12 3 3 3 6" xfId="0"/>
    <cellStyle name="Normal 12 3 3 4" xfId="0"/>
    <cellStyle name="Normal 12 3 3 4 2" xfId="0"/>
    <cellStyle name="Normal 12 3 3 4 2 2" xfId="0"/>
    <cellStyle name="Normal 12 3 3 4 2 2 2" xfId="0"/>
    <cellStyle name="Normal 12 3 3 4 2 2 2 2" xfId="0"/>
    <cellStyle name="Normal 12 3 3 4 2 2 3" xfId="0"/>
    <cellStyle name="Normal 12 3 3 4 2 3" xfId="0"/>
    <cellStyle name="Normal 12 3 3 4 2 3 2" xfId="0"/>
    <cellStyle name="Normal 12 3 3 4 2 4" xfId="0"/>
    <cellStyle name="Normal 12 3 3 4 3" xfId="0"/>
    <cellStyle name="Normal 12 3 3 4 3 2" xfId="0"/>
    <cellStyle name="Normal 12 3 3 4 3 2 2" xfId="0"/>
    <cellStyle name="Normal 12 3 3 4 3 3" xfId="0"/>
    <cellStyle name="Normal 12 3 3 4 4" xfId="0"/>
    <cellStyle name="Normal 12 3 3 4 4 2" xfId="0"/>
    <cellStyle name="Normal 12 3 3 4 5" xfId="0"/>
    <cellStyle name="Normal 12 3 3 5" xfId="0"/>
    <cellStyle name="Normal 12 3 3 5 2" xfId="0"/>
    <cellStyle name="Normal 12 3 3 5 2 2" xfId="0"/>
    <cellStyle name="Normal 12 3 3 5 2 2 2" xfId="0"/>
    <cellStyle name="Normal 12 3 3 5 2 3" xfId="0"/>
    <cellStyle name="Normal 12 3 3 5 3" xfId="0"/>
    <cellStyle name="Normal 12 3 3 5 3 2" xfId="0"/>
    <cellStyle name="Normal 12 3 3 5 4" xfId="0"/>
    <cellStyle name="Normal 12 3 3 6" xfId="0"/>
    <cellStyle name="Normal 12 3 3 6 2" xfId="0"/>
    <cellStyle name="Normal 12 3 3 6 2 2" xfId="0"/>
    <cellStyle name="Normal 12 3 3 6 3" xfId="0"/>
    <cellStyle name="Normal 12 3 3 7" xfId="0"/>
    <cellStyle name="Normal 12 3 3 7 2" xfId="0"/>
    <cellStyle name="Normal 12 3 3 8" xfId="0"/>
    <cellStyle name="Normal 12 3 4" xfId="0"/>
    <cellStyle name="Normal 12 3 4 2" xfId="0"/>
    <cellStyle name="Normal 12 3 4 2 2" xfId="0"/>
    <cellStyle name="Normal 12 3 4 2 2 2" xfId="0"/>
    <cellStyle name="Normal 12 3 4 2 2 2 2" xfId="0"/>
    <cellStyle name="Normal 12 3 4 2 2 2 2 2" xfId="0"/>
    <cellStyle name="Normal 12 3 4 2 2 2 2 2 2" xfId="0"/>
    <cellStyle name="Normal 12 3 4 2 2 2 2 2 2 2" xfId="0"/>
    <cellStyle name="Normal 12 3 4 2 2 2 2 2 3" xfId="0"/>
    <cellStyle name="Normal 12 3 4 2 2 2 2 3" xfId="0"/>
    <cellStyle name="Normal 12 3 4 2 2 2 2 3 2" xfId="0"/>
    <cellStyle name="Normal 12 3 4 2 2 2 2 4" xfId="0"/>
    <cellStyle name="Normal 12 3 4 2 2 2 3" xfId="0"/>
    <cellStyle name="Normal 12 3 4 2 2 2 3 2" xfId="0"/>
    <cellStyle name="Normal 12 3 4 2 2 2 3 2 2" xfId="0"/>
    <cellStyle name="Normal 12 3 4 2 2 2 3 3" xfId="0"/>
    <cellStyle name="Normal 12 3 4 2 2 2 4" xfId="0"/>
    <cellStyle name="Normal 12 3 4 2 2 2 4 2" xfId="0"/>
    <cellStyle name="Normal 12 3 4 2 2 2 5" xfId="0"/>
    <cellStyle name="Normal 12 3 4 2 2 3" xfId="0"/>
    <cellStyle name="Normal 12 3 4 2 2 3 2" xfId="0"/>
    <cellStyle name="Normal 12 3 4 2 2 3 2 2" xfId="0"/>
    <cellStyle name="Normal 12 3 4 2 2 3 2 2 2" xfId="0"/>
    <cellStyle name="Normal 12 3 4 2 2 3 2 3" xfId="0"/>
    <cellStyle name="Normal 12 3 4 2 2 3 3" xfId="0"/>
    <cellStyle name="Normal 12 3 4 2 2 3 3 2" xfId="0"/>
    <cellStyle name="Normal 12 3 4 2 2 3 4" xfId="0"/>
    <cellStyle name="Normal 12 3 4 2 2 4" xfId="0"/>
    <cellStyle name="Normal 12 3 4 2 2 4 2" xfId="0"/>
    <cellStyle name="Normal 12 3 4 2 2 4 2 2" xfId="0"/>
    <cellStyle name="Normal 12 3 4 2 2 4 3" xfId="0"/>
    <cellStyle name="Normal 12 3 4 2 2 5" xfId="0"/>
    <cellStyle name="Normal 12 3 4 2 2 5 2" xfId="0"/>
    <cellStyle name="Normal 12 3 4 2 2 6" xfId="0"/>
    <cellStyle name="Normal 12 3 4 2 3" xfId="0"/>
    <cellStyle name="Normal 12 3 4 2 3 2" xfId="0"/>
    <cellStyle name="Normal 12 3 4 2 3 2 2" xfId="0"/>
    <cellStyle name="Normal 12 3 4 2 3 2 2 2" xfId="0"/>
    <cellStyle name="Normal 12 3 4 2 3 2 2 2 2" xfId="0"/>
    <cellStyle name="Normal 12 3 4 2 3 2 2 3" xfId="0"/>
    <cellStyle name="Normal 12 3 4 2 3 2 3" xfId="0"/>
    <cellStyle name="Normal 12 3 4 2 3 2 3 2" xfId="0"/>
    <cellStyle name="Normal 12 3 4 2 3 2 4" xfId="0"/>
    <cellStyle name="Normal 12 3 4 2 3 3" xfId="0"/>
    <cellStyle name="Normal 12 3 4 2 3 3 2" xfId="0"/>
    <cellStyle name="Normal 12 3 4 2 3 3 2 2" xfId="0"/>
    <cellStyle name="Normal 12 3 4 2 3 3 3" xfId="0"/>
    <cellStyle name="Normal 12 3 4 2 3 4" xfId="0"/>
    <cellStyle name="Normal 12 3 4 2 3 4 2" xfId="0"/>
    <cellStyle name="Normal 12 3 4 2 3 5" xfId="0"/>
    <cellStyle name="Normal 12 3 4 2 4" xfId="0"/>
    <cellStyle name="Normal 12 3 4 2 4 2" xfId="0"/>
    <cellStyle name="Normal 12 3 4 2 4 2 2" xfId="0"/>
    <cellStyle name="Normal 12 3 4 2 4 2 2 2" xfId="0"/>
    <cellStyle name="Normal 12 3 4 2 4 2 3" xfId="0"/>
    <cellStyle name="Normal 12 3 4 2 4 3" xfId="0"/>
    <cellStyle name="Normal 12 3 4 2 4 3 2" xfId="0"/>
    <cellStyle name="Normal 12 3 4 2 4 4" xfId="0"/>
    <cellStyle name="Normal 12 3 4 2 5" xfId="0"/>
    <cellStyle name="Normal 12 3 4 2 5 2" xfId="0"/>
    <cellStyle name="Normal 12 3 4 2 5 2 2" xfId="0"/>
    <cellStyle name="Normal 12 3 4 2 5 3" xfId="0"/>
    <cellStyle name="Normal 12 3 4 2 6" xfId="0"/>
    <cellStyle name="Normal 12 3 4 2 6 2" xfId="0"/>
    <cellStyle name="Normal 12 3 4 2 7" xfId="0"/>
    <cellStyle name="Normal 12 3 4 3" xfId="0"/>
    <cellStyle name="Normal 12 3 4 3 2" xfId="0"/>
    <cellStyle name="Normal 12 3 4 3 2 2" xfId="0"/>
    <cellStyle name="Normal 12 3 4 3 2 2 2" xfId="0"/>
    <cellStyle name="Normal 12 3 4 3 2 2 2 2" xfId="0"/>
    <cellStyle name="Normal 12 3 4 3 2 2 2 2 2" xfId="0"/>
    <cellStyle name="Normal 12 3 4 3 2 2 2 3" xfId="0"/>
    <cellStyle name="Normal 12 3 4 3 2 2 3" xfId="0"/>
    <cellStyle name="Normal 12 3 4 3 2 2 3 2" xfId="0"/>
    <cellStyle name="Normal 12 3 4 3 2 2 4" xfId="0"/>
    <cellStyle name="Normal 12 3 4 3 2 3" xfId="0"/>
    <cellStyle name="Normal 12 3 4 3 2 3 2" xfId="0"/>
    <cellStyle name="Normal 12 3 4 3 2 3 2 2" xfId="0"/>
    <cellStyle name="Normal 12 3 4 3 2 3 3" xfId="0"/>
    <cellStyle name="Normal 12 3 4 3 2 4" xfId="0"/>
    <cellStyle name="Normal 12 3 4 3 2 4 2" xfId="0"/>
    <cellStyle name="Normal 12 3 4 3 2 5" xfId="0"/>
    <cellStyle name="Normal 12 3 4 3 3" xfId="0"/>
    <cellStyle name="Normal 12 3 4 3 3 2" xfId="0"/>
    <cellStyle name="Normal 12 3 4 3 3 2 2" xfId="0"/>
    <cellStyle name="Normal 12 3 4 3 3 2 2 2" xfId="0"/>
    <cellStyle name="Normal 12 3 4 3 3 2 3" xfId="0"/>
    <cellStyle name="Normal 12 3 4 3 3 3" xfId="0"/>
    <cellStyle name="Normal 12 3 4 3 3 3 2" xfId="0"/>
    <cellStyle name="Normal 12 3 4 3 3 4" xfId="0"/>
    <cellStyle name="Normal 12 3 4 3 4" xfId="0"/>
    <cellStyle name="Normal 12 3 4 3 4 2" xfId="0"/>
    <cellStyle name="Normal 12 3 4 3 4 2 2" xfId="0"/>
    <cellStyle name="Normal 12 3 4 3 4 3" xfId="0"/>
    <cellStyle name="Normal 12 3 4 3 5" xfId="0"/>
    <cellStyle name="Normal 12 3 4 3 5 2" xfId="0"/>
    <cellStyle name="Normal 12 3 4 3 6" xfId="0"/>
    <cellStyle name="Normal 12 3 4 4" xfId="0"/>
    <cellStyle name="Normal 12 3 4 4 2" xfId="0"/>
    <cellStyle name="Normal 12 3 4 4 2 2" xfId="0"/>
    <cellStyle name="Normal 12 3 4 4 2 2 2" xfId="0"/>
    <cellStyle name="Normal 12 3 4 4 2 2 2 2" xfId="0"/>
    <cellStyle name="Normal 12 3 4 4 2 2 3" xfId="0"/>
    <cellStyle name="Normal 12 3 4 4 2 3" xfId="0"/>
    <cellStyle name="Normal 12 3 4 4 2 3 2" xfId="0"/>
    <cellStyle name="Normal 12 3 4 4 2 4" xfId="0"/>
    <cellStyle name="Normal 12 3 4 4 3" xfId="0"/>
    <cellStyle name="Normal 12 3 4 4 3 2" xfId="0"/>
    <cellStyle name="Normal 12 3 4 4 3 2 2" xfId="0"/>
    <cellStyle name="Normal 12 3 4 4 3 3" xfId="0"/>
    <cellStyle name="Normal 12 3 4 4 4" xfId="0"/>
    <cellStyle name="Normal 12 3 4 4 4 2" xfId="0"/>
    <cellStyle name="Normal 12 3 4 4 5" xfId="0"/>
    <cellStyle name="Normal 12 3 4 5" xfId="0"/>
    <cellStyle name="Normal 12 3 4 5 2" xfId="0"/>
    <cellStyle name="Normal 12 3 4 5 2 2" xfId="0"/>
    <cellStyle name="Normal 12 3 4 5 2 2 2" xfId="0"/>
    <cellStyle name="Normal 12 3 4 5 2 3" xfId="0"/>
    <cellStyle name="Normal 12 3 4 5 3" xfId="0"/>
    <cellStyle name="Normal 12 3 4 5 3 2" xfId="0"/>
    <cellStyle name="Normal 12 3 4 5 4" xfId="0"/>
    <cellStyle name="Normal 12 3 4 6" xfId="0"/>
    <cellStyle name="Normal 12 3 4 6 2" xfId="0"/>
    <cellStyle name="Normal 12 3 4 6 2 2" xfId="0"/>
    <cellStyle name="Normal 12 3 4 6 3" xfId="0"/>
    <cellStyle name="Normal 12 3 4 7" xfId="0"/>
    <cellStyle name="Normal 12 3 4 7 2" xfId="0"/>
    <cellStyle name="Normal 12 3 4 8" xfId="0"/>
    <cellStyle name="Normal 12 3 5" xfId="0"/>
    <cellStyle name="Normal 12 3 5 2" xfId="0"/>
    <cellStyle name="Normal 12 3 5 2 2" xfId="0"/>
    <cellStyle name="Normal 12 3 5 2 2 2" xfId="0"/>
    <cellStyle name="Normal 12 3 5 2 2 2 2" xfId="0"/>
    <cellStyle name="Normal 12 3 5 2 2 2 2 2" xfId="0"/>
    <cellStyle name="Normal 12 3 5 2 2 2 2 2 2" xfId="0"/>
    <cellStyle name="Normal 12 3 5 2 2 2 2 3" xfId="0"/>
    <cellStyle name="Normal 12 3 5 2 2 2 3" xfId="0"/>
    <cellStyle name="Normal 12 3 5 2 2 2 3 2" xfId="0"/>
    <cellStyle name="Normal 12 3 5 2 2 2 4" xfId="0"/>
    <cellStyle name="Normal 12 3 5 2 2 3" xfId="0"/>
    <cellStyle name="Normal 12 3 5 2 2 3 2" xfId="0"/>
    <cellStyle name="Normal 12 3 5 2 2 3 2 2" xfId="0"/>
    <cellStyle name="Normal 12 3 5 2 2 3 3" xfId="0"/>
    <cellStyle name="Normal 12 3 5 2 2 4" xfId="0"/>
    <cellStyle name="Normal 12 3 5 2 2 4 2" xfId="0"/>
    <cellStyle name="Normal 12 3 5 2 2 5" xfId="0"/>
    <cellStyle name="Normal 12 3 5 2 3" xfId="0"/>
    <cellStyle name="Normal 12 3 5 2 3 2" xfId="0"/>
    <cellStyle name="Normal 12 3 5 2 3 2 2" xfId="0"/>
    <cellStyle name="Normal 12 3 5 2 3 2 2 2" xfId="0"/>
    <cellStyle name="Normal 12 3 5 2 3 2 3" xfId="0"/>
    <cellStyle name="Normal 12 3 5 2 3 3" xfId="0"/>
    <cellStyle name="Normal 12 3 5 2 3 3 2" xfId="0"/>
    <cellStyle name="Normal 12 3 5 2 3 4" xfId="0"/>
    <cellStyle name="Normal 12 3 5 2 4" xfId="0"/>
    <cellStyle name="Normal 12 3 5 2 4 2" xfId="0"/>
    <cellStyle name="Normal 12 3 5 2 4 2 2" xfId="0"/>
    <cellStyle name="Normal 12 3 5 2 4 3" xfId="0"/>
    <cellStyle name="Normal 12 3 5 2 5" xfId="0"/>
    <cellStyle name="Normal 12 3 5 2 5 2" xfId="0"/>
    <cellStyle name="Normal 12 3 5 2 6" xfId="0"/>
    <cellStyle name="Normal 12 3 5 3" xfId="0"/>
    <cellStyle name="Normal 12 3 5 3 2" xfId="0"/>
    <cellStyle name="Normal 12 3 5 3 2 2" xfId="0"/>
    <cellStyle name="Normal 12 3 5 3 2 2 2" xfId="0"/>
    <cellStyle name="Normal 12 3 5 3 2 2 2 2" xfId="0"/>
    <cellStyle name="Normal 12 3 5 3 2 2 3" xfId="0"/>
    <cellStyle name="Normal 12 3 5 3 2 3" xfId="0"/>
    <cellStyle name="Normal 12 3 5 3 2 3 2" xfId="0"/>
    <cellStyle name="Normal 12 3 5 3 2 4" xfId="0"/>
    <cellStyle name="Normal 12 3 5 3 3" xfId="0"/>
    <cellStyle name="Normal 12 3 5 3 3 2" xfId="0"/>
    <cellStyle name="Normal 12 3 5 3 3 2 2" xfId="0"/>
    <cellStyle name="Normal 12 3 5 3 3 3" xfId="0"/>
    <cellStyle name="Normal 12 3 5 3 4" xfId="0"/>
    <cellStyle name="Normal 12 3 5 3 4 2" xfId="0"/>
    <cellStyle name="Normal 12 3 5 3 5" xfId="0"/>
    <cellStyle name="Normal 12 3 5 4" xfId="0"/>
    <cellStyle name="Normal 12 3 5 4 2" xfId="0"/>
    <cellStyle name="Normal 12 3 5 4 2 2" xfId="0"/>
    <cellStyle name="Normal 12 3 5 4 2 2 2" xfId="0"/>
    <cellStyle name="Normal 12 3 5 4 2 3" xfId="0"/>
    <cellStyle name="Normal 12 3 5 4 3" xfId="0"/>
    <cellStyle name="Normal 12 3 5 4 3 2" xfId="0"/>
    <cellStyle name="Normal 12 3 5 4 4" xfId="0"/>
    <cellStyle name="Normal 12 3 5 5" xfId="0"/>
    <cellStyle name="Normal 12 3 5 5 2" xfId="0"/>
    <cellStyle name="Normal 12 3 5 5 2 2" xfId="0"/>
    <cellStyle name="Normal 12 3 5 5 3" xfId="0"/>
    <cellStyle name="Normal 12 3 5 6" xfId="0"/>
    <cellStyle name="Normal 12 3 5 6 2" xfId="0"/>
    <cellStyle name="Normal 12 3 5 7" xfId="0"/>
    <cellStyle name="Normal 12 3 6" xfId="0"/>
    <cellStyle name="Normal 12 3 6 2" xfId="0"/>
    <cellStyle name="Normal 12 3 6 2 2" xfId="0"/>
    <cellStyle name="Normal 12 3 6 2 2 2" xfId="0"/>
    <cellStyle name="Normal 12 3 6 2 2 2 2" xfId="0"/>
    <cellStyle name="Normal 12 3 6 2 2 2 2 2" xfId="0"/>
    <cellStyle name="Normal 12 3 6 2 2 2 2 2 2" xfId="0"/>
    <cellStyle name="Normal 12 3 6 2 2 2 2 3" xfId="0"/>
    <cellStyle name="Normal 12 3 6 2 2 2 3" xfId="0"/>
    <cellStyle name="Normal 12 3 6 2 2 2 3 2" xfId="0"/>
    <cellStyle name="Normal 12 3 6 2 2 2 4" xfId="0"/>
    <cellStyle name="Normal 12 3 6 2 2 3" xfId="0"/>
    <cellStyle name="Normal 12 3 6 2 2 3 2" xfId="0"/>
    <cellStyle name="Normal 12 3 6 2 2 3 2 2" xfId="0"/>
    <cellStyle name="Normal 12 3 6 2 2 3 3" xfId="0"/>
    <cellStyle name="Normal 12 3 6 2 2 4" xfId="0"/>
    <cellStyle name="Normal 12 3 6 2 2 4 2" xfId="0"/>
    <cellStyle name="Normal 12 3 6 2 2 5" xfId="0"/>
    <cellStyle name="Normal 12 3 6 2 3" xfId="0"/>
    <cellStyle name="Normal 12 3 6 2 3 2" xfId="0"/>
    <cellStyle name="Normal 12 3 6 2 3 2 2" xfId="0"/>
    <cellStyle name="Normal 12 3 6 2 3 2 2 2" xfId="0"/>
    <cellStyle name="Normal 12 3 6 2 3 2 3" xfId="0"/>
    <cellStyle name="Normal 12 3 6 2 3 3" xfId="0"/>
    <cellStyle name="Normal 12 3 6 2 3 3 2" xfId="0"/>
    <cellStyle name="Normal 12 3 6 2 3 4" xfId="0"/>
    <cellStyle name="Normal 12 3 6 2 4" xfId="0"/>
    <cellStyle name="Normal 12 3 6 2 4 2" xfId="0"/>
    <cellStyle name="Normal 12 3 6 2 4 2 2" xfId="0"/>
    <cellStyle name="Normal 12 3 6 2 4 3" xfId="0"/>
    <cellStyle name="Normal 12 3 6 2 5" xfId="0"/>
    <cellStyle name="Normal 12 3 6 2 5 2" xfId="0"/>
    <cellStyle name="Normal 12 3 6 2 6" xfId="0"/>
    <cellStyle name="Normal 12 3 6 3" xfId="0"/>
    <cellStyle name="Normal 12 3 6 3 2" xfId="0"/>
    <cellStyle name="Normal 12 3 6 3 2 2" xfId="0"/>
    <cellStyle name="Normal 12 3 6 3 2 2 2" xfId="0"/>
    <cellStyle name="Normal 12 3 6 3 2 2 2 2" xfId="0"/>
    <cellStyle name="Normal 12 3 6 3 2 2 3" xfId="0"/>
    <cellStyle name="Normal 12 3 6 3 2 3" xfId="0"/>
    <cellStyle name="Normal 12 3 6 3 2 3 2" xfId="0"/>
    <cellStyle name="Normal 12 3 6 3 2 4" xfId="0"/>
    <cellStyle name="Normal 12 3 6 3 3" xfId="0"/>
    <cellStyle name="Normal 12 3 6 3 3 2" xfId="0"/>
    <cellStyle name="Normal 12 3 6 3 3 2 2" xfId="0"/>
    <cellStyle name="Normal 12 3 6 3 3 3" xfId="0"/>
    <cellStyle name="Normal 12 3 6 3 4" xfId="0"/>
    <cellStyle name="Normal 12 3 6 3 4 2" xfId="0"/>
    <cellStyle name="Normal 12 3 6 3 5" xfId="0"/>
    <cellStyle name="Normal 12 3 6 4" xfId="0"/>
    <cellStyle name="Normal 12 3 6 4 2" xfId="0"/>
    <cellStyle name="Normal 12 3 6 4 2 2" xfId="0"/>
    <cellStyle name="Normal 12 3 6 4 2 2 2" xfId="0"/>
    <cellStyle name="Normal 12 3 6 4 2 3" xfId="0"/>
    <cellStyle name="Normal 12 3 6 4 3" xfId="0"/>
    <cellStyle name="Normal 12 3 6 4 3 2" xfId="0"/>
    <cellStyle name="Normal 12 3 6 4 4" xfId="0"/>
    <cellStyle name="Normal 12 3 6 5" xfId="0"/>
    <cellStyle name="Normal 12 3 6 5 2" xfId="0"/>
    <cellStyle name="Normal 12 3 6 5 2 2" xfId="0"/>
    <cellStyle name="Normal 12 3 6 5 3" xfId="0"/>
    <cellStyle name="Normal 12 3 6 6" xfId="0"/>
    <cellStyle name="Normal 12 3 6 6 2" xfId="0"/>
    <cellStyle name="Normal 12 3 6 7" xfId="0"/>
    <cellStyle name="Normal 12 3 7" xfId="0"/>
    <cellStyle name="Normal 12 3 7 2" xfId="0"/>
    <cellStyle name="Normal 12 3 7 2 2" xfId="0"/>
    <cellStyle name="Normal 12 3 7 2 2 2" xfId="0"/>
    <cellStyle name="Normal 12 3 7 2 2 2 2" xfId="0"/>
    <cellStyle name="Normal 12 3 7 2 2 2 2 2" xfId="0"/>
    <cellStyle name="Normal 12 3 7 2 2 2 3" xfId="0"/>
    <cellStyle name="Normal 12 3 7 2 2 3" xfId="0"/>
    <cellStyle name="Normal 12 3 7 2 2 3 2" xfId="0"/>
    <cellStyle name="Normal 12 3 7 2 2 4" xfId="0"/>
    <cellStyle name="Normal 12 3 7 2 3" xfId="0"/>
    <cellStyle name="Normal 12 3 7 2 3 2" xfId="0"/>
    <cellStyle name="Normal 12 3 7 2 3 2 2" xfId="0"/>
    <cellStyle name="Normal 12 3 7 2 3 3" xfId="0"/>
    <cellStyle name="Normal 12 3 7 2 4" xfId="0"/>
    <cellStyle name="Normal 12 3 7 2 4 2" xfId="0"/>
    <cellStyle name="Normal 12 3 7 2 5" xfId="0"/>
    <cellStyle name="Normal 12 3 7 3" xfId="0"/>
    <cellStyle name="Normal 12 3 7 3 2" xfId="0"/>
    <cellStyle name="Normal 12 3 7 3 2 2" xfId="0"/>
    <cellStyle name="Normal 12 3 7 3 2 2 2" xfId="0"/>
    <cellStyle name="Normal 12 3 7 3 2 3" xfId="0"/>
    <cellStyle name="Normal 12 3 7 3 3" xfId="0"/>
    <cellStyle name="Normal 12 3 7 3 3 2" xfId="0"/>
    <cellStyle name="Normal 12 3 7 3 4" xfId="0"/>
    <cellStyle name="Normal 12 3 7 4" xfId="0"/>
    <cellStyle name="Normal 12 3 7 4 2" xfId="0"/>
    <cellStyle name="Normal 12 3 7 4 2 2" xfId="0"/>
    <cellStyle name="Normal 12 3 7 4 3" xfId="0"/>
    <cellStyle name="Normal 12 3 7 5" xfId="0"/>
    <cellStyle name="Normal 12 3 7 5 2" xfId="0"/>
    <cellStyle name="Normal 12 3 7 6" xfId="0"/>
    <cellStyle name="Normal 12 3 8" xfId="0"/>
    <cellStyle name="Normal 12 3 8 2" xfId="0"/>
    <cellStyle name="Normal 12 3 8 2 2" xfId="0"/>
    <cellStyle name="Normal 12 3 8 2 2 2" xfId="0"/>
    <cellStyle name="Normal 12 3 8 2 2 2 2" xfId="0"/>
    <cellStyle name="Normal 12 3 8 2 2 3" xfId="0"/>
    <cellStyle name="Normal 12 3 8 2 3" xfId="0"/>
    <cellStyle name="Normal 12 3 8 2 3 2" xfId="0"/>
    <cellStyle name="Normal 12 3 8 2 4" xfId="0"/>
    <cellStyle name="Normal 12 3 8 3" xfId="0"/>
    <cellStyle name="Normal 12 3 8 3 2" xfId="0"/>
    <cellStyle name="Normal 12 3 8 3 2 2" xfId="0"/>
    <cellStyle name="Normal 12 3 8 3 3" xfId="0"/>
    <cellStyle name="Normal 12 3 8 4" xfId="0"/>
    <cellStyle name="Normal 12 3 8 4 2" xfId="0"/>
    <cellStyle name="Normal 12 3 8 5" xfId="0"/>
    <cellStyle name="Normal 12 3 9" xfId="0"/>
    <cellStyle name="Normal 12 3 9 2" xfId="0"/>
    <cellStyle name="Normal 12 3 9 2 2" xfId="0"/>
    <cellStyle name="Normal 12 3 9 2 2 2" xfId="0"/>
    <cellStyle name="Normal 12 3 9 2 3" xfId="0"/>
    <cellStyle name="Normal 12 3 9 3" xfId="0"/>
    <cellStyle name="Normal 12 3 9 3 2" xfId="0"/>
    <cellStyle name="Normal 12 3 9 4" xfId="0"/>
    <cellStyle name="Normal 12 4" xfId="0"/>
    <cellStyle name="Normal 12 4 10" xfId="0"/>
    <cellStyle name="Normal 12 4 10 2" xfId="0"/>
    <cellStyle name="Normal 12 4 10 2 2" xfId="0"/>
    <cellStyle name="Normal 12 4 10 3" xfId="0"/>
    <cellStyle name="Normal 12 4 11" xfId="0"/>
    <cellStyle name="Normal 12 4 11 2" xfId="0"/>
    <cellStyle name="Normal 12 4 12" xfId="0"/>
    <cellStyle name="Normal 12 4 2" xfId="0"/>
    <cellStyle name="Normal 12 4 2 10" xfId="0"/>
    <cellStyle name="Normal 12 4 2 10 2" xfId="0"/>
    <cellStyle name="Normal 12 4 2 11" xfId="0"/>
    <cellStyle name="Normal 12 4 2 2" xfId="0"/>
    <cellStyle name="Normal 12 4 2 2 2" xfId="0"/>
    <cellStyle name="Normal 12 4 2 2 2 2" xfId="0"/>
    <cellStyle name="Normal 12 4 2 2 2 2 2" xfId="0"/>
    <cellStyle name="Normal 12 4 2 2 2 2 2 2" xfId="0"/>
    <cellStyle name="Normal 12 4 2 2 2 2 2 2 2" xfId="0"/>
    <cellStyle name="Normal 12 4 2 2 2 2 2 2 2 2" xfId="0"/>
    <cellStyle name="Normal 12 4 2 2 2 2 2 2 2 2 2" xfId="0"/>
    <cellStyle name="Normal 12 4 2 2 2 2 2 2 2 3" xfId="0"/>
    <cellStyle name="Normal 12 4 2 2 2 2 2 2 3" xfId="0"/>
    <cellStyle name="Normal 12 4 2 2 2 2 2 2 3 2" xfId="0"/>
    <cellStyle name="Normal 12 4 2 2 2 2 2 2 4" xfId="0"/>
    <cellStyle name="Normal 12 4 2 2 2 2 2 3" xfId="0"/>
    <cellStyle name="Normal 12 4 2 2 2 2 2 3 2" xfId="0"/>
    <cellStyle name="Normal 12 4 2 2 2 2 2 3 2 2" xfId="0"/>
    <cellStyle name="Normal 12 4 2 2 2 2 2 3 3" xfId="0"/>
    <cellStyle name="Normal 12 4 2 2 2 2 2 4" xfId="0"/>
    <cellStyle name="Normal 12 4 2 2 2 2 2 4 2" xfId="0"/>
    <cellStyle name="Normal 12 4 2 2 2 2 2 5" xfId="0"/>
    <cellStyle name="Normal 12 4 2 2 2 2 3" xfId="0"/>
    <cellStyle name="Normal 12 4 2 2 2 2 3 2" xfId="0"/>
    <cellStyle name="Normal 12 4 2 2 2 2 3 2 2" xfId="0"/>
    <cellStyle name="Normal 12 4 2 2 2 2 3 2 2 2" xfId="0"/>
    <cellStyle name="Normal 12 4 2 2 2 2 3 2 3" xfId="0"/>
    <cellStyle name="Normal 12 4 2 2 2 2 3 3" xfId="0"/>
    <cellStyle name="Normal 12 4 2 2 2 2 3 3 2" xfId="0"/>
    <cellStyle name="Normal 12 4 2 2 2 2 3 4" xfId="0"/>
    <cellStyle name="Normal 12 4 2 2 2 2 4" xfId="0"/>
    <cellStyle name="Normal 12 4 2 2 2 2 4 2" xfId="0"/>
    <cellStyle name="Normal 12 4 2 2 2 2 4 2 2" xfId="0"/>
    <cellStyle name="Normal 12 4 2 2 2 2 4 3" xfId="0"/>
    <cellStyle name="Normal 12 4 2 2 2 2 5" xfId="0"/>
    <cellStyle name="Normal 12 4 2 2 2 2 5 2" xfId="0"/>
    <cellStyle name="Normal 12 4 2 2 2 2 6" xfId="0"/>
    <cellStyle name="Normal 12 4 2 2 2 3" xfId="0"/>
    <cellStyle name="Normal 12 4 2 2 2 3 2" xfId="0"/>
    <cellStyle name="Normal 12 4 2 2 2 3 2 2" xfId="0"/>
    <cellStyle name="Normal 12 4 2 2 2 3 2 2 2" xfId="0"/>
    <cellStyle name="Normal 12 4 2 2 2 3 2 2 2 2" xfId="0"/>
    <cellStyle name="Normal 12 4 2 2 2 3 2 2 3" xfId="0"/>
    <cellStyle name="Normal 12 4 2 2 2 3 2 3" xfId="0"/>
    <cellStyle name="Normal 12 4 2 2 2 3 2 3 2" xfId="0"/>
    <cellStyle name="Normal 12 4 2 2 2 3 2 4" xfId="0"/>
    <cellStyle name="Normal 12 4 2 2 2 3 3" xfId="0"/>
    <cellStyle name="Normal 12 4 2 2 2 3 3 2" xfId="0"/>
    <cellStyle name="Normal 12 4 2 2 2 3 3 2 2" xfId="0"/>
    <cellStyle name="Normal 12 4 2 2 2 3 3 3" xfId="0"/>
    <cellStyle name="Normal 12 4 2 2 2 3 4" xfId="0"/>
    <cellStyle name="Normal 12 4 2 2 2 3 4 2" xfId="0"/>
    <cellStyle name="Normal 12 4 2 2 2 3 5" xfId="0"/>
    <cellStyle name="Normal 12 4 2 2 2 4" xfId="0"/>
    <cellStyle name="Normal 12 4 2 2 2 4 2" xfId="0"/>
    <cellStyle name="Normal 12 4 2 2 2 4 2 2" xfId="0"/>
    <cellStyle name="Normal 12 4 2 2 2 4 2 2 2" xfId="0"/>
    <cellStyle name="Normal 12 4 2 2 2 4 2 3" xfId="0"/>
    <cellStyle name="Normal 12 4 2 2 2 4 3" xfId="0"/>
    <cellStyle name="Normal 12 4 2 2 2 4 3 2" xfId="0"/>
    <cellStyle name="Normal 12 4 2 2 2 4 4" xfId="0"/>
    <cellStyle name="Normal 12 4 2 2 2 5" xfId="0"/>
    <cellStyle name="Normal 12 4 2 2 2 5 2" xfId="0"/>
    <cellStyle name="Normal 12 4 2 2 2 5 2 2" xfId="0"/>
    <cellStyle name="Normal 12 4 2 2 2 5 3" xfId="0"/>
    <cellStyle name="Normal 12 4 2 2 2 6" xfId="0"/>
    <cellStyle name="Normal 12 4 2 2 2 6 2" xfId="0"/>
    <cellStyle name="Normal 12 4 2 2 2 7" xfId="0"/>
    <cellStyle name="Normal 12 4 2 2 3" xfId="0"/>
    <cellStyle name="Normal 12 4 2 2 3 2" xfId="0"/>
    <cellStyle name="Normal 12 4 2 2 3 2 2" xfId="0"/>
    <cellStyle name="Normal 12 4 2 2 3 2 2 2" xfId="0"/>
    <cellStyle name="Normal 12 4 2 2 3 2 2 2 2" xfId="0"/>
    <cellStyle name="Normal 12 4 2 2 3 2 2 2 2 2" xfId="0"/>
    <cellStyle name="Normal 12 4 2 2 3 2 2 2 3" xfId="0"/>
    <cellStyle name="Normal 12 4 2 2 3 2 2 3" xfId="0"/>
    <cellStyle name="Normal 12 4 2 2 3 2 2 3 2" xfId="0"/>
    <cellStyle name="Normal 12 4 2 2 3 2 2 4" xfId="0"/>
    <cellStyle name="Normal 12 4 2 2 3 2 3" xfId="0"/>
    <cellStyle name="Normal 12 4 2 2 3 2 3 2" xfId="0"/>
    <cellStyle name="Normal 12 4 2 2 3 2 3 2 2" xfId="0"/>
    <cellStyle name="Normal 12 4 2 2 3 2 3 3" xfId="0"/>
    <cellStyle name="Normal 12 4 2 2 3 2 4" xfId="0"/>
    <cellStyle name="Normal 12 4 2 2 3 2 4 2" xfId="0"/>
    <cellStyle name="Normal 12 4 2 2 3 2 5" xfId="0"/>
    <cellStyle name="Normal 12 4 2 2 3 3" xfId="0"/>
    <cellStyle name="Normal 12 4 2 2 3 3 2" xfId="0"/>
    <cellStyle name="Normal 12 4 2 2 3 3 2 2" xfId="0"/>
    <cellStyle name="Normal 12 4 2 2 3 3 2 2 2" xfId="0"/>
    <cellStyle name="Normal 12 4 2 2 3 3 2 3" xfId="0"/>
    <cellStyle name="Normal 12 4 2 2 3 3 3" xfId="0"/>
    <cellStyle name="Normal 12 4 2 2 3 3 3 2" xfId="0"/>
    <cellStyle name="Normal 12 4 2 2 3 3 4" xfId="0"/>
    <cellStyle name="Normal 12 4 2 2 3 4" xfId="0"/>
    <cellStyle name="Normal 12 4 2 2 3 4 2" xfId="0"/>
    <cellStyle name="Normal 12 4 2 2 3 4 2 2" xfId="0"/>
    <cellStyle name="Normal 12 4 2 2 3 4 3" xfId="0"/>
    <cellStyle name="Normal 12 4 2 2 3 5" xfId="0"/>
    <cellStyle name="Normal 12 4 2 2 3 5 2" xfId="0"/>
    <cellStyle name="Normal 12 4 2 2 3 6" xfId="0"/>
    <cellStyle name="Normal 12 4 2 2 4" xfId="0"/>
    <cellStyle name="Normal 12 4 2 2 4 2" xfId="0"/>
    <cellStyle name="Normal 12 4 2 2 4 2 2" xfId="0"/>
    <cellStyle name="Normal 12 4 2 2 4 2 2 2" xfId="0"/>
    <cellStyle name="Normal 12 4 2 2 4 2 2 2 2" xfId="0"/>
    <cellStyle name="Normal 12 4 2 2 4 2 2 3" xfId="0"/>
    <cellStyle name="Normal 12 4 2 2 4 2 3" xfId="0"/>
    <cellStyle name="Normal 12 4 2 2 4 2 3 2" xfId="0"/>
    <cellStyle name="Normal 12 4 2 2 4 2 4" xfId="0"/>
    <cellStyle name="Normal 12 4 2 2 4 3" xfId="0"/>
    <cellStyle name="Normal 12 4 2 2 4 3 2" xfId="0"/>
    <cellStyle name="Normal 12 4 2 2 4 3 2 2" xfId="0"/>
    <cellStyle name="Normal 12 4 2 2 4 3 3" xfId="0"/>
    <cellStyle name="Normal 12 4 2 2 4 4" xfId="0"/>
    <cellStyle name="Normal 12 4 2 2 4 4 2" xfId="0"/>
    <cellStyle name="Normal 12 4 2 2 4 5" xfId="0"/>
    <cellStyle name="Normal 12 4 2 2 5" xfId="0"/>
    <cellStyle name="Normal 12 4 2 2 5 2" xfId="0"/>
    <cellStyle name="Normal 12 4 2 2 5 2 2" xfId="0"/>
    <cellStyle name="Normal 12 4 2 2 5 2 2 2" xfId="0"/>
    <cellStyle name="Normal 12 4 2 2 5 2 3" xfId="0"/>
    <cellStyle name="Normal 12 4 2 2 5 3" xfId="0"/>
    <cellStyle name="Normal 12 4 2 2 5 3 2" xfId="0"/>
    <cellStyle name="Normal 12 4 2 2 5 4" xfId="0"/>
    <cellStyle name="Normal 12 4 2 2 6" xfId="0"/>
    <cellStyle name="Normal 12 4 2 2 6 2" xfId="0"/>
    <cellStyle name="Normal 12 4 2 2 6 2 2" xfId="0"/>
    <cellStyle name="Normal 12 4 2 2 6 3" xfId="0"/>
    <cellStyle name="Normal 12 4 2 2 7" xfId="0"/>
    <cellStyle name="Normal 12 4 2 2 7 2" xfId="0"/>
    <cellStyle name="Normal 12 4 2 2 8" xfId="0"/>
    <cellStyle name="Normal 12 4 2 3" xfId="0"/>
    <cellStyle name="Normal 12 4 2 3 2" xfId="0"/>
    <cellStyle name="Normal 12 4 2 3 2 2" xfId="0"/>
    <cellStyle name="Normal 12 4 2 3 2 2 2" xfId="0"/>
    <cellStyle name="Normal 12 4 2 3 2 2 2 2" xfId="0"/>
    <cellStyle name="Normal 12 4 2 3 2 2 2 2 2" xfId="0"/>
    <cellStyle name="Normal 12 4 2 3 2 2 2 2 2 2" xfId="0"/>
    <cellStyle name="Normal 12 4 2 3 2 2 2 2 2 2 2" xfId="0"/>
    <cellStyle name="Normal 12 4 2 3 2 2 2 2 2 3" xfId="0"/>
    <cellStyle name="Normal 12 4 2 3 2 2 2 2 3" xfId="0"/>
    <cellStyle name="Normal 12 4 2 3 2 2 2 2 3 2" xfId="0"/>
    <cellStyle name="Normal 12 4 2 3 2 2 2 2 4" xfId="0"/>
    <cellStyle name="Normal 12 4 2 3 2 2 2 3" xfId="0"/>
    <cellStyle name="Normal 12 4 2 3 2 2 2 3 2" xfId="0"/>
    <cellStyle name="Normal 12 4 2 3 2 2 2 3 2 2" xfId="0"/>
    <cellStyle name="Normal 12 4 2 3 2 2 2 3 3" xfId="0"/>
    <cellStyle name="Normal 12 4 2 3 2 2 2 4" xfId="0"/>
    <cellStyle name="Normal 12 4 2 3 2 2 2 4 2" xfId="0"/>
    <cellStyle name="Normal 12 4 2 3 2 2 2 5" xfId="0"/>
    <cellStyle name="Normal 12 4 2 3 2 2 3" xfId="0"/>
    <cellStyle name="Normal 12 4 2 3 2 2 3 2" xfId="0"/>
    <cellStyle name="Normal 12 4 2 3 2 2 3 2 2" xfId="0"/>
    <cellStyle name="Normal 12 4 2 3 2 2 3 2 2 2" xfId="0"/>
    <cellStyle name="Normal 12 4 2 3 2 2 3 2 3" xfId="0"/>
    <cellStyle name="Normal 12 4 2 3 2 2 3 3" xfId="0"/>
    <cellStyle name="Normal 12 4 2 3 2 2 3 3 2" xfId="0"/>
    <cellStyle name="Normal 12 4 2 3 2 2 3 4" xfId="0"/>
    <cellStyle name="Normal 12 4 2 3 2 2 4" xfId="0"/>
    <cellStyle name="Normal 12 4 2 3 2 2 4 2" xfId="0"/>
    <cellStyle name="Normal 12 4 2 3 2 2 4 2 2" xfId="0"/>
    <cellStyle name="Normal 12 4 2 3 2 2 4 3" xfId="0"/>
    <cellStyle name="Normal 12 4 2 3 2 2 5" xfId="0"/>
    <cellStyle name="Normal 12 4 2 3 2 2 5 2" xfId="0"/>
    <cellStyle name="Normal 12 4 2 3 2 2 6" xfId="0"/>
    <cellStyle name="Normal 12 4 2 3 2 3" xfId="0"/>
    <cellStyle name="Normal 12 4 2 3 2 3 2" xfId="0"/>
    <cellStyle name="Normal 12 4 2 3 2 3 2 2" xfId="0"/>
    <cellStyle name="Normal 12 4 2 3 2 3 2 2 2" xfId="0"/>
    <cellStyle name="Normal 12 4 2 3 2 3 2 2 2 2" xfId="0"/>
    <cellStyle name="Normal 12 4 2 3 2 3 2 2 3" xfId="0"/>
    <cellStyle name="Normal 12 4 2 3 2 3 2 3" xfId="0"/>
    <cellStyle name="Normal 12 4 2 3 2 3 2 3 2" xfId="0"/>
    <cellStyle name="Normal 12 4 2 3 2 3 2 4" xfId="0"/>
    <cellStyle name="Normal 12 4 2 3 2 3 3" xfId="0"/>
    <cellStyle name="Normal 12 4 2 3 2 3 3 2" xfId="0"/>
    <cellStyle name="Normal 12 4 2 3 2 3 3 2 2" xfId="0"/>
    <cellStyle name="Normal 12 4 2 3 2 3 3 3" xfId="0"/>
    <cellStyle name="Normal 12 4 2 3 2 3 4" xfId="0"/>
    <cellStyle name="Normal 12 4 2 3 2 3 4 2" xfId="0"/>
    <cellStyle name="Normal 12 4 2 3 2 3 5" xfId="0"/>
    <cellStyle name="Normal 12 4 2 3 2 4" xfId="0"/>
    <cellStyle name="Normal 12 4 2 3 2 4 2" xfId="0"/>
    <cellStyle name="Normal 12 4 2 3 2 4 2 2" xfId="0"/>
    <cellStyle name="Normal 12 4 2 3 2 4 2 2 2" xfId="0"/>
    <cellStyle name="Normal 12 4 2 3 2 4 2 3" xfId="0"/>
    <cellStyle name="Normal 12 4 2 3 2 4 3" xfId="0"/>
    <cellStyle name="Normal 12 4 2 3 2 4 3 2" xfId="0"/>
    <cellStyle name="Normal 12 4 2 3 2 4 4" xfId="0"/>
    <cellStyle name="Normal 12 4 2 3 2 5" xfId="0"/>
    <cellStyle name="Normal 12 4 2 3 2 5 2" xfId="0"/>
    <cellStyle name="Normal 12 4 2 3 2 5 2 2" xfId="0"/>
    <cellStyle name="Normal 12 4 2 3 2 5 3" xfId="0"/>
    <cellStyle name="Normal 12 4 2 3 2 6" xfId="0"/>
    <cellStyle name="Normal 12 4 2 3 2 6 2" xfId="0"/>
    <cellStyle name="Normal 12 4 2 3 2 7" xfId="0"/>
    <cellStyle name="Normal 12 4 2 3 3" xfId="0"/>
    <cellStyle name="Normal 12 4 2 3 3 2" xfId="0"/>
    <cellStyle name="Normal 12 4 2 3 3 2 2" xfId="0"/>
    <cellStyle name="Normal 12 4 2 3 3 2 2 2" xfId="0"/>
    <cellStyle name="Normal 12 4 2 3 3 2 2 2 2" xfId="0"/>
    <cellStyle name="Normal 12 4 2 3 3 2 2 2 2 2" xfId="0"/>
    <cellStyle name="Normal 12 4 2 3 3 2 2 2 3" xfId="0"/>
    <cellStyle name="Normal 12 4 2 3 3 2 2 3" xfId="0"/>
    <cellStyle name="Normal 12 4 2 3 3 2 2 3 2" xfId="0"/>
    <cellStyle name="Normal 12 4 2 3 3 2 2 4" xfId="0"/>
    <cellStyle name="Normal 12 4 2 3 3 2 3" xfId="0"/>
    <cellStyle name="Normal 12 4 2 3 3 2 3 2" xfId="0"/>
    <cellStyle name="Normal 12 4 2 3 3 2 3 2 2" xfId="0"/>
    <cellStyle name="Normal 12 4 2 3 3 2 3 3" xfId="0"/>
    <cellStyle name="Normal 12 4 2 3 3 2 4" xfId="0"/>
    <cellStyle name="Normal 12 4 2 3 3 2 4 2" xfId="0"/>
    <cellStyle name="Normal 12 4 2 3 3 2 5" xfId="0"/>
    <cellStyle name="Normal 12 4 2 3 3 3" xfId="0"/>
    <cellStyle name="Normal 12 4 2 3 3 3 2" xfId="0"/>
    <cellStyle name="Normal 12 4 2 3 3 3 2 2" xfId="0"/>
    <cellStyle name="Normal 12 4 2 3 3 3 2 2 2" xfId="0"/>
    <cellStyle name="Normal 12 4 2 3 3 3 2 3" xfId="0"/>
    <cellStyle name="Normal 12 4 2 3 3 3 3" xfId="0"/>
    <cellStyle name="Normal 12 4 2 3 3 3 3 2" xfId="0"/>
    <cellStyle name="Normal 12 4 2 3 3 3 4" xfId="0"/>
    <cellStyle name="Normal 12 4 2 3 3 4" xfId="0"/>
    <cellStyle name="Normal 12 4 2 3 3 4 2" xfId="0"/>
    <cellStyle name="Normal 12 4 2 3 3 4 2 2" xfId="0"/>
    <cellStyle name="Normal 12 4 2 3 3 4 3" xfId="0"/>
    <cellStyle name="Normal 12 4 2 3 3 5" xfId="0"/>
    <cellStyle name="Normal 12 4 2 3 3 5 2" xfId="0"/>
    <cellStyle name="Normal 12 4 2 3 3 6" xfId="0"/>
    <cellStyle name="Normal 12 4 2 3 4" xfId="0"/>
    <cellStyle name="Normal 12 4 2 3 4 2" xfId="0"/>
    <cellStyle name="Normal 12 4 2 3 4 2 2" xfId="0"/>
    <cellStyle name="Normal 12 4 2 3 4 2 2 2" xfId="0"/>
    <cellStyle name="Normal 12 4 2 3 4 2 2 2 2" xfId="0"/>
    <cellStyle name="Normal 12 4 2 3 4 2 2 3" xfId="0"/>
    <cellStyle name="Normal 12 4 2 3 4 2 3" xfId="0"/>
    <cellStyle name="Normal 12 4 2 3 4 2 3 2" xfId="0"/>
    <cellStyle name="Normal 12 4 2 3 4 2 4" xfId="0"/>
    <cellStyle name="Normal 12 4 2 3 4 3" xfId="0"/>
    <cellStyle name="Normal 12 4 2 3 4 3 2" xfId="0"/>
    <cellStyle name="Normal 12 4 2 3 4 3 2 2" xfId="0"/>
    <cellStyle name="Normal 12 4 2 3 4 3 3" xfId="0"/>
    <cellStyle name="Normal 12 4 2 3 4 4" xfId="0"/>
    <cellStyle name="Normal 12 4 2 3 4 4 2" xfId="0"/>
    <cellStyle name="Normal 12 4 2 3 4 5" xfId="0"/>
    <cellStyle name="Normal 12 4 2 3 5" xfId="0"/>
    <cellStyle name="Normal 12 4 2 3 5 2" xfId="0"/>
    <cellStyle name="Normal 12 4 2 3 5 2 2" xfId="0"/>
    <cellStyle name="Normal 12 4 2 3 5 2 2 2" xfId="0"/>
    <cellStyle name="Normal 12 4 2 3 5 2 3" xfId="0"/>
    <cellStyle name="Normal 12 4 2 3 5 3" xfId="0"/>
    <cellStyle name="Normal 12 4 2 3 5 3 2" xfId="0"/>
    <cellStyle name="Normal 12 4 2 3 5 4" xfId="0"/>
    <cellStyle name="Normal 12 4 2 3 6" xfId="0"/>
    <cellStyle name="Normal 12 4 2 3 6 2" xfId="0"/>
    <cellStyle name="Normal 12 4 2 3 6 2 2" xfId="0"/>
    <cellStyle name="Normal 12 4 2 3 6 3" xfId="0"/>
    <cellStyle name="Normal 12 4 2 3 7" xfId="0"/>
    <cellStyle name="Normal 12 4 2 3 7 2" xfId="0"/>
    <cellStyle name="Normal 12 4 2 3 8" xfId="0"/>
    <cellStyle name="Normal 12 4 2 4" xfId="0"/>
    <cellStyle name="Normal 12 4 2 4 2" xfId="0"/>
    <cellStyle name="Normal 12 4 2 4 2 2" xfId="0"/>
    <cellStyle name="Normal 12 4 2 4 2 2 2" xfId="0"/>
    <cellStyle name="Normal 12 4 2 4 2 2 2 2" xfId="0"/>
    <cellStyle name="Normal 12 4 2 4 2 2 2 2 2" xfId="0"/>
    <cellStyle name="Normal 12 4 2 4 2 2 2 2 2 2" xfId="0"/>
    <cellStyle name="Normal 12 4 2 4 2 2 2 2 3" xfId="0"/>
    <cellStyle name="Normal 12 4 2 4 2 2 2 3" xfId="0"/>
    <cellStyle name="Normal 12 4 2 4 2 2 2 3 2" xfId="0"/>
    <cellStyle name="Normal 12 4 2 4 2 2 2 4" xfId="0"/>
    <cellStyle name="Normal 12 4 2 4 2 2 3" xfId="0"/>
    <cellStyle name="Normal 12 4 2 4 2 2 3 2" xfId="0"/>
    <cellStyle name="Normal 12 4 2 4 2 2 3 2 2" xfId="0"/>
    <cellStyle name="Normal 12 4 2 4 2 2 3 3" xfId="0"/>
    <cellStyle name="Normal 12 4 2 4 2 2 4" xfId="0"/>
    <cellStyle name="Normal 12 4 2 4 2 2 4 2" xfId="0"/>
    <cellStyle name="Normal 12 4 2 4 2 2 5" xfId="0"/>
    <cellStyle name="Normal 12 4 2 4 2 3" xfId="0"/>
    <cellStyle name="Normal 12 4 2 4 2 3 2" xfId="0"/>
    <cellStyle name="Normal 12 4 2 4 2 3 2 2" xfId="0"/>
    <cellStyle name="Normal 12 4 2 4 2 3 2 2 2" xfId="0"/>
    <cellStyle name="Normal 12 4 2 4 2 3 2 3" xfId="0"/>
    <cellStyle name="Normal 12 4 2 4 2 3 3" xfId="0"/>
    <cellStyle name="Normal 12 4 2 4 2 3 3 2" xfId="0"/>
    <cellStyle name="Normal 12 4 2 4 2 3 4" xfId="0"/>
    <cellStyle name="Normal 12 4 2 4 2 4" xfId="0"/>
    <cellStyle name="Normal 12 4 2 4 2 4 2" xfId="0"/>
    <cellStyle name="Normal 12 4 2 4 2 4 2 2" xfId="0"/>
    <cellStyle name="Normal 12 4 2 4 2 4 3" xfId="0"/>
    <cellStyle name="Normal 12 4 2 4 2 5" xfId="0"/>
    <cellStyle name="Normal 12 4 2 4 2 5 2" xfId="0"/>
    <cellStyle name="Normal 12 4 2 4 2 6" xfId="0"/>
    <cellStyle name="Normal 12 4 2 4 3" xfId="0"/>
    <cellStyle name="Normal 12 4 2 4 3 2" xfId="0"/>
    <cellStyle name="Normal 12 4 2 4 3 2 2" xfId="0"/>
    <cellStyle name="Normal 12 4 2 4 3 2 2 2" xfId="0"/>
    <cellStyle name="Normal 12 4 2 4 3 2 2 2 2" xfId="0"/>
    <cellStyle name="Normal 12 4 2 4 3 2 2 3" xfId="0"/>
    <cellStyle name="Normal 12 4 2 4 3 2 3" xfId="0"/>
    <cellStyle name="Normal 12 4 2 4 3 2 3 2" xfId="0"/>
    <cellStyle name="Normal 12 4 2 4 3 2 4" xfId="0"/>
    <cellStyle name="Normal 12 4 2 4 3 3" xfId="0"/>
    <cellStyle name="Normal 12 4 2 4 3 3 2" xfId="0"/>
    <cellStyle name="Normal 12 4 2 4 3 3 2 2" xfId="0"/>
    <cellStyle name="Normal 12 4 2 4 3 3 3" xfId="0"/>
    <cellStyle name="Normal 12 4 2 4 3 4" xfId="0"/>
    <cellStyle name="Normal 12 4 2 4 3 4 2" xfId="0"/>
    <cellStyle name="Normal 12 4 2 4 3 5" xfId="0"/>
    <cellStyle name="Normal 12 4 2 4 4" xfId="0"/>
    <cellStyle name="Normal 12 4 2 4 4 2" xfId="0"/>
    <cellStyle name="Normal 12 4 2 4 4 2 2" xfId="0"/>
    <cellStyle name="Normal 12 4 2 4 4 2 2 2" xfId="0"/>
    <cellStyle name="Normal 12 4 2 4 4 2 3" xfId="0"/>
    <cellStyle name="Normal 12 4 2 4 4 3" xfId="0"/>
    <cellStyle name="Normal 12 4 2 4 4 3 2" xfId="0"/>
    <cellStyle name="Normal 12 4 2 4 4 4" xfId="0"/>
    <cellStyle name="Normal 12 4 2 4 5" xfId="0"/>
    <cellStyle name="Normal 12 4 2 4 5 2" xfId="0"/>
    <cellStyle name="Normal 12 4 2 4 5 2 2" xfId="0"/>
    <cellStyle name="Normal 12 4 2 4 5 3" xfId="0"/>
    <cellStyle name="Normal 12 4 2 4 6" xfId="0"/>
    <cellStyle name="Normal 12 4 2 4 6 2" xfId="0"/>
    <cellStyle name="Normal 12 4 2 4 7" xfId="0"/>
    <cellStyle name="Normal 12 4 2 5" xfId="0"/>
    <cellStyle name="Normal 12 4 2 5 2" xfId="0"/>
    <cellStyle name="Normal 12 4 2 5 2 2" xfId="0"/>
    <cellStyle name="Normal 12 4 2 5 2 2 2" xfId="0"/>
    <cellStyle name="Normal 12 4 2 5 2 2 2 2" xfId="0"/>
    <cellStyle name="Normal 12 4 2 5 2 2 2 2 2" xfId="0"/>
    <cellStyle name="Normal 12 4 2 5 2 2 2 2 2 2" xfId="0"/>
    <cellStyle name="Normal 12 4 2 5 2 2 2 2 3" xfId="0"/>
    <cellStyle name="Normal 12 4 2 5 2 2 2 3" xfId="0"/>
    <cellStyle name="Normal 12 4 2 5 2 2 2 3 2" xfId="0"/>
    <cellStyle name="Normal 12 4 2 5 2 2 2 4" xfId="0"/>
    <cellStyle name="Normal 12 4 2 5 2 2 3" xfId="0"/>
    <cellStyle name="Normal 12 4 2 5 2 2 3 2" xfId="0"/>
    <cellStyle name="Normal 12 4 2 5 2 2 3 2 2" xfId="0"/>
    <cellStyle name="Normal 12 4 2 5 2 2 3 3" xfId="0"/>
    <cellStyle name="Normal 12 4 2 5 2 2 4" xfId="0"/>
    <cellStyle name="Normal 12 4 2 5 2 2 4 2" xfId="0"/>
    <cellStyle name="Normal 12 4 2 5 2 2 5" xfId="0"/>
    <cellStyle name="Normal 12 4 2 5 2 3" xfId="0"/>
    <cellStyle name="Normal 12 4 2 5 2 3 2" xfId="0"/>
    <cellStyle name="Normal 12 4 2 5 2 3 2 2" xfId="0"/>
    <cellStyle name="Normal 12 4 2 5 2 3 2 2 2" xfId="0"/>
    <cellStyle name="Normal 12 4 2 5 2 3 2 3" xfId="0"/>
    <cellStyle name="Normal 12 4 2 5 2 3 3" xfId="0"/>
    <cellStyle name="Normal 12 4 2 5 2 3 3 2" xfId="0"/>
    <cellStyle name="Normal 12 4 2 5 2 3 4" xfId="0"/>
    <cellStyle name="Normal 12 4 2 5 2 4" xfId="0"/>
    <cellStyle name="Normal 12 4 2 5 2 4 2" xfId="0"/>
    <cellStyle name="Normal 12 4 2 5 2 4 2 2" xfId="0"/>
    <cellStyle name="Normal 12 4 2 5 2 4 3" xfId="0"/>
    <cellStyle name="Normal 12 4 2 5 2 5" xfId="0"/>
    <cellStyle name="Normal 12 4 2 5 2 5 2" xfId="0"/>
    <cellStyle name="Normal 12 4 2 5 2 6" xfId="0"/>
    <cellStyle name="Normal 12 4 2 5 3" xfId="0"/>
    <cellStyle name="Normal 12 4 2 5 3 2" xfId="0"/>
    <cellStyle name="Normal 12 4 2 5 3 2 2" xfId="0"/>
    <cellStyle name="Normal 12 4 2 5 3 2 2 2" xfId="0"/>
    <cellStyle name="Normal 12 4 2 5 3 2 2 2 2" xfId="0"/>
    <cellStyle name="Normal 12 4 2 5 3 2 2 3" xfId="0"/>
    <cellStyle name="Normal 12 4 2 5 3 2 3" xfId="0"/>
    <cellStyle name="Normal 12 4 2 5 3 2 3 2" xfId="0"/>
    <cellStyle name="Normal 12 4 2 5 3 2 4" xfId="0"/>
    <cellStyle name="Normal 12 4 2 5 3 3" xfId="0"/>
    <cellStyle name="Normal 12 4 2 5 3 3 2" xfId="0"/>
    <cellStyle name="Normal 12 4 2 5 3 3 2 2" xfId="0"/>
    <cellStyle name="Normal 12 4 2 5 3 3 3" xfId="0"/>
    <cellStyle name="Normal 12 4 2 5 3 4" xfId="0"/>
    <cellStyle name="Normal 12 4 2 5 3 4 2" xfId="0"/>
    <cellStyle name="Normal 12 4 2 5 3 5" xfId="0"/>
    <cellStyle name="Normal 12 4 2 5 4" xfId="0"/>
    <cellStyle name="Normal 12 4 2 5 4 2" xfId="0"/>
    <cellStyle name="Normal 12 4 2 5 4 2 2" xfId="0"/>
    <cellStyle name="Normal 12 4 2 5 4 2 2 2" xfId="0"/>
    <cellStyle name="Normal 12 4 2 5 4 2 3" xfId="0"/>
    <cellStyle name="Normal 12 4 2 5 4 3" xfId="0"/>
    <cellStyle name="Normal 12 4 2 5 4 3 2" xfId="0"/>
    <cellStyle name="Normal 12 4 2 5 4 4" xfId="0"/>
    <cellStyle name="Normal 12 4 2 5 5" xfId="0"/>
    <cellStyle name="Normal 12 4 2 5 5 2" xfId="0"/>
    <cellStyle name="Normal 12 4 2 5 5 2 2" xfId="0"/>
    <cellStyle name="Normal 12 4 2 5 5 3" xfId="0"/>
    <cellStyle name="Normal 12 4 2 5 6" xfId="0"/>
    <cellStyle name="Normal 12 4 2 5 6 2" xfId="0"/>
    <cellStyle name="Normal 12 4 2 5 7" xfId="0"/>
    <cellStyle name="Normal 12 4 2 6" xfId="0"/>
    <cellStyle name="Normal 12 4 2 6 2" xfId="0"/>
    <cellStyle name="Normal 12 4 2 6 2 2" xfId="0"/>
    <cellStyle name="Normal 12 4 2 6 2 2 2" xfId="0"/>
    <cellStyle name="Normal 12 4 2 6 2 2 2 2" xfId="0"/>
    <cellStyle name="Normal 12 4 2 6 2 2 2 2 2" xfId="0"/>
    <cellStyle name="Normal 12 4 2 6 2 2 2 3" xfId="0"/>
    <cellStyle name="Normal 12 4 2 6 2 2 3" xfId="0"/>
    <cellStyle name="Normal 12 4 2 6 2 2 3 2" xfId="0"/>
    <cellStyle name="Normal 12 4 2 6 2 2 4" xfId="0"/>
    <cellStyle name="Normal 12 4 2 6 2 3" xfId="0"/>
    <cellStyle name="Normal 12 4 2 6 2 3 2" xfId="0"/>
    <cellStyle name="Normal 12 4 2 6 2 3 2 2" xfId="0"/>
    <cellStyle name="Normal 12 4 2 6 2 3 3" xfId="0"/>
    <cellStyle name="Normal 12 4 2 6 2 4" xfId="0"/>
    <cellStyle name="Normal 12 4 2 6 2 4 2" xfId="0"/>
    <cellStyle name="Normal 12 4 2 6 2 5" xfId="0"/>
    <cellStyle name="Normal 12 4 2 6 3" xfId="0"/>
    <cellStyle name="Normal 12 4 2 6 3 2" xfId="0"/>
    <cellStyle name="Normal 12 4 2 6 3 2 2" xfId="0"/>
    <cellStyle name="Normal 12 4 2 6 3 2 2 2" xfId="0"/>
    <cellStyle name="Normal 12 4 2 6 3 2 3" xfId="0"/>
    <cellStyle name="Normal 12 4 2 6 3 3" xfId="0"/>
    <cellStyle name="Normal 12 4 2 6 3 3 2" xfId="0"/>
    <cellStyle name="Normal 12 4 2 6 3 4" xfId="0"/>
    <cellStyle name="Normal 12 4 2 6 4" xfId="0"/>
    <cellStyle name="Normal 12 4 2 6 4 2" xfId="0"/>
    <cellStyle name="Normal 12 4 2 6 4 2 2" xfId="0"/>
    <cellStyle name="Normal 12 4 2 6 4 3" xfId="0"/>
    <cellStyle name="Normal 12 4 2 6 5" xfId="0"/>
    <cellStyle name="Normal 12 4 2 6 5 2" xfId="0"/>
    <cellStyle name="Normal 12 4 2 6 6" xfId="0"/>
    <cellStyle name="Normal 12 4 2 7" xfId="0"/>
    <cellStyle name="Normal 12 4 2 7 2" xfId="0"/>
    <cellStyle name="Normal 12 4 2 7 2 2" xfId="0"/>
    <cellStyle name="Normal 12 4 2 7 2 2 2" xfId="0"/>
    <cellStyle name="Normal 12 4 2 7 2 2 2 2" xfId="0"/>
    <cellStyle name="Normal 12 4 2 7 2 2 3" xfId="0"/>
    <cellStyle name="Normal 12 4 2 7 2 3" xfId="0"/>
    <cellStyle name="Normal 12 4 2 7 2 3 2" xfId="0"/>
    <cellStyle name="Normal 12 4 2 7 2 4" xfId="0"/>
    <cellStyle name="Normal 12 4 2 7 3" xfId="0"/>
    <cellStyle name="Normal 12 4 2 7 3 2" xfId="0"/>
    <cellStyle name="Normal 12 4 2 7 3 2 2" xfId="0"/>
    <cellStyle name="Normal 12 4 2 7 3 3" xfId="0"/>
    <cellStyle name="Normal 12 4 2 7 4" xfId="0"/>
    <cellStyle name="Normal 12 4 2 7 4 2" xfId="0"/>
    <cellStyle name="Normal 12 4 2 7 5" xfId="0"/>
    <cellStyle name="Normal 12 4 2 8" xfId="0"/>
    <cellStyle name="Normal 12 4 2 8 2" xfId="0"/>
    <cellStyle name="Normal 12 4 2 8 2 2" xfId="0"/>
    <cellStyle name="Normal 12 4 2 8 2 2 2" xfId="0"/>
    <cellStyle name="Normal 12 4 2 8 2 3" xfId="0"/>
    <cellStyle name="Normal 12 4 2 8 3" xfId="0"/>
    <cellStyle name="Normal 12 4 2 8 3 2" xfId="0"/>
    <cellStyle name="Normal 12 4 2 8 4" xfId="0"/>
    <cellStyle name="Normal 12 4 2 9" xfId="0"/>
    <cellStyle name="Normal 12 4 2 9 2" xfId="0"/>
    <cellStyle name="Normal 12 4 2 9 2 2" xfId="0"/>
    <cellStyle name="Normal 12 4 2 9 3" xfId="0"/>
    <cellStyle name="Normal 12 4 3" xfId="0"/>
    <cellStyle name="Normal 12 4 3 2" xfId="0"/>
    <cellStyle name="Normal 12 4 3 2 2" xfId="0"/>
    <cellStyle name="Normal 12 4 3 2 2 2" xfId="0"/>
    <cellStyle name="Normal 12 4 3 2 2 2 2" xfId="0"/>
    <cellStyle name="Normal 12 4 3 2 2 2 2 2" xfId="0"/>
    <cellStyle name="Normal 12 4 3 2 2 2 2 2 2" xfId="0"/>
    <cellStyle name="Normal 12 4 3 2 2 2 2 2 2 2" xfId="0"/>
    <cellStyle name="Normal 12 4 3 2 2 2 2 2 3" xfId="0"/>
    <cellStyle name="Normal 12 4 3 2 2 2 2 3" xfId="0"/>
    <cellStyle name="Normal 12 4 3 2 2 2 2 3 2" xfId="0"/>
    <cellStyle name="Normal 12 4 3 2 2 2 2 4" xfId="0"/>
    <cellStyle name="Normal 12 4 3 2 2 2 3" xfId="0"/>
    <cellStyle name="Normal 12 4 3 2 2 2 3 2" xfId="0"/>
    <cellStyle name="Normal 12 4 3 2 2 2 3 2 2" xfId="0"/>
    <cellStyle name="Normal 12 4 3 2 2 2 3 3" xfId="0"/>
    <cellStyle name="Normal 12 4 3 2 2 2 4" xfId="0"/>
    <cellStyle name="Normal 12 4 3 2 2 2 4 2" xfId="0"/>
    <cellStyle name="Normal 12 4 3 2 2 2 5" xfId="0"/>
    <cellStyle name="Normal 12 4 3 2 2 3" xfId="0"/>
    <cellStyle name="Normal 12 4 3 2 2 3 2" xfId="0"/>
    <cellStyle name="Normal 12 4 3 2 2 3 2 2" xfId="0"/>
    <cellStyle name="Normal 12 4 3 2 2 3 2 2 2" xfId="0"/>
    <cellStyle name="Normal 12 4 3 2 2 3 2 3" xfId="0"/>
    <cellStyle name="Normal 12 4 3 2 2 3 3" xfId="0"/>
    <cellStyle name="Normal 12 4 3 2 2 3 3 2" xfId="0"/>
    <cellStyle name="Normal 12 4 3 2 2 3 4" xfId="0"/>
    <cellStyle name="Normal 12 4 3 2 2 4" xfId="0"/>
    <cellStyle name="Normal 12 4 3 2 2 4 2" xfId="0"/>
    <cellStyle name="Normal 12 4 3 2 2 4 2 2" xfId="0"/>
    <cellStyle name="Normal 12 4 3 2 2 4 3" xfId="0"/>
    <cellStyle name="Normal 12 4 3 2 2 5" xfId="0"/>
    <cellStyle name="Normal 12 4 3 2 2 5 2" xfId="0"/>
    <cellStyle name="Normal 12 4 3 2 2 6" xfId="0"/>
    <cellStyle name="Normal 12 4 3 2 3" xfId="0"/>
    <cellStyle name="Normal 12 4 3 2 3 2" xfId="0"/>
    <cellStyle name="Normal 12 4 3 2 3 2 2" xfId="0"/>
    <cellStyle name="Normal 12 4 3 2 3 2 2 2" xfId="0"/>
    <cellStyle name="Normal 12 4 3 2 3 2 2 2 2" xfId="0"/>
    <cellStyle name="Normal 12 4 3 2 3 2 2 3" xfId="0"/>
    <cellStyle name="Normal 12 4 3 2 3 2 3" xfId="0"/>
    <cellStyle name="Normal 12 4 3 2 3 2 3 2" xfId="0"/>
    <cellStyle name="Normal 12 4 3 2 3 2 4" xfId="0"/>
    <cellStyle name="Normal 12 4 3 2 3 3" xfId="0"/>
    <cellStyle name="Normal 12 4 3 2 3 3 2" xfId="0"/>
    <cellStyle name="Normal 12 4 3 2 3 3 2 2" xfId="0"/>
    <cellStyle name="Normal 12 4 3 2 3 3 3" xfId="0"/>
    <cellStyle name="Normal 12 4 3 2 3 4" xfId="0"/>
    <cellStyle name="Normal 12 4 3 2 3 4 2" xfId="0"/>
    <cellStyle name="Normal 12 4 3 2 3 5" xfId="0"/>
    <cellStyle name="Normal 12 4 3 2 4" xfId="0"/>
    <cellStyle name="Normal 12 4 3 2 4 2" xfId="0"/>
    <cellStyle name="Normal 12 4 3 2 4 2 2" xfId="0"/>
    <cellStyle name="Normal 12 4 3 2 4 2 2 2" xfId="0"/>
    <cellStyle name="Normal 12 4 3 2 4 2 3" xfId="0"/>
    <cellStyle name="Normal 12 4 3 2 4 3" xfId="0"/>
    <cellStyle name="Normal 12 4 3 2 4 3 2" xfId="0"/>
    <cellStyle name="Normal 12 4 3 2 4 4" xfId="0"/>
    <cellStyle name="Normal 12 4 3 2 5" xfId="0"/>
    <cellStyle name="Normal 12 4 3 2 5 2" xfId="0"/>
    <cellStyle name="Normal 12 4 3 2 5 2 2" xfId="0"/>
    <cellStyle name="Normal 12 4 3 2 5 3" xfId="0"/>
    <cellStyle name="Normal 12 4 3 2 6" xfId="0"/>
    <cellStyle name="Normal 12 4 3 2 6 2" xfId="0"/>
    <cellStyle name="Normal 12 4 3 2 7" xfId="0"/>
    <cellStyle name="Normal 12 4 3 3" xfId="0"/>
    <cellStyle name="Normal 12 4 3 3 2" xfId="0"/>
    <cellStyle name="Normal 12 4 3 3 2 2" xfId="0"/>
    <cellStyle name="Normal 12 4 3 3 2 2 2" xfId="0"/>
    <cellStyle name="Normal 12 4 3 3 2 2 2 2" xfId="0"/>
    <cellStyle name="Normal 12 4 3 3 2 2 2 2 2" xfId="0"/>
    <cellStyle name="Normal 12 4 3 3 2 2 2 3" xfId="0"/>
    <cellStyle name="Normal 12 4 3 3 2 2 3" xfId="0"/>
    <cellStyle name="Normal 12 4 3 3 2 2 3 2" xfId="0"/>
    <cellStyle name="Normal 12 4 3 3 2 2 4" xfId="0"/>
    <cellStyle name="Normal 12 4 3 3 2 3" xfId="0"/>
    <cellStyle name="Normal 12 4 3 3 2 3 2" xfId="0"/>
    <cellStyle name="Normal 12 4 3 3 2 3 2 2" xfId="0"/>
    <cellStyle name="Normal 12 4 3 3 2 3 3" xfId="0"/>
    <cellStyle name="Normal 12 4 3 3 2 4" xfId="0"/>
    <cellStyle name="Normal 12 4 3 3 2 4 2" xfId="0"/>
    <cellStyle name="Normal 12 4 3 3 2 5" xfId="0"/>
    <cellStyle name="Normal 12 4 3 3 3" xfId="0"/>
    <cellStyle name="Normal 12 4 3 3 3 2" xfId="0"/>
    <cellStyle name="Normal 12 4 3 3 3 2 2" xfId="0"/>
    <cellStyle name="Normal 12 4 3 3 3 2 2 2" xfId="0"/>
    <cellStyle name="Normal 12 4 3 3 3 2 3" xfId="0"/>
    <cellStyle name="Normal 12 4 3 3 3 3" xfId="0"/>
    <cellStyle name="Normal 12 4 3 3 3 3 2" xfId="0"/>
    <cellStyle name="Normal 12 4 3 3 3 4" xfId="0"/>
    <cellStyle name="Normal 12 4 3 3 4" xfId="0"/>
    <cellStyle name="Normal 12 4 3 3 4 2" xfId="0"/>
    <cellStyle name="Normal 12 4 3 3 4 2 2" xfId="0"/>
    <cellStyle name="Normal 12 4 3 3 4 3" xfId="0"/>
    <cellStyle name="Normal 12 4 3 3 5" xfId="0"/>
    <cellStyle name="Normal 12 4 3 3 5 2" xfId="0"/>
    <cellStyle name="Normal 12 4 3 3 6" xfId="0"/>
    <cellStyle name="Normal 12 4 3 4" xfId="0"/>
    <cellStyle name="Normal 12 4 3 4 2" xfId="0"/>
    <cellStyle name="Normal 12 4 3 4 2 2" xfId="0"/>
    <cellStyle name="Normal 12 4 3 4 2 2 2" xfId="0"/>
    <cellStyle name="Normal 12 4 3 4 2 2 2 2" xfId="0"/>
    <cellStyle name="Normal 12 4 3 4 2 2 3" xfId="0"/>
    <cellStyle name="Normal 12 4 3 4 2 3" xfId="0"/>
    <cellStyle name="Normal 12 4 3 4 2 3 2" xfId="0"/>
    <cellStyle name="Normal 12 4 3 4 2 4" xfId="0"/>
    <cellStyle name="Normal 12 4 3 4 3" xfId="0"/>
    <cellStyle name="Normal 12 4 3 4 3 2" xfId="0"/>
    <cellStyle name="Normal 12 4 3 4 3 2 2" xfId="0"/>
    <cellStyle name="Normal 12 4 3 4 3 3" xfId="0"/>
    <cellStyle name="Normal 12 4 3 4 4" xfId="0"/>
    <cellStyle name="Normal 12 4 3 4 4 2" xfId="0"/>
    <cellStyle name="Normal 12 4 3 4 5" xfId="0"/>
    <cellStyle name="Normal 12 4 3 5" xfId="0"/>
    <cellStyle name="Normal 12 4 3 5 2" xfId="0"/>
    <cellStyle name="Normal 12 4 3 5 2 2" xfId="0"/>
    <cellStyle name="Normal 12 4 3 5 2 2 2" xfId="0"/>
    <cellStyle name="Normal 12 4 3 5 2 3" xfId="0"/>
    <cellStyle name="Normal 12 4 3 5 3" xfId="0"/>
    <cellStyle name="Normal 12 4 3 5 3 2" xfId="0"/>
    <cellStyle name="Normal 12 4 3 5 4" xfId="0"/>
    <cellStyle name="Normal 12 4 3 6" xfId="0"/>
    <cellStyle name="Normal 12 4 3 6 2" xfId="0"/>
    <cellStyle name="Normal 12 4 3 6 2 2" xfId="0"/>
    <cellStyle name="Normal 12 4 3 6 3" xfId="0"/>
    <cellStyle name="Normal 12 4 3 7" xfId="0"/>
    <cellStyle name="Normal 12 4 3 7 2" xfId="0"/>
    <cellStyle name="Normal 12 4 3 8" xfId="0"/>
    <cellStyle name="Normal 12 4 4" xfId="0"/>
    <cellStyle name="Normal 12 4 4 2" xfId="0"/>
    <cellStyle name="Normal 12 4 4 2 2" xfId="0"/>
    <cellStyle name="Normal 12 4 4 2 2 2" xfId="0"/>
    <cellStyle name="Normal 12 4 4 2 2 2 2" xfId="0"/>
    <cellStyle name="Normal 12 4 4 2 2 2 2 2" xfId="0"/>
    <cellStyle name="Normal 12 4 4 2 2 2 2 2 2" xfId="0"/>
    <cellStyle name="Normal 12 4 4 2 2 2 2 2 2 2" xfId="0"/>
    <cellStyle name="Normal 12 4 4 2 2 2 2 2 3" xfId="0"/>
    <cellStyle name="Normal 12 4 4 2 2 2 2 3" xfId="0"/>
    <cellStyle name="Normal 12 4 4 2 2 2 2 3 2" xfId="0"/>
    <cellStyle name="Normal 12 4 4 2 2 2 2 4" xfId="0"/>
    <cellStyle name="Normal 12 4 4 2 2 2 3" xfId="0"/>
    <cellStyle name="Normal 12 4 4 2 2 2 3 2" xfId="0"/>
    <cellStyle name="Normal 12 4 4 2 2 2 3 2 2" xfId="0"/>
    <cellStyle name="Normal 12 4 4 2 2 2 3 3" xfId="0"/>
    <cellStyle name="Normal 12 4 4 2 2 2 4" xfId="0"/>
    <cellStyle name="Normal 12 4 4 2 2 2 4 2" xfId="0"/>
    <cellStyle name="Normal 12 4 4 2 2 2 5" xfId="0"/>
    <cellStyle name="Normal 12 4 4 2 2 3" xfId="0"/>
    <cellStyle name="Normal 12 4 4 2 2 3 2" xfId="0"/>
    <cellStyle name="Normal 12 4 4 2 2 3 2 2" xfId="0"/>
    <cellStyle name="Normal 12 4 4 2 2 3 2 2 2" xfId="0"/>
    <cellStyle name="Normal 12 4 4 2 2 3 2 3" xfId="0"/>
    <cellStyle name="Normal 12 4 4 2 2 3 3" xfId="0"/>
    <cellStyle name="Normal 12 4 4 2 2 3 3 2" xfId="0"/>
    <cellStyle name="Normal 12 4 4 2 2 3 4" xfId="0"/>
    <cellStyle name="Normal 12 4 4 2 2 4" xfId="0"/>
    <cellStyle name="Normal 12 4 4 2 2 4 2" xfId="0"/>
    <cellStyle name="Normal 12 4 4 2 2 4 2 2" xfId="0"/>
    <cellStyle name="Normal 12 4 4 2 2 4 3" xfId="0"/>
    <cellStyle name="Normal 12 4 4 2 2 5" xfId="0"/>
    <cellStyle name="Normal 12 4 4 2 2 5 2" xfId="0"/>
    <cellStyle name="Normal 12 4 4 2 2 6" xfId="0"/>
    <cellStyle name="Normal 12 4 4 2 3" xfId="0"/>
    <cellStyle name="Normal 12 4 4 2 3 2" xfId="0"/>
    <cellStyle name="Normal 12 4 4 2 3 2 2" xfId="0"/>
    <cellStyle name="Normal 12 4 4 2 3 2 2 2" xfId="0"/>
    <cellStyle name="Normal 12 4 4 2 3 2 2 2 2" xfId="0"/>
    <cellStyle name="Normal 12 4 4 2 3 2 2 3" xfId="0"/>
    <cellStyle name="Normal 12 4 4 2 3 2 3" xfId="0"/>
    <cellStyle name="Normal 12 4 4 2 3 2 3 2" xfId="0"/>
    <cellStyle name="Normal 12 4 4 2 3 2 4" xfId="0"/>
    <cellStyle name="Normal 12 4 4 2 3 3" xfId="0"/>
    <cellStyle name="Normal 12 4 4 2 3 3 2" xfId="0"/>
    <cellStyle name="Normal 12 4 4 2 3 3 2 2" xfId="0"/>
    <cellStyle name="Normal 12 4 4 2 3 3 3" xfId="0"/>
    <cellStyle name="Normal 12 4 4 2 3 4" xfId="0"/>
    <cellStyle name="Normal 12 4 4 2 3 4 2" xfId="0"/>
    <cellStyle name="Normal 12 4 4 2 3 5" xfId="0"/>
    <cellStyle name="Normal 12 4 4 2 4" xfId="0"/>
    <cellStyle name="Normal 12 4 4 2 4 2" xfId="0"/>
    <cellStyle name="Normal 12 4 4 2 4 2 2" xfId="0"/>
    <cellStyle name="Normal 12 4 4 2 4 2 2 2" xfId="0"/>
    <cellStyle name="Normal 12 4 4 2 4 2 3" xfId="0"/>
    <cellStyle name="Normal 12 4 4 2 4 3" xfId="0"/>
    <cellStyle name="Normal 12 4 4 2 4 3 2" xfId="0"/>
    <cellStyle name="Normal 12 4 4 2 4 4" xfId="0"/>
    <cellStyle name="Normal 12 4 4 2 5" xfId="0"/>
    <cellStyle name="Normal 12 4 4 2 5 2" xfId="0"/>
    <cellStyle name="Normal 12 4 4 2 5 2 2" xfId="0"/>
    <cellStyle name="Normal 12 4 4 2 5 3" xfId="0"/>
    <cellStyle name="Normal 12 4 4 2 6" xfId="0"/>
    <cellStyle name="Normal 12 4 4 2 6 2" xfId="0"/>
    <cellStyle name="Normal 12 4 4 2 7" xfId="0"/>
    <cellStyle name="Normal 12 4 4 3" xfId="0"/>
    <cellStyle name="Normal 12 4 4 3 2" xfId="0"/>
    <cellStyle name="Normal 12 4 4 3 2 2" xfId="0"/>
    <cellStyle name="Normal 12 4 4 3 2 2 2" xfId="0"/>
    <cellStyle name="Normal 12 4 4 3 2 2 2 2" xfId="0"/>
    <cellStyle name="Normal 12 4 4 3 2 2 2 2 2" xfId="0"/>
    <cellStyle name="Normal 12 4 4 3 2 2 2 3" xfId="0"/>
    <cellStyle name="Normal 12 4 4 3 2 2 3" xfId="0"/>
    <cellStyle name="Normal 12 4 4 3 2 2 3 2" xfId="0"/>
    <cellStyle name="Normal 12 4 4 3 2 2 4" xfId="0"/>
    <cellStyle name="Normal 12 4 4 3 2 3" xfId="0"/>
    <cellStyle name="Normal 12 4 4 3 2 3 2" xfId="0"/>
    <cellStyle name="Normal 12 4 4 3 2 3 2 2" xfId="0"/>
    <cellStyle name="Normal 12 4 4 3 2 3 3" xfId="0"/>
    <cellStyle name="Normal 12 4 4 3 2 4" xfId="0"/>
    <cellStyle name="Normal 12 4 4 3 2 4 2" xfId="0"/>
    <cellStyle name="Normal 12 4 4 3 2 5" xfId="0"/>
    <cellStyle name="Normal 12 4 4 3 3" xfId="0"/>
    <cellStyle name="Normal 12 4 4 3 3 2" xfId="0"/>
    <cellStyle name="Normal 12 4 4 3 3 2 2" xfId="0"/>
    <cellStyle name="Normal 12 4 4 3 3 2 2 2" xfId="0"/>
    <cellStyle name="Normal 12 4 4 3 3 2 3" xfId="0"/>
    <cellStyle name="Normal 12 4 4 3 3 3" xfId="0"/>
    <cellStyle name="Normal 12 4 4 3 3 3 2" xfId="0"/>
    <cellStyle name="Normal 12 4 4 3 3 4" xfId="0"/>
    <cellStyle name="Normal 12 4 4 3 4" xfId="0"/>
    <cellStyle name="Normal 12 4 4 3 4 2" xfId="0"/>
    <cellStyle name="Normal 12 4 4 3 4 2 2" xfId="0"/>
    <cellStyle name="Normal 12 4 4 3 4 3" xfId="0"/>
    <cellStyle name="Normal 12 4 4 3 5" xfId="0"/>
    <cellStyle name="Normal 12 4 4 3 5 2" xfId="0"/>
    <cellStyle name="Normal 12 4 4 3 6" xfId="0"/>
    <cellStyle name="Normal 12 4 4 4" xfId="0"/>
    <cellStyle name="Normal 12 4 4 4 2" xfId="0"/>
    <cellStyle name="Normal 12 4 4 4 2 2" xfId="0"/>
    <cellStyle name="Normal 12 4 4 4 2 2 2" xfId="0"/>
    <cellStyle name="Normal 12 4 4 4 2 2 2 2" xfId="0"/>
    <cellStyle name="Normal 12 4 4 4 2 2 3" xfId="0"/>
    <cellStyle name="Normal 12 4 4 4 2 3" xfId="0"/>
    <cellStyle name="Normal 12 4 4 4 2 3 2" xfId="0"/>
    <cellStyle name="Normal 12 4 4 4 2 4" xfId="0"/>
    <cellStyle name="Normal 12 4 4 4 3" xfId="0"/>
    <cellStyle name="Normal 12 4 4 4 3 2" xfId="0"/>
    <cellStyle name="Normal 12 4 4 4 3 2 2" xfId="0"/>
    <cellStyle name="Normal 12 4 4 4 3 3" xfId="0"/>
    <cellStyle name="Normal 12 4 4 4 4" xfId="0"/>
    <cellStyle name="Normal 12 4 4 4 4 2" xfId="0"/>
    <cellStyle name="Normal 12 4 4 4 5" xfId="0"/>
    <cellStyle name="Normal 12 4 4 5" xfId="0"/>
    <cellStyle name="Normal 12 4 4 5 2" xfId="0"/>
    <cellStyle name="Normal 12 4 4 5 2 2" xfId="0"/>
    <cellStyle name="Normal 12 4 4 5 2 2 2" xfId="0"/>
    <cellStyle name="Normal 12 4 4 5 2 3" xfId="0"/>
    <cellStyle name="Normal 12 4 4 5 3" xfId="0"/>
    <cellStyle name="Normal 12 4 4 5 3 2" xfId="0"/>
    <cellStyle name="Normal 12 4 4 5 4" xfId="0"/>
    <cellStyle name="Normal 12 4 4 6" xfId="0"/>
    <cellStyle name="Normal 12 4 4 6 2" xfId="0"/>
    <cellStyle name="Normal 12 4 4 6 2 2" xfId="0"/>
    <cellStyle name="Normal 12 4 4 6 3" xfId="0"/>
    <cellStyle name="Normal 12 4 4 7" xfId="0"/>
    <cellStyle name="Normal 12 4 4 7 2" xfId="0"/>
    <cellStyle name="Normal 12 4 4 8" xfId="0"/>
    <cellStyle name="Normal 12 4 5" xfId="0"/>
    <cellStyle name="Normal 12 4 5 2" xfId="0"/>
    <cellStyle name="Normal 12 4 5 2 2" xfId="0"/>
    <cellStyle name="Normal 12 4 5 2 2 2" xfId="0"/>
    <cellStyle name="Normal 12 4 5 2 2 2 2" xfId="0"/>
    <cellStyle name="Normal 12 4 5 2 2 2 2 2" xfId="0"/>
    <cellStyle name="Normal 12 4 5 2 2 2 2 2 2" xfId="0"/>
    <cellStyle name="Normal 12 4 5 2 2 2 2 3" xfId="0"/>
    <cellStyle name="Normal 12 4 5 2 2 2 3" xfId="0"/>
    <cellStyle name="Normal 12 4 5 2 2 2 3 2" xfId="0"/>
    <cellStyle name="Normal 12 4 5 2 2 2 4" xfId="0"/>
    <cellStyle name="Normal 12 4 5 2 2 3" xfId="0"/>
    <cellStyle name="Normal 12 4 5 2 2 3 2" xfId="0"/>
    <cellStyle name="Normal 12 4 5 2 2 3 2 2" xfId="0"/>
    <cellStyle name="Normal 12 4 5 2 2 3 3" xfId="0"/>
    <cellStyle name="Normal 12 4 5 2 2 4" xfId="0"/>
    <cellStyle name="Normal 12 4 5 2 2 4 2" xfId="0"/>
    <cellStyle name="Normal 12 4 5 2 2 5" xfId="0"/>
    <cellStyle name="Normal 12 4 5 2 3" xfId="0"/>
    <cellStyle name="Normal 12 4 5 2 3 2" xfId="0"/>
    <cellStyle name="Normal 12 4 5 2 3 2 2" xfId="0"/>
    <cellStyle name="Normal 12 4 5 2 3 2 2 2" xfId="0"/>
    <cellStyle name="Normal 12 4 5 2 3 2 3" xfId="0"/>
    <cellStyle name="Normal 12 4 5 2 3 3" xfId="0"/>
    <cellStyle name="Normal 12 4 5 2 3 3 2" xfId="0"/>
    <cellStyle name="Normal 12 4 5 2 3 4" xfId="0"/>
    <cellStyle name="Normal 12 4 5 2 4" xfId="0"/>
    <cellStyle name="Normal 12 4 5 2 4 2" xfId="0"/>
    <cellStyle name="Normal 12 4 5 2 4 2 2" xfId="0"/>
    <cellStyle name="Normal 12 4 5 2 4 3" xfId="0"/>
    <cellStyle name="Normal 12 4 5 2 5" xfId="0"/>
    <cellStyle name="Normal 12 4 5 2 5 2" xfId="0"/>
    <cellStyle name="Normal 12 4 5 2 6" xfId="0"/>
    <cellStyle name="Normal 12 4 5 3" xfId="0"/>
    <cellStyle name="Normal 12 4 5 3 2" xfId="0"/>
    <cellStyle name="Normal 12 4 5 3 2 2" xfId="0"/>
    <cellStyle name="Normal 12 4 5 3 2 2 2" xfId="0"/>
    <cellStyle name="Normal 12 4 5 3 2 2 2 2" xfId="0"/>
    <cellStyle name="Normal 12 4 5 3 2 2 3" xfId="0"/>
    <cellStyle name="Normal 12 4 5 3 2 3" xfId="0"/>
    <cellStyle name="Normal 12 4 5 3 2 3 2" xfId="0"/>
    <cellStyle name="Normal 12 4 5 3 2 4" xfId="0"/>
    <cellStyle name="Normal 12 4 5 3 3" xfId="0"/>
    <cellStyle name="Normal 12 4 5 3 3 2" xfId="0"/>
    <cellStyle name="Normal 12 4 5 3 3 2 2" xfId="0"/>
    <cellStyle name="Normal 12 4 5 3 3 3" xfId="0"/>
    <cellStyle name="Normal 12 4 5 3 4" xfId="0"/>
    <cellStyle name="Normal 12 4 5 3 4 2" xfId="0"/>
    <cellStyle name="Normal 12 4 5 3 5" xfId="0"/>
    <cellStyle name="Normal 12 4 5 4" xfId="0"/>
    <cellStyle name="Normal 12 4 5 4 2" xfId="0"/>
    <cellStyle name="Normal 12 4 5 4 2 2" xfId="0"/>
    <cellStyle name="Normal 12 4 5 4 2 2 2" xfId="0"/>
    <cellStyle name="Normal 12 4 5 4 2 3" xfId="0"/>
    <cellStyle name="Normal 12 4 5 4 3" xfId="0"/>
    <cellStyle name="Normal 12 4 5 4 3 2" xfId="0"/>
    <cellStyle name="Normal 12 4 5 4 4" xfId="0"/>
    <cellStyle name="Normal 12 4 5 5" xfId="0"/>
    <cellStyle name="Normal 12 4 5 5 2" xfId="0"/>
    <cellStyle name="Normal 12 4 5 5 2 2" xfId="0"/>
    <cellStyle name="Normal 12 4 5 5 3" xfId="0"/>
    <cellStyle name="Normal 12 4 5 6" xfId="0"/>
    <cellStyle name="Normal 12 4 5 6 2" xfId="0"/>
    <cellStyle name="Normal 12 4 5 7" xfId="0"/>
    <cellStyle name="Normal 12 4 6" xfId="0"/>
    <cellStyle name="Normal 12 4 6 2" xfId="0"/>
    <cellStyle name="Normal 12 4 6 2 2" xfId="0"/>
    <cellStyle name="Normal 12 4 6 2 2 2" xfId="0"/>
    <cellStyle name="Normal 12 4 6 2 2 2 2" xfId="0"/>
    <cellStyle name="Normal 12 4 6 2 2 2 2 2" xfId="0"/>
    <cellStyle name="Normal 12 4 6 2 2 2 2 2 2" xfId="0"/>
    <cellStyle name="Normal 12 4 6 2 2 2 2 3" xfId="0"/>
    <cellStyle name="Normal 12 4 6 2 2 2 3" xfId="0"/>
    <cellStyle name="Normal 12 4 6 2 2 2 3 2" xfId="0"/>
    <cellStyle name="Normal 12 4 6 2 2 2 4" xfId="0"/>
    <cellStyle name="Normal 12 4 6 2 2 3" xfId="0"/>
    <cellStyle name="Normal 12 4 6 2 2 3 2" xfId="0"/>
    <cellStyle name="Normal 12 4 6 2 2 3 2 2" xfId="0"/>
    <cellStyle name="Normal 12 4 6 2 2 3 3" xfId="0"/>
    <cellStyle name="Normal 12 4 6 2 2 4" xfId="0"/>
    <cellStyle name="Normal 12 4 6 2 2 4 2" xfId="0"/>
    <cellStyle name="Normal 12 4 6 2 2 5" xfId="0"/>
    <cellStyle name="Normal 12 4 6 2 3" xfId="0"/>
    <cellStyle name="Normal 12 4 6 2 3 2" xfId="0"/>
    <cellStyle name="Normal 12 4 6 2 3 2 2" xfId="0"/>
    <cellStyle name="Normal 12 4 6 2 3 2 2 2" xfId="0"/>
    <cellStyle name="Normal 12 4 6 2 3 2 3" xfId="0"/>
    <cellStyle name="Normal 12 4 6 2 3 3" xfId="0"/>
    <cellStyle name="Normal 12 4 6 2 3 3 2" xfId="0"/>
    <cellStyle name="Normal 12 4 6 2 3 4" xfId="0"/>
    <cellStyle name="Normal 12 4 6 2 4" xfId="0"/>
    <cellStyle name="Normal 12 4 6 2 4 2" xfId="0"/>
    <cellStyle name="Normal 12 4 6 2 4 2 2" xfId="0"/>
    <cellStyle name="Normal 12 4 6 2 4 3" xfId="0"/>
    <cellStyle name="Normal 12 4 6 2 5" xfId="0"/>
    <cellStyle name="Normal 12 4 6 2 5 2" xfId="0"/>
    <cellStyle name="Normal 12 4 6 2 6" xfId="0"/>
    <cellStyle name="Normal 12 4 6 3" xfId="0"/>
    <cellStyle name="Normal 12 4 6 3 2" xfId="0"/>
    <cellStyle name="Normal 12 4 6 3 2 2" xfId="0"/>
    <cellStyle name="Normal 12 4 6 3 2 2 2" xfId="0"/>
    <cellStyle name="Normal 12 4 6 3 2 2 2 2" xfId="0"/>
    <cellStyle name="Normal 12 4 6 3 2 2 3" xfId="0"/>
    <cellStyle name="Normal 12 4 6 3 2 3" xfId="0"/>
    <cellStyle name="Normal 12 4 6 3 2 3 2" xfId="0"/>
    <cellStyle name="Normal 12 4 6 3 2 4" xfId="0"/>
    <cellStyle name="Normal 12 4 6 3 3" xfId="0"/>
    <cellStyle name="Normal 12 4 6 3 3 2" xfId="0"/>
    <cellStyle name="Normal 12 4 6 3 3 2 2" xfId="0"/>
    <cellStyle name="Normal 12 4 6 3 3 3" xfId="0"/>
    <cellStyle name="Normal 12 4 6 3 4" xfId="0"/>
    <cellStyle name="Normal 12 4 6 3 4 2" xfId="0"/>
    <cellStyle name="Normal 12 4 6 3 5" xfId="0"/>
    <cellStyle name="Normal 12 4 6 4" xfId="0"/>
    <cellStyle name="Normal 12 4 6 4 2" xfId="0"/>
    <cellStyle name="Normal 12 4 6 4 2 2" xfId="0"/>
    <cellStyle name="Normal 12 4 6 4 2 2 2" xfId="0"/>
    <cellStyle name="Normal 12 4 6 4 2 3" xfId="0"/>
    <cellStyle name="Normal 12 4 6 4 3" xfId="0"/>
    <cellStyle name="Normal 12 4 6 4 3 2" xfId="0"/>
    <cellStyle name="Normal 12 4 6 4 4" xfId="0"/>
    <cellStyle name="Normal 12 4 6 5" xfId="0"/>
    <cellStyle name="Normal 12 4 6 5 2" xfId="0"/>
    <cellStyle name="Normal 12 4 6 5 2 2" xfId="0"/>
    <cellStyle name="Normal 12 4 6 5 3" xfId="0"/>
    <cellStyle name="Normal 12 4 6 6" xfId="0"/>
    <cellStyle name="Normal 12 4 6 6 2" xfId="0"/>
    <cellStyle name="Normal 12 4 6 7" xfId="0"/>
    <cellStyle name="Normal 12 4 7" xfId="0"/>
    <cellStyle name="Normal 12 4 7 2" xfId="0"/>
    <cellStyle name="Normal 12 4 7 2 2" xfId="0"/>
    <cellStyle name="Normal 12 4 7 2 2 2" xfId="0"/>
    <cellStyle name="Normal 12 4 7 2 2 2 2" xfId="0"/>
    <cellStyle name="Normal 12 4 7 2 2 2 2 2" xfId="0"/>
    <cellStyle name="Normal 12 4 7 2 2 2 3" xfId="0"/>
    <cellStyle name="Normal 12 4 7 2 2 3" xfId="0"/>
    <cellStyle name="Normal 12 4 7 2 2 3 2" xfId="0"/>
    <cellStyle name="Normal 12 4 7 2 2 4" xfId="0"/>
    <cellStyle name="Normal 12 4 7 2 3" xfId="0"/>
    <cellStyle name="Normal 12 4 7 2 3 2" xfId="0"/>
    <cellStyle name="Normal 12 4 7 2 3 2 2" xfId="0"/>
    <cellStyle name="Normal 12 4 7 2 3 3" xfId="0"/>
    <cellStyle name="Normal 12 4 7 2 4" xfId="0"/>
    <cellStyle name="Normal 12 4 7 2 4 2" xfId="0"/>
    <cellStyle name="Normal 12 4 7 2 5" xfId="0"/>
    <cellStyle name="Normal 12 4 7 3" xfId="0"/>
    <cellStyle name="Normal 12 4 7 3 2" xfId="0"/>
    <cellStyle name="Normal 12 4 7 3 2 2" xfId="0"/>
    <cellStyle name="Normal 12 4 7 3 2 2 2" xfId="0"/>
    <cellStyle name="Normal 12 4 7 3 2 3" xfId="0"/>
    <cellStyle name="Normal 12 4 7 3 3" xfId="0"/>
    <cellStyle name="Normal 12 4 7 3 3 2" xfId="0"/>
    <cellStyle name="Normal 12 4 7 3 4" xfId="0"/>
    <cellStyle name="Normal 12 4 7 4" xfId="0"/>
    <cellStyle name="Normal 12 4 7 4 2" xfId="0"/>
    <cellStyle name="Normal 12 4 7 4 2 2" xfId="0"/>
    <cellStyle name="Normal 12 4 7 4 3" xfId="0"/>
    <cellStyle name="Normal 12 4 7 5" xfId="0"/>
    <cellStyle name="Normal 12 4 7 5 2" xfId="0"/>
    <cellStyle name="Normal 12 4 7 6" xfId="0"/>
    <cellStyle name="Normal 12 4 8" xfId="0"/>
    <cellStyle name="Normal 12 4 8 2" xfId="0"/>
    <cellStyle name="Normal 12 4 8 2 2" xfId="0"/>
    <cellStyle name="Normal 12 4 8 2 2 2" xfId="0"/>
    <cellStyle name="Normal 12 4 8 2 2 2 2" xfId="0"/>
    <cellStyle name="Normal 12 4 8 2 2 3" xfId="0"/>
    <cellStyle name="Normal 12 4 8 2 3" xfId="0"/>
    <cellStyle name="Normal 12 4 8 2 3 2" xfId="0"/>
    <cellStyle name="Normal 12 4 8 2 4" xfId="0"/>
    <cellStyle name="Normal 12 4 8 3" xfId="0"/>
    <cellStyle name="Normal 12 4 8 3 2" xfId="0"/>
    <cellStyle name="Normal 12 4 8 3 2 2" xfId="0"/>
    <cellStyle name="Normal 12 4 8 3 3" xfId="0"/>
    <cellStyle name="Normal 12 4 8 4" xfId="0"/>
    <cellStyle name="Normal 12 4 8 4 2" xfId="0"/>
    <cellStyle name="Normal 12 4 8 5" xfId="0"/>
    <cellStyle name="Normal 12 4 9" xfId="0"/>
    <cellStyle name="Normal 12 4 9 2" xfId="0"/>
    <cellStyle name="Normal 12 4 9 2 2" xfId="0"/>
    <cellStyle name="Normal 12 4 9 2 2 2" xfId="0"/>
    <cellStyle name="Normal 12 4 9 2 3" xfId="0"/>
    <cellStyle name="Normal 12 4 9 3" xfId="0"/>
    <cellStyle name="Normal 12 4 9 3 2" xfId="0"/>
    <cellStyle name="Normal 12 4 9 4" xfId="0"/>
    <cellStyle name="Normal 12 5" xfId="0"/>
    <cellStyle name="Normal 12 5 10" xfId="0"/>
    <cellStyle name="Normal 12 5 10 2" xfId="0"/>
    <cellStyle name="Normal 12 5 11" xfId="0"/>
    <cellStyle name="Normal 12 5 2" xfId="0"/>
    <cellStyle name="Normal 12 5 2 2" xfId="0"/>
    <cellStyle name="Normal 12 5 2 2 2" xfId="0"/>
    <cellStyle name="Normal 12 5 2 2 2 2" xfId="0"/>
    <cellStyle name="Normal 12 5 2 2 2 2 2" xfId="0"/>
    <cellStyle name="Normal 12 5 2 2 2 2 2 2" xfId="0"/>
    <cellStyle name="Normal 12 5 2 2 2 2 2 2 2" xfId="0"/>
    <cellStyle name="Normal 12 5 2 2 2 2 2 2 2 2" xfId="0"/>
    <cellStyle name="Normal 12 5 2 2 2 2 2 2 3" xfId="0"/>
    <cellStyle name="Normal 12 5 2 2 2 2 2 3" xfId="0"/>
    <cellStyle name="Normal 12 5 2 2 2 2 2 3 2" xfId="0"/>
    <cellStyle name="Normal 12 5 2 2 2 2 2 4" xfId="0"/>
    <cellStyle name="Normal 12 5 2 2 2 2 3" xfId="0"/>
    <cellStyle name="Normal 12 5 2 2 2 2 3 2" xfId="0"/>
    <cellStyle name="Normal 12 5 2 2 2 2 3 2 2" xfId="0"/>
    <cellStyle name="Normal 12 5 2 2 2 2 3 3" xfId="0"/>
    <cellStyle name="Normal 12 5 2 2 2 2 4" xfId="0"/>
    <cellStyle name="Normal 12 5 2 2 2 2 4 2" xfId="0"/>
    <cellStyle name="Normal 12 5 2 2 2 2 5" xfId="0"/>
    <cellStyle name="Normal 12 5 2 2 2 3" xfId="0"/>
    <cellStyle name="Normal 12 5 2 2 2 3 2" xfId="0"/>
    <cellStyle name="Normal 12 5 2 2 2 3 2 2" xfId="0"/>
    <cellStyle name="Normal 12 5 2 2 2 3 2 2 2" xfId="0"/>
    <cellStyle name="Normal 12 5 2 2 2 3 2 3" xfId="0"/>
    <cellStyle name="Normal 12 5 2 2 2 3 3" xfId="0"/>
    <cellStyle name="Normal 12 5 2 2 2 3 3 2" xfId="0"/>
    <cellStyle name="Normal 12 5 2 2 2 3 4" xfId="0"/>
    <cellStyle name="Normal 12 5 2 2 2 4" xfId="0"/>
    <cellStyle name="Normal 12 5 2 2 2 4 2" xfId="0"/>
    <cellStyle name="Normal 12 5 2 2 2 4 2 2" xfId="0"/>
    <cellStyle name="Normal 12 5 2 2 2 4 3" xfId="0"/>
    <cellStyle name="Normal 12 5 2 2 2 5" xfId="0"/>
    <cellStyle name="Normal 12 5 2 2 2 5 2" xfId="0"/>
    <cellStyle name="Normal 12 5 2 2 2 6" xfId="0"/>
    <cellStyle name="Normal 12 5 2 2 3" xfId="0"/>
    <cellStyle name="Normal 12 5 2 2 3 2" xfId="0"/>
    <cellStyle name="Normal 12 5 2 2 3 2 2" xfId="0"/>
    <cellStyle name="Normal 12 5 2 2 3 2 2 2" xfId="0"/>
    <cellStyle name="Normal 12 5 2 2 3 2 2 2 2" xfId="0"/>
    <cellStyle name="Normal 12 5 2 2 3 2 2 3" xfId="0"/>
    <cellStyle name="Normal 12 5 2 2 3 2 3" xfId="0"/>
    <cellStyle name="Normal 12 5 2 2 3 2 3 2" xfId="0"/>
    <cellStyle name="Normal 12 5 2 2 3 2 4" xfId="0"/>
    <cellStyle name="Normal 12 5 2 2 3 3" xfId="0"/>
    <cellStyle name="Normal 12 5 2 2 3 3 2" xfId="0"/>
    <cellStyle name="Normal 12 5 2 2 3 3 2 2" xfId="0"/>
    <cellStyle name="Normal 12 5 2 2 3 3 3" xfId="0"/>
    <cellStyle name="Normal 12 5 2 2 3 4" xfId="0"/>
    <cellStyle name="Normal 12 5 2 2 3 4 2" xfId="0"/>
    <cellStyle name="Normal 12 5 2 2 3 5" xfId="0"/>
    <cellStyle name="Normal 12 5 2 2 4" xfId="0"/>
    <cellStyle name="Normal 12 5 2 2 4 2" xfId="0"/>
    <cellStyle name="Normal 12 5 2 2 4 2 2" xfId="0"/>
    <cellStyle name="Normal 12 5 2 2 4 2 2 2" xfId="0"/>
    <cellStyle name="Normal 12 5 2 2 4 2 3" xfId="0"/>
    <cellStyle name="Normal 12 5 2 2 4 3" xfId="0"/>
    <cellStyle name="Normal 12 5 2 2 4 3 2" xfId="0"/>
    <cellStyle name="Normal 12 5 2 2 4 4" xfId="0"/>
    <cellStyle name="Normal 12 5 2 2 5" xfId="0"/>
    <cellStyle name="Normal 12 5 2 2 5 2" xfId="0"/>
    <cellStyle name="Normal 12 5 2 2 5 2 2" xfId="0"/>
    <cellStyle name="Normal 12 5 2 2 5 3" xfId="0"/>
    <cellStyle name="Normal 12 5 2 2 6" xfId="0"/>
    <cellStyle name="Normal 12 5 2 2 6 2" xfId="0"/>
    <cellStyle name="Normal 12 5 2 2 7" xfId="0"/>
    <cellStyle name="Normal 12 5 2 3" xfId="0"/>
    <cellStyle name="Normal 12 5 2 3 2" xfId="0"/>
    <cellStyle name="Normal 12 5 2 3 2 2" xfId="0"/>
    <cellStyle name="Normal 12 5 2 3 2 2 2" xfId="0"/>
    <cellStyle name="Normal 12 5 2 3 2 2 2 2" xfId="0"/>
    <cellStyle name="Normal 12 5 2 3 2 2 2 2 2" xfId="0"/>
    <cellStyle name="Normal 12 5 2 3 2 2 2 3" xfId="0"/>
    <cellStyle name="Normal 12 5 2 3 2 2 3" xfId="0"/>
    <cellStyle name="Normal 12 5 2 3 2 2 3 2" xfId="0"/>
    <cellStyle name="Normal 12 5 2 3 2 2 4" xfId="0"/>
    <cellStyle name="Normal 12 5 2 3 2 3" xfId="0"/>
    <cellStyle name="Normal 12 5 2 3 2 3 2" xfId="0"/>
    <cellStyle name="Normal 12 5 2 3 2 3 2 2" xfId="0"/>
    <cellStyle name="Normal 12 5 2 3 2 3 3" xfId="0"/>
    <cellStyle name="Normal 12 5 2 3 2 4" xfId="0"/>
    <cellStyle name="Normal 12 5 2 3 2 4 2" xfId="0"/>
    <cellStyle name="Normal 12 5 2 3 2 5" xfId="0"/>
    <cellStyle name="Normal 12 5 2 3 3" xfId="0"/>
    <cellStyle name="Normal 12 5 2 3 3 2" xfId="0"/>
    <cellStyle name="Normal 12 5 2 3 3 2 2" xfId="0"/>
    <cellStyle name="Normal 12 5 2 3 3 2 2 2" xfId="0"/>
    <cellStyle name="Normal 12 5 2 3 3 2 3" xfId="0"/>
    <cellStyle name="Normal 12 5 2 3 3 3" xfId="0"/>
    <cellStyle name="Normal 12 5 2 3 3 3 2" xfId="0"/>
    <cellStyle name="Normal 12 5 2 3 3 4" xfId="0"/>
    <cellStyle name="Normal 12 5 2 3 4" xfId="0"/>
    <cellStyle name="Normal 12 5 2 3 4 2" xfId="0"/>
    <cellStyle name="Normal 12 5 2 3 4 2 2" xfId="0"/>
    <cellStyle name="Normal 12 5 2 3 4 3" xfId="0"/>
    <cellStyle name="Normal 12 5 2 3 5" xfId="0"/>
    <cellStyle name="Normal 12 5 2 3 5 2" xfId="0"/>
    <cellStyle name="Normal 12 5 2 3 6" xfId="0"/>
    <cellStyle name="Normal 12 5 2 4" xfId="0"/>
    <cellStyle name="Normal 12 5 2 4 2" xfId="0"/>
    <cellStyle name="Normal 12 5 2 4 2 2" xfId="0"/>
    <cellStyle name="Normal 12 5 2 4 2 2 2" xfId="0"/>
    <cellStyle name="Normal 12 5 2 4 2 2 2 2" xfId="0"/>
    <cellStyle name="Normal 12 5 2 4 2 2 3" xfId="0"/>
    <cellStyle name="Normal 12 5 2 4 2 3" xfId="0"/>
    <cellStyle name="Normal 12 5 2 4 2 3 2" xfId="0"/>
    <cellStyle name="Normal 12 5 2 4 2 4" xfId="0"/>
    <cellStyle name="Normal 12 5 2 4 3" xfId="0"/>
    <cellStyle name="Normal 12 5 2 4 3 2" xfId="0"/>
    <cellStyle name="Normal 12 5 2 4 3 2 2" xfId="0"/>
    <cellStyle name="Normal 12 5 2 4 3 3" xfId="0"/>
    <cellStyle name="Normal 12 5 2 4 4" xfId="0"/>
    <cellStyle name="Normal 12 5 2 4 4 2" xfId="0"/>
    <cellStyle name="Normal 12 5 2 4 5" xfId="0"/>
    <cellStyle name="Normal 12 5 2 5" xfId="0"/>
    <cellStyle name="Normal 12 5 2 5 2" xfId="0"/>
    <cellStyle name="Normal 12 5 2 5 2 2" xfId="0"/>
    <cellStyle name="Normal 12 5 2 5 2 2 2" xfId="0"/>
    <cellStyle name="Normal 12 5 2 5 2 3" xfId="0"/>
    <cellStyle name="Normal 12 5 2 5 3" xfId="0"/>
    <cellStyle name="Normal 12 5 2 5 3 2" xfId="0"/>
    <cellStyle name="Normal 12 5 2 5 4" xfId="0"/>
    <cellStyle name="Normal 12 5 2 6" xfId="0"/>
    <cellStyle name="Normal 12 5 2 6 2" xfId="0"/>
    <cellStyle name="Normal 12 5 2 6 2 2" xfId="0"/>
    <cellStyle name="Normal 12 5 2 6 3" xfId="0"/>
    <cellStyle name="Normal 12 5 2 7" xfId="0"/>
    <cellStyle name="Normal 12 5 2 7 2" xfId="0"/>
    <cellStyle name="Normal 12 5 2 8" xfId="0"/>
    <cellStyle name="Normal 12 5 3" xfId="0"/>
    <cellStyle name="Normal 12 5 3 2" xfId="0"/>
    <cellStyle name="Normal 12 5 3 2 2" xfId="0"/>
    <cellStyle name="Normal 12 5 3 2 2 2" xfId="0"/>
    <cellStyle name="Normal 12 5 3 2 2 2 2" xfId="0"/>
    <cellStyle name="Normal 12 5 3 2 2 2 2 2" xfId="0"/>
    <cellStyle name="Normal 12 5 3 2 2 2 2 2 2" xfId="0"/>
    <cellStyle name="Normal 12 5 3 2 2 2 2 2 2 2" xfId="0"/>
    <cellStyle name="Normal 12 5 3 2 2 2 2 2 3" xfId="0"/>
    <cellStyle name="Normal 12 5 3 2 2 2 2 3" xfId="0"/>
    <cellStyle name="Normal 12 5 3 2 2 2 2 3 2" xfId="0"/>
    <cellStyle name="Normal 12 5 3 2 2 2 2 4" xfId="0"/>
    <cellStyle name="Normal 12 5 3 2 2 2 3" xfId="0"/>
    <cellStyle name="Normal 12 5 3 2 2 2 3 2" xfId="0"/>
    <cellStyle name="Normal 12 5 3 2 2 2 3 2 2" xfId="0"/>
    <cellStyle name="Normal 12 5 3 2 2 2 3 3" xfId="0"/>
    <cellStyle name="Normal 12 5 3 2 2 2 4" xfId="0"/>
    <cellStyle name="Normal 12 5 3 2 2 2 4 2" xfId="0"/>
    <cellStyle name="Normal 12 5 3 2 2 2 5" xfId="0"/>
    <cellStyle name="Normal 12 5 3 2 2 3" xfId="0"/>
    <cellStyle name="Normal 12 5 3 2 2 3 2" xfId="0"/>
    <cellStyle name="Normal 12 5 3 2 2 3 2 2" xfId="0"/>
    <cellStyle name="Normal 12 5 3 2 2 3 2 2 2" xfId="0"/>
    <cellStyle name="Normal 12 5 3 2 2 3 2 3" xfId="0"/>
    <cellStyle name="Normal 12 5 3 2 2 3 3" xfId="0"/>
    <cellStyle name="Normal 12 5 3 2 2 3 3 2" xfId="0"/>
    <cellStyle name="Normal 12 5 3 2 2 3 4" xfId="0"/>
    <cellStyle name="Normal 12 5 3 2 2 4" xfId="0"/>
    <cellStyle name="Normal 12 5 3 2 2 4 2" xfId="0"/>
    <cellStyle name="Normal 12 5 3 2 2 4 2 2" xfId="0"/>
    <cellStyle name="Normal 12 5 3 2 2 4 3" xfId="0"/>
    <cellStyle name="Normal 12 5 3 2 2 5" xfId="0"/>
    <cellStyle name="Normal 12 5 3 2 2 5 2" xfId="0"/>
    <cellStyle name="Normal 12 5 3 2 2 6" xfId="0"/>
    <cellStyle name="Normal 12 5 3 2 3" xfId="0"/>
    <cellStyle name="Normal 12 5 3 2 3 2" xfId="0"/>
    <cellStyle name="Normal 12 5 3 2 3 2 2" xfId="0"/>
    <cellStyle name="Normal 12 5 3 2 3 2 2 2" xfId="0"/>
    <cellStyle name="Normal 12 5 3 2 3 2 2 2 2" xfId="0"/>
    <cellStyle name="Normal 12 5 3 2 3 2 2 3" xfId="0"/>
    <cellStyle name="Normal 12 5 3 2 3 2 3" xfId="0"/>
    <cellStyle name="Normal 12 5 3 2 3 2 3 2" xfId="0"/>
    <cellStyle name="Normal 12 5 3 2 3 2 4" xfId="0"/>
    <cellStyle name="Normal 12 5 3 2 3 3" xfId="0"/>
    <cellStyle name="Normal 12 5 3 2 3 3 2" xfId="0"/>
    <cellStyle name="Normal 12 5 3 2 3 3 2 2" xfId="0"/>
    <cellStyle name="Normal 12 5 3 2 3 3 3" xfId="0"/>
    <cellStyle name="Normal 12 5 3 2 3 4" xfId="0"/>
    <cellStyle name="Normal 12 5 3 2 3 4 2" xfId="0"/>
    <cellStyle name="Normal 12 5 3 2 3 5" xfId="0"/>
    <cellStyle name="Normal 12 5 3 2 4" xfId="0"/>
    <cellStyle name="Normal 12 5 3 2 4 2" xfId="0"/>
    <cellStyle name="Normal 12 5 3 2 4 2 2" xfId="0"/>
    <cellStyle name="Normal 12 5 3 2 4 2 2 2" xfId="0"/>
    <cellStyle name="Normal 12 5 3 2 4 2 3" xfId="0"/>
    <cellStyle name="Normal 12 5 3 2 4 3" xfId="0"/>
    <cellStyle name="Normal 12 5 3 2 4 3 2" xfId="0"/>
    <cellStyle name="Normal 12 5 3 2 4 4" xfId="0"/>
    <cellStyle name="Normal 12 5 3 2 5" xfId="0"/>
    <cellStyle name="Normal 12 5 3 2 5 2" xfId="0"/>
    <cellStyle name="Normal 12 5 3 2 5 2 2" xfId="0"/>
    <cellStyle name="Normal 12 5 3 2 5 3" xfId="0"/>
    <cellStyle name="Normal 12 5 3 2 6" xfId="0"/>
    <cellStyle name="Normal 12 5 3 2 6 2" xfId="0"/>
    <cellStyle name="Normal 12 5 3 2 7" xfId="0"/>
    <cellStyle name="Normal 12 5 3 3" xfId="0"/>
    <cellStyle name="Normal 12 5 3 3 2" xfId="0"/>
    <cellStyle name="Normal 12 5 3 3 2 2" xfId="0"/>
    <cellStyle name="Normal 12 5 3 3 2 2 2" xfId="0"/>
    <cellStyle name="Normal 12 5 3 3 2 2 2 2" xfId="0"/>
    <cellStyle name="Normal 12 5 3 3 2 2 2 2 2" xfId="0"/>
    <cellStyle name="Normal 12 5 3 3 2 2 2 3" xfId="0"/>
    <cellStyle name="Normal 12 5 3 3 2 2 3" xfId="0"/>
    <cellStyle name="Normal 12 5 3 3 2 2 3 2" xfId="0"/>
    <cellStyle name="Normal 12 5 3 3 2 2 4" xfId="0"/>
    <cellStyle name="Normal 12 5 3 3 2 3" xfId="0"/>
    <cellStyle name="Normal 12 5 3 3 2 3 2" xfId="0"/>
    <cellStyle name="Normal 12 5 3 3 2 3 2 2" xfId="0"/>
    <cellStyle name="Normal 12 5 3 3 2 3 3" xfId="0"/>
    <cellStyle name="Normal 12 5 3 3 2 4" xfId="0"/>
    <cellStyle name="Normal 12 5 3 3 2 4 2" xfId="0"/>
    <cellStyle name="Normal 12 5 3 3 2 5" xfId="0"/>
    <cellStyle name="Normal 12 5 3 3 3" xfId="0"/>
    <cellStyle name="Normal 12 5 3 3 3 2" xfId="0"/>
    <cellStyle name="Normal 12 5 3 3 3 2 2" xfId="0"/>
    <cellStyle name="Normal 12 5 3 3 3 2 2 2" xfId="0"/>
    <cellStyle name="Normal 12 5 3 3 3 2 3" xfId="0"/>
    <cellStyle name="Normal 12 5 3 3 3 3" xfId="0"/>
    <cellStyle name="Normal 12 5 3 3 3 3 2" xfId="0"/>
    <cellStyle name="Normal 12 5 3 3 3 4" xfId="0"/>
    <cellStyle name="Normal 12 5 3 3 4" xfId="0"/>
    <cellStyle name="Normal 12 5 3 3 4 2" xfId="0"/>
    <cellStyle name="Normal 12 5 3 3 4 2 2" xfId="0"/>
    <cellStyle name="Normal 12 5 3 3 4 3" xfId="0"/>
    <cellStyle name="Normal 12 5 3 3 5" xfId="0"/>
    <cellStyle name="Normal 12 5 3 3 5 2" xfId="0"/>
    <cellStyle name="Normal 12 5 3 3 6" xfId="0"/>
    <cellStyle name="Normal 12 5 3 4" xfId="0"/>
    <cellStyle name="Normal 12 5 3 4 2" xfId="0"/>
    <cellStyle name="Normal 12 5 3 4 2 2" xfId="0"/>
    <cellStyle name="Normal 12 5 3 4 2 2 2" xfId="0"/>
    <cellStyle name="Normal 12 5 3 4 2 2 2 2" xfId="0"/>
    <cellStyle name="Normal 12 5 3 4 2 2 3" xfId="0"/>
    <cellStyle name="Normal 12 5 3 4 2 3" xfId="0"/>
    <cellStyle name="Normal 12 5 3 4 2 3 2" xfId="0"/>
    <cellStyle name="Normal 12 5 3 4 2 4" xfId="0"/>
    <cellStyle name="Normal 12 5 3 4 3" xfId="0"/>
    <cellStyle name="Normal 12 5 3 4 3 2" xfId="0"/>
    <cellStyle name="Normal 12 5 3 4 3 2 2" xfId="0"/>
    <cellStyle name="Normal 12 5 3 4 3 3" xfId="0"/>
    <cellStyle name="Normal 12 5 3 4 4" xfId="0"/>
    <cellStyle name="Normal 12 5 3 4 4 2" xfId="0"/>
    <cellStyle name="Normal 12 5 3 4 5" xfId="0"/>
    <cellStyle name="Normal 12 5 3 5" xfId="0"/>
    <cellStyle name="Normal 12 5 3 5 2" xfId="0"/>
    <cellStyle name="Normal 12 5 3 5 2 2" xfId="0"/>
    <cellStyle name="Normal 12 5 3 5 2 2 2" xfId="0"/>
    <cellStyle name="Normal 12 5 3 5 2 3" xfId="0"/>
    <cellStyle name="Normal 12 5 3 5 3" xfId="0"/>
    <cellStyle name="Normal 12 5 3 5 3 2" xfId="0"/>
    <cellStyle name="Normal 12 5 3 5 4" xfId="0"/>
    <cellStyle name="Normal 12 5 3 6" xfId="0"/>
    <cellStyle name="Normal 12 5 3 6 2" xfId="0"/>
    <cellStyle name="Normal 12 5 3 6 2 2" xfId="0"/>
    <cellStyle name="Normal 12 5 3 6 3" xfId="0"/>
    <cellStyle name="Normal 12 5 3 7" xfId="0"/>
    <cellStyle name="Normal 12 5 3 7 2" xfId="0"/>
    <cellStyle name="Normal 12 5 3 8" xfId="0"/>
    <cellStyle name="Normal 12 5 4" xfId="0"/>
    <cellStyle name="Normal 12 5 4 2" xfId="0"/>
    <cellStyle name="Normal 12 5 4 2 2" xfId="0"/>
    <cellStyle name="Normal 12 5 4 2 2 2" xfId="0"/>
    <cellStyle name="Normal 12 5 4 2 2 2 2" xfId="0"/>
    <cellStyle name="Normal 12 5 4 2 2 2 2 2" xfId="0"/>
    <cellStyle name="Normal 12 5 4 2 2 2 2 2 2" xfId="0"/>
    <cellStyle name="Normal 12 5 4 2 2 2 2 3" xfId="0"/>
    <cellStyle name="Normal 12 5 4 2 2 2 3" xfId="0"/>
    <cellStyle name="Normal 12 5 4 2 2 2 3 2" xfId="0"/>
    <cellStyle name="Normal 12 5 4 2 2 2 4" xfId="0"/>
    <cellStyle name="Normal 12 5 4 2 2 3" xfId="0"/>
    <cellStyle name="Normal 12 5 4 2 2 3 2" xfId="0"/>
    <cellStyle name="Normal 12 5 4 2 2 3 2 2" xfId="0"/>
    <cellStyle name="Normal 12 5 4 2 2 3 3" xfId="0"/>
    <cellStyle name="Normal 12 5 4 2 2 4" xfId="0"/>
    <cellStyle name="Normal 12 5 4 2 2 4 2" xfId="0"/>
    <cellStyle name="Normal 12 5 4 2 2 5" xfId="0"/>
    <cellStyle name="Normal 12 5 4 2 3" xfId="0"/>
    <cellStyle name="Normal 12 5 4 2 3 2" xfId="0"/>
    <cellStyle name="Normal 12 5 4 2 3 2 2" xfId="0"/>
    <cellStyle name="Normal 12 5 4 2 3 2 2 2" xfId="0"/>
    <cellStyle name="Normal 12 5 4 2 3 2 3" xfId="0"/>
    <cellStyle name="Normal 12 5 4 2 3 3" xfId="0"/>
    <cellStyle name="Normal 12 5 4 2 3 3 2" xfId="0"/>
    <cellStyle name="Normal 12 5 4 2 3 4" xfId="0"/>
    <cellStyle name="Normal 12 5 4 2 4" xfId="0"/>
    <cellStyle name="Normal 12 5 4 2 4 2" xfId="0"/>
    <cellStyle name="Normal 12 5 4 2 4 2 2" xfId="0"/>
    <cellStyle name="Normal 12 5 4 2 4 3" xfId="0"/>
    <cellStyle name="Normal 12 5 4 2 5" xfId="0"/>
    <cellStyle name="Normal 12 5 4 2 5 2" xfId="0"/>
    <cellStyle name="Normal 12 5 4 2 6" xfId="0"/>
    <cellStyle name="Normal 12 5 4 3" xfId="0"/>
    <cellStyle name="Normal 12 5 4 3 2" xfId="0"/>
    <cellStyle name="Normal 12 5 4 3 2 2" xfId="0"/>
    <cellStyle name="Normal 12 5 4 3 2 2 2" xfId="0"/>
    <cellStyle name="Normal 12 5 4 3 2 2 2 2" xfId="0"/>
    <cellStyle name="Normal 12 5 4 3 2 2 3" xfId="0"/>
    <cellStyle name="Normal 12 5 4 3 2 3" xfId="0"/>
    <cellStyle name="Normal 12 5 4 3 2 3 2" xfId="0"/>
    <cellStyle name="Normal 12 5 4 3 2 4" xfId="0"/>
    <cellStyle name="Normal 12 5 4 3 3" xfId="0"/>
    <cellStyle name="Normal 12 5 4 3 3 2" xfId="0"/>
    <cellStyle name="Normal 12 5 4 3 3 2 2" xfId="0"/>
    <cellStyle name="Normal 12 5 4 3 3 3" xfId="0"/>
    <cellStyle name="Normal 12 5 4 3 4" xfId="0"/>
    <cellStyle name="Normal 12 5 4 3 4 2" xfId="0"/>
    <cellStyle name="Normal 12 5 4 3 5" xfId="0"/>
    <cellStyle name="Normal 12 5 4 4" xfId="0"/>
    <cellStyle name="Normal 12 5 4 4 2" xfId="0"/>
    <cellStyle name="Normal 12 5 4 4 2 2" xfId="0"/>
    <cellStyle name="Normal 12 5 4 4 2 2 2" xfId="0"/>
    <cellStyle name="Normal 12 5 4 4 2 3" xfId="0"/>
    <cellStyle name="Normal 12 5 4 4 3" xfId="0"/>
    <cellStyle name="Normal 12 5 4 4 3 2" xfId="0"/>
    <cellStyle name="Normal 12 5 4 4 4" xfId="0"/>
    <cellStyle name="Normal 12 5 4 5" xfId="0"/>
    <cellStyle name="Normal 12 5 4 5 2" xfId="0"/>
    <cellStyle name="Normal 12 5 4 5 2 2" xfId="0"/>
    <cellStyle name="Normal 12 5 4 5 3" xfId="0"/>
    <cellStyle name="Normal 12 5 4 6" xfId="0"/>
    <cellStyle name="Normal 12 5 4 6 2" xfId="0"/>
    <cellStyle name="Normal 12 5 4 7" xfId="0"/>
    <cellStyle name="Normal 12 5 5" xfId="0"/>
    <cellStyle name="Normal 12 5 5 2" xfId="0"/>
    <cellStyle name="Normal 12 5 5 2 2" xfId="0"/>
    <cellStyle name="Normal 12 5 5 2 2 2" xfId="0"/>
    <cellStyle name="Normal 12 5 5 2 2 2 2" xfId="0"/>
    <cellStyle name="Normal 12 5 5 2 2 2 2 2" xfId="0"/>
    <cellStyle name="Normal 12 5 5 2 2 2 2 2 2" xfId="0"/>
    <cellStyle name="Normal 12 5 5 2 2 2 2 3" xfId="0"/>
    <cellStyle name="Normal 12 5 5 2 2 2 3" xfId="0"/>
    <cellStyle name="Normal 12 5 5 2 2 2 3 2" xfId="0"/>
    <cellStyle name="Normal 12 5 5 2 2 2 4" xfId="0"/>
    <cellStyle name="Normal 12 5 5 2 2 3" xfId="0"/>
    <cellStyle name="Normal 12 5 5 2 2 3 2" xfId="0"/>
    <cellStyle name="Normal 12 5 5 2 2 3 2 2" xfId="0"/>
    <cellStyle name="Normal 12 5 5 2 2 3 3" xfId="0"/>
    <cellStyle name="Normal 12 5 5 2 2 4" xfId="0"/>
    <cellStyle name="Normal 12 5 5 2 2 4 2" xfId="0"/>
    <cellStyle name="Normal 12 5 5 2 2 5" xfId="0"/>
    <cellStyle name="Normal 12 5 5 2 3" xfId="0"/>
    <cellStyle name="Normal 12 5 5 2 3 2" xfId="0"/>
    <cellStyle name="Normal 12 5 5 2 3 2 2" xfId="0"/>
    <cellStyle name="Normal 12 5 5 2 3 2 2 2" xfId="0"/>
    <cellStyle name="Normal 12 5 5 2 3 2 3" xfId="0"/>
    <cellStyle name="Normal 12 5 5 2 3 3" xfId="0"/>
    <cellStyle name="Normal 12 5 5 2 3 3 2" xfId="0"/>
    <cellStyle name="Normal 12 5 5 2 3 4" xfId="0"/>
    <cellStyle name="Normal 12 5 5 2 4" xfId="0"/>
    <cellStyle name="Normal 12 5 5 2 4 2" xfId="0"/>
    <cellStyle name="Normal 12 5 5 2 4 2 2" xfId="0"/>
    <cellStyle name="Normal 12 5 5 2 4 3" xfId="0"/>
    <cellStyle name="Normal 12 5 5 2 5" xfId="0"/>
    <cellStyle name="Normal 12 5 5 2 5 2" xfId="0"/>
    <cellStyle name="Normal 12 5 5 2 6" xfId="0"/>
    <cellStyle name="Normal 12 5 5 3" xfId="0"/>
    <cellStyle name="Normal 12 5 5 3 2" xfId="0"/>
    <cellStyle name="Normal 12 5 5 3 2 2" xfId="0"/>
    <cellStyle name="Normal 12 5 5 3 2 2 2" xfId="0"/>
    <cellStyle name="Normal 12 5 5 3 2 2 2 2" xfId="0"/>
    <cellStyle name="Normal 12 5 5 3 2 2 3" xfId="0"/>
    <cellStyle name="Normal 12 5 5 3 2 3" xfId="0"/>
    <cellStyle name="Normal 12 5 5 3 2 3 2" xfId="0"/>
    <cellStyle name="Normal 12 5 5 3 2 4" xfId="0"/>
    <cellStyle name="Normal 12 5 5 3 3" xfId="0"/>
    <cellStyle name="Normal 12 5 5 3 3 2" xfId="0"/>
    <cellStyle name="Normal 12 5 5 3 3 2 2" xfId="0"/>
    <cellStyle name="Normal 12 5 5 3 3 3" xfId="0"/>
    <cellStyle name="Normal 12 5 5 3 4" xfId="0"/>
    <cellStyle name="Normal 12 5 5 3 4 2" xfId="0"/>
    <cellStyle name="Normal 12 5 5 3 5" xfId="0"/>
    <cellStyle name="Normal 12 5 5 4" xfId="0"/>
    <cellStyle name="Normal 12 5 5 4 2" xfId="0"/>
    <cellStyle name="Normal 12 5 5 4 2 2" xfId="0"/>
    <cellStyle name="Normal 12 5 5 4 2 2 2" xfId="0"/>
    <cellStyle name="Normal 12 5 5 4 2 3" xfId="0"/>
    <cellStyle name="Normal 12 5 5 4 3" xfId="0"/>
    <cellStyle name="Normal 12 5 5 4 3 2" xfId="0"/>
    <cellStyle name="Normal 12 5 5 4 4" xfId="0"/>
    <cellStyle name="Normal 12 5 5 5" xfId="0"/>
    <cellStyle name="Normal 12 5 5 5 2" xfId="0"/>
    <cellStyle name="Normal 12 5 5 5 2 2" xfId="0"/>
    <cellStyle name="Normal 12 5 5 5 3" xfId="0"/>
    <cellStyle name="Normal 12 5 5 6" xfId="0"/>
    <cellStyle name="Normal 12 5 5 6 2" xfId="0"/>
    <cellStyle name="Normal 12 5 5 7" xfId="0"/>
    <cellStyle name="Normal 12 5 6" xfId="0"/>
    <cellStyle name="Normal 12 5 6 2" xfId="0"/>
    <cellStyle name="Normal 12 5 6 2 2" xfId="0"/>
    <cellStyle name="Normal 12 5 6 2 2 2" xfId="0"/>
    <cellStyle name="Normal 12 5 6 2 2 2 2" xfId="0"/>
    <cellStyle name="Normal 12 5 6 2 2 2 2 2" xfId="0"/>
    <cellStyle name="Normal 12 5 6 2 2 2 3" xfId="0"/>
    <cellStyle name="Normal 12 5 6 2 2 3" xfId="0"/>
    <cellStyle name="Normal 12 5 6 2 2 3 2" xfId="0"/>
    <cellStyle name="Normal 12 5 6 2 2 4" xfId="0"/>
    <cellStyle name="Normal 12 5 6 2 3" xfId="0"/>
    <cellStyle name="Normal 12 5 6 2 3 2" xfId="0"/>
    <cellStyle name="Normal 12 5 6 2 3 2 2" xfId="0"/>
    <cellStyle name="Normal 12 5 6 2 3 3" xfId="0"/>
    <cellStyle name="Normal 12 5 6 2 4" xfId="0"/>
    <cellStyle name="Normal 12 5 6 2 4 2" xfId="0"/>
    <cellStyle name="Normal 12 5 6 2 5" xfId="0"/>
    <cellStyle name="Normal 12 5 6 3" xfId="0"/>
    <cellStyle name="Normal 12 5 6 3 2" xfId="0"/>
    <cellStyle name="Normal 12 5 6 3 2 2" xfId="0"/>
    <cellStyle name="Normal 12 5 6 3 2 2 2" xfId="0"/>
    <cellStyle name="Normal 12 5 6 3 2 3" xfId="0"/>
    <cellStyle name="Normal 12 5 6 3 3" xfId="0"/>
    <cellStyle name="Normal 12 5 6 3 3 2" xfId="0"/>
    <cellStyle name="Normal 12 5 6 3 4" xfId="0"/>
    <cellStyle name="Normal 12 5 6 4" xfId="0"/>
    <cellStyle name="Normal 12 5 6 4 2" xfId="0"/>
    <cellStyle name="Normal 12 5 6 4 2 2" xfId="0"/>
    <cellStyle name="Normal 12 5 6 4 3" xfId="0"/>
    <cellStyle name="Normal 12 5 6 5" xfId="0"/>
    <cellStyle name="Normal 12 5 6 5 2" xfId="0"/>
    <cellStyle name="Normal 12 5 6 6" xfId="0"/>
    <cellStyle name="Normal 12 5 7" xfId="0"/>
    <cellStyle name="Normal 12 5 7 2" xfId="0"/>
    <cellStyle name="Normal 12 5 7 2 2" xfId="0"/>
    <cellStyle name="Normal 12 5 7 2 2 2" xfId="0"/>
    <cellStyle name="Normal 12 5 7 2 2 2 2" xfId="0"/>
    <cellStyle name="Normal 12 5 7 2 2 3" xfId="0"/>
    <cellStyle name="Normal 12 5 7 2 3" xfId="0"/>
    <cellStyle name="Normal 12 5 7 2 3 2" xfId="0"/>
    <cellStyle name="Normal 12 5 7 2 4" xfId="0"/>
    <cellStyle name="Normal 12 5 7 3" xfId="0"/>
    <cellStyle name="Normal 12 5 7 3 2" xfId="0"/>
    <cellStyle name="Normal 12 5 7 3 2 2" xfId="0"/>
    <cellStyle name="Normal 12 5 7 3 3" xfId="0"/>
    <cellStyle name="Normal 12 5 7 4" xfId="0"/>
    <cellStyle name="Normal 12 5 7 4 2" xfId="0"/>
    <cellStyle name="Normal 12 5 7 5" xfId="0"/>
    <cellStyle name="Normal 12 5 8" xfId="0"/>
    <cellStyle name="Normal 12 5 8 2" xfId="0"/>
    <cellStyle name="Normal 12 5 8 2 2" xfId="0"/>
    <cellStyle name="Normal 12 5 8 2 2 2" xfId="0"/>
    <cellStyle name="Normal 12 5 8 2 3" xfId="0"/>
    <cellStyle name="Normal 12 5 8 3" xfId="0"/>
    <cellStyle name="Normal 12 5 8 3 2" xfId="0"/>
    <cellStyle name="Normal 12 5 8 4" xfId="0"/>
    <cellStyle name="Normal 12 5 9" xfId="0"/>
    <cellStyle name="Normal 12 5 9 2" xfId="0"/>
    <cellStyle name="Normal 12 5 9 2 2" xfId="0"/>
    <cellStyle name="Normal 12 5 9 3" xfId="0"/>
    <cellStyle name="Normal 12 6" xfId="0"/>
    <cellStyle name="Normal 12 6 2" xfId="0"/>
    <cellStyle name="Normal 12 6 2 2" xfId="0"/>
    <cellStyle name="Normal 12 6 2 2 2" xfId="0"/>
    <cellStyle name="Normal 12 6 2 2 2 2" xfId="0"/>
    <cellStyle name="Normal 12 6 2 2 2 2 2" xfId="0"/>
    <cellStyle name="Normal 12 6 2 2 2 2 2 2" xfId="0"/>
    <cellStyle name="Normal 12 6 2 2 2 2 2 2 2" xfId="0"/>
    <cellStyle name="Normal 12 6 2 2 2 2 2 3" xfId="0"/>
    <cellStyle name="Normal 12 6 2 2 2 2 3" xfId="0"/>
    <cellStyle name="Normal 12 6 2 2 2 2 3 2" xfId="0"/>
    <cellStyle name="Normal 12 6 2 2 2 2 4" xfId="0"/>
    <cellStyle name="Normal 12 6 2 2 2 3" xfId="0"/>
    <cellStyle name="Normal 12 6 2 2 2 3 2" xfId="0"/>
    <cellStyle name="Normal 12 6 2 2 2 3 2 2" xfId="0"/>
    <cellStyle name="Normal 12 6 2 2 2 3 3" xfId="0"/>
    <cellStyle name="Normal 12 6 2 2 2 4" xfId="0"/>
    <cellStyle name="Normal 12 6 2 2 2 4 2" xfId="0"/>
    <cellStyle name="Normal 12 6 2 2 2 5" xfId="0"/>
    <cellStyle name="Normal 12 6 2 2 3" xfId="0"/>
    <cellStyle name="Normal 12 6 2 2 3 2" xfId="0"/>
    <cellStyle name="Normal 12 6 2 2 3 2 2" xfId="0"/>
    <cellStyle name="Normal 12 6 2 2 3 2 2 2" xfId="0"/>
    <cellStyle name="Normal 12 6 2 2 3 2 3" xfId="0"/>
    <cellStyle name="Normal 12 6 2 2 3 3" xfId="0"/>
    <cellStyle name="Normal 12 6 2 2 3 3 2" xfId="0"/>
    <cellStyle name="Normal 12 6 2 2 3 4" xfId="0"/>
    <cellStyle name="Normal 12 6 2 2 4" xfId="0"/>
    <cellStyle name="Normal 12 6 2 2 4 2" xfId="0"/>
    <cellStyle name="Normal 12 6 2 2 4 2 2" xfId="0"/>
    <cellStyle name="Normal 12 6 2 2 4 3" xfId="0"/>
    <cellStyle name="Normal 12 6 2 2 5" xfId="0"/>
    <cellStyle name="Normal 12 6 2 2 5 2" xfId="0"/>
    <cellStyle name="Normal 12 6 2 2 6" xfId="0"/>
    <cellStyle name="Normal 12 6 2 3" xfId="0"/>
    <cellStyle name="Normal 12 6 2 3 2" xfId="0"/>
    <cellStyle name="Normal 12 6 2 3 2 2" xfId="0"/>
    <cellStyle name="Normal 12 6 2 3 2 2 2" xfId="0"/>
    <cellStyle name="Normal 12 6 2 3 2 2 2 2" xfId="0"/>
    <cellStyle name="Normal 12 6 2 3 2 2 3" xfId="0"/>
    <cellStyle name="Normal 12 6 2 3 2 3" xfId="0"/>
    <cellStyle name="Normal 12 6 2 3 2 3 2" xfId="0"/>
    <cellStyle name="Normal 12 6 2 3 2 4" xfId="0"/>
    <cellStyle name="Normal 12 6 2 3 3" xfId="0"/>
    <cellStyle name="Normal 12 6 2 3 3 2" xfId="0"/>
    <cellStyle name="Normal 12 6 2 3 3 2 2" xfId="0"/>
    <cellStyle name="Normal 12 6 2 3 3 3" xfId="0"/>
    <cellStyle name="Normal 12 6 2 3 4" xfId="0"/>
    <cellStyle name="Normal 12 6 2 3 4 2" xfId="0"/>
    <cellStyle name="Normal 12 6 2 3 5" xfId="0"/>
    <cellStyle name="Normal 12 6 2 4" xfId="0"/>
    <cellStyle name="Normal 12 6 2 4 2" xfId="0"/>
    <cellStyle name="Normal 12 6 2 4 2 2" xfId="0"/>
    <cellStyle name="Normal 12 6 2 4 2 2 2" xfId="0"/>
    <cellStyle name="Normal 12 6 2 4 2 3" xfId="0"/>
    <cellStyle name="Normal 12 6 2 4 3" xfId="0"/>
    <cellStyle name="Normal 12 6 2 4 3 2" xfId="0"/>
    <cellStyle name="Normal 12 6 2 4 4" xfId="0"/>
    <cellStyle name="Normal 12 6 2 5" xfId="0"/>
    <cellStyle name="Normal 12 6 2 5 2" xfId="0"/>
    <cellStyle name="Normal 12 6 2 5 2 2" xfId="0"/>
    <cellStyle name="Normal 12 6 2 5 3" xfId="0"/>
    <cellStyle name="Normal 12 6 2 6" xfId="0"/>
    <cellStyle name="Normal 12 6 2 6 2" xfId="0"/>
    <cellStyle name="Normal 12 6 2 7" xfId="0"/>
    <cellStyle name="Normal 12 6 3" xfId="0"/>
    <cellStyle name="Normal 12 6 3 2" xfId="0"/>
    <cellStyle name="Normal 12 6 3 2 2" xfId="0"/>
    <cellStyle name="Normal 12 6 3 2 2 2" xfId="0"/>
    <cellStyle name="Normal 12 6 3 2 2 2 2" xfId="0"/>
    <cellStyle name="Normal 12 6 3 2 2 2 2 2" xfId="0"/>
    <cellStyle name="Normal 12 6 3 2 2 2 3" xfId="0"/>
    <cellStyle name="Normal 12 6 3 2 2 3" xfId="0"/>
    <cellStyle name="Normal 12 6 3 2 2 3 2" xfId="0"/>
    <cellStyle name="Normal 12 6 3 2 2 4" xfId="0"/>
    <cellStyle name="Normal 12 6 3 2 3" xfId="0"/>
    <cellStyle name="Normal 12 6 3 2 3 2" xfId="0"/>
    <cellStyle name="Normal 12 6 3 2 3 2 2" xfId="0"/>
    <cellStyle name="Normal 12 6 3 2 3 3" xfId="0"/>
    <cellStyle name="Normal 12 6 3 2 4" xfId="0"/>
    <cellStyle name="Normal 12 6 3 2 4 2" xfId="0"/>
    <cellStyle name="Normal 12 6 3 2 5" xfId="0"/>
    <cellStyle name="Normal 12 6 3 3" xfId="0"/>
    <cellStyle name="Normal 12 6 3 3 2" xfId="0"/>
    <cellStyle name="Normal 12 6 3 3 2 2" xfId="0"/>
    <cellStyle name="Normal 12 6 3 3 2 2 2" xfId="0"/>
    <cellStyle name="Normal 12 6 3 3 2 3" xfId="0"/>
    <cellStyle name="Normal 12 6 3 3 3" xfId="0"/>
    <cellStyle name="Normal 12 6 3 3 3 2" xfId="0"/>
    <cellStyle name="Normal 12 6 3 3 4" xfId="0"/>
    <cellStyle name="Normal 12 6 3 4" xfId="0"/>
    <cellStyle name="Normal 12 6 3 4 2" xfId="0"/>
    <cellStyle name="Normal 12 6 3 4 2 2" xfId="0"/>
    <cellStyle name="Normal 12 6 3 4 3" xfId="0"/>
    <cellStyle name="Normal 12 6 3 5" xfId="0"/>
    <cellStyle name="Normal 12 6 3 5 2" xfId="0"/>
    <cellStyle name="Normal 12 6 3 6" xfId="0"/>
    <cellStyle name="Normal 12 6 4" xfId="0"/>
    <cellStyle name="Normal 12 6 4 2" xfId="0"/>
    <cellStyle name="Normal 12 6 4 2 2" xfId="0"/>
    <cellStyle name="Normal 12 6 4 2 2 2" xfId="0"/>
    <cellStyle name="Normal 12 6 4 2 2 2 2" xfId="0"/>
    <cellStyle name="Normal 12 6 4 2 2 3" xfId="0"/>
    <cellStyle name="Normal 12 6 4 2 3" xfId="0"/>
    <cellStyle name="Normal 12 6 4 2 3 2" xfId="0"/>
    <cellStyle name="Normal 12 6 4 2 4" xfId="0"/>
    <cellStyle name="Normal 12 6 4 3" xfId="0"/>
    <cellStyle name="Normal 12 6 4 3 2" xfId="0"/>
    <cellStyle name="Normal 12 6 4 3 2 2" xfId="0"/>
    <cellStyle name="Normal 12 6 4 3 3" xfId="0"/>
    <cellStyle name="Normal 12 6 4 4" xfId="0"/>
    <cellStyle name="Normal 12 6 4 4 2" xfId="0"/>
    <cellStyle name="Normal 12 6 4 5" xfId="0"/>
    <cellStyle name="Normal 12 6 5" xfId="0"/>
    <cellStyle name="Normal 12 6 5 2" xfId="0"/>
    <cellStyle name="Normal 12 6 5 2 2" xfId="0"/>
    <cellStyle name="Normal 12 6 5 2 2 2" xfId="0"/>
    <cellStyle name="Normal 12 6 5 2 3" xfId="0"/>
    <cellStyle name="Normal 12 6 5 3" xfId="0"/>
    <cellStyle name="Normal 12 6 5 3 2" xfId="0"/>
    <cellStyle name="Normal 12 6 5 4" xfId="0"/>
    <cellStyle name="Normal 12 6 6" xfId="0"/>
    <cellStyle name="Normal 12 6 6 2" xfId="0"/>
    <cellStyle name="Normal 12 6 6 2 2" xfId="0"/>
    <cellStyle name="Normal 12 6 6 3" xfId="0"/>
    <cellStyle name="Normal 12 6 7" xfId="0"/>
    <cellStyle name="Normal 12 6 7 2" xfId="0"/>
    <cellStyle name="Normal 12 6 8" xfId="0"/>
    <cellStyle name="Normal 12 7" xfId="0"/>
    <cellStyle name="Normal 12 7 2" xfId="0"/>
    <cellStyle name="Normal 12 7 2 2" xfId="0"/>
    <cellStyle name="Normal 12 7 2 2 2" xfId="0"/>
    <cellStyle name="Normal 12 7 2 2 2 2" xfId="0"/>
    <cellStyle name="Normal 12 7 2 2 2 2 2" xfId="0"/>
    <cellStyle name="Normal 12 7 2 2 2 2 2 2" xfId="0"/>
    <cellStyle name="Normal 12 7 2 2 2 2 2 2 2" xfId="0"/>
    <cellStyle name="Normal 12 7 2 2 2 2 2 3" xfId="0"/>
    <cellStyle name="Normal 12 7 2 2 2 2 3" xfId="0"/>
    <cellStyle name="Normal 12 7 2 2 2 2 3 2" xfId="0"/>
    <cellStyle name="Normal 12 7 2 2 2 2 4" xfId="0"/>
    <cellStyle name="Normal 12 7 2 2 2 3" xfId="0"/>
    <cellStyle name="Normal 12 7 2 2 2 3 2" xfId="0"/>
    <cellStyle name="Normal 12 7 2 2 2 3 2 2" xfId="0"/>
    <cellStyle name="Normal 12 7 2 2 2 3 3" xfId="0"/>
    <cellStyle name="Normal 12 7 2 2 2 4" xfId="0"/>
    <cellStyle name="Normal 12 7 2 2 2 4 2" xfId="0"/>
    <cellStyle name="Normal 12 7 2 2 2 5" xfId="0"/>
    <cellStyle name="Normal 12 7 2 2 3" xfId="0"/>
    <cellStyle name="Normal 12 7 2 2 3 2" xfId="0"/>
    <cellStyle name="Normal 12 7 2 2 3 2 2" xfId="0"/>
    <cellStyle name="Normal 12 7 2 2 3 2 2 2" xfId="0"/>
    <cellStyle name="Normal 12 7 2 2 3 2 3" xfId="0"/>
    <cellStyle name="Normal 12 7 2 2 3 3" xfId="0"/>
    <cellStyle name="Normal 12 7 2 2 3 3 2" xfId="0"/>
    <cellStyle name="Normal 12 7 2 2 3 4" xfId="0"/>
    <cellStyle name="Normal 12 7 2 2 4" xfId="0"/>
    <cellStyle name="Normal 12 7 2 2 4 2" xfId="0"/>
    <cellStyle name="Normal 12 7 2 2 4 2 2" xfId="0"/>
    <cellStyle name="Normal 12 7 2 2 4 3" xfId="0"/>
    <cellStyle name="Normal 12 7 2 2 5" xfId="0"/>
    <cellStyle name="Normal 12 7 2 2 5 2" xfId="0"/>
    <cellStyle name="Normal 12 7 2 2 6" xfId="0"/>
    <cellStyle name="Normal 12 7 2 3" xfId="0"/>
    <cellStyle name="Normal 12 7 2 3 2" xfId="0"/>
    <cellStyle name="Normal 12 7 2 3 2 2" xfId="0"/>
    <cellStyle name="Normal 12 7 2 3 2 2 2" xfId="0"/>
    <cellStyle name="Normal 12 7 2 3 2 2 2 2" xfId="0"/>
    <cellStyle name="Normal 12 7 2 3 2 2 3" xfId="0"/>
    <cellStyle name="Normal 12 7 2 3 2 3" xfId="0"/>
    <cellStyle name="Normal 12 7 2 3 2 3 2" xfId="0"/>
    <cellStyle name="Normal 12 7 2 3 2 4" xfId="0"/>
    <cellStyle name="Normal 12 7 2 3 3" xfId="0"/>
    <cellStyle name="Normal 12 7 2 3 3 2" xfId="0"/>
    <cellStyle name="Normal 12 7 2 3 3 2 2" xfId="0"/>
    <cellStyle name="Normal 12 7 2 3 3 3" xfId="0"/>
    <cellStyle name="Normal 12 7 2 3 4" xfId="0"/>
    <cellStyle name="Normal 12 7 2 3 4 2" xfId="0"/>
    <cellStyle name="Normal 12 7 2 3 5" xfId="0"/>
    <cellStyle name="Normal 12 7 2 4" xfId="0"/>
    <cellStyle name="Normal 12 7 2 4 2" xfId="0"/>
    <cellStyle name="Normal 12 7 2 4 2 2" xfId="0"/>
    <cellStyle name="Normal 12 7 2 4 2 2 2" xfId="0"/>
    <cellStyle name="Normal 12 7 2 4 2 3" xfId="0"/>
    <cellStyle name="Normal 12 7 2 4 3" xfId="0"/>
    <cellStyle name="Normal 12 7 2 4 3 2" xfId="0"/>
    <cellStyle name="Normal 12 7 2 4 4" xfId="0"/>
    <cellStyle name="Normal 12 7 2 5" xfId="0"/>
    <cellStyle name="Normal 12 7 2 5 2" xfId="0"/>
    <cellStyle name="Normal 12 7 2 5 2 2" xfId="0"/>
    <cellStyle name="Normal 12 7 2 5 3" xfId="0"/>
    <cellStyle name="Normal 12 7 2 6" xfId="0"/>
    <cellStyle name="Normal 12 7 2 6 2" xfId="0"/>
    <cellStyle name="Normal 12 7 2 7" xfId="0"/>
    <cellStyle name="Normal 12 7 3" xfId="0"/>
    <cellStyle name="Normal 12 7 3 2" xfId="0"/>
    <cellStyle name="Normal 12 7 3 2 2" xfId="0"/>
    <cellStyle name="Normal 12 7 3 2 2 2" xfId="0"/>
    <cellStyle name="Normal 12 7 3 2 2 2 2" xfId="0"/>
    <cellStyle name="Normal 12 7 3 2 2 2 2 2" xfId="0"/>
    <cellStyle name="Normal 12 7 3 2 2 2 3" xfId="0"/>
    <cellStyle name="Normal 12 7 3 2 2 3" xfId="0"/>
    <cellStyle name="Normal 12 7 3 2 2 3 2" xfId="0"/>
    <cellStyle name="Normal 12 7 3 2 2 4" xfId="0"/>
    <cellStyle name="Normal 12 7 3 2 3" xfId="0"/>
    <cellStyle name="Normal 12 7 3 2 3 2" xfId="0"/>
    <cellStyle name="Normal 12 7 3 2 3 2 2" xfId="0"/>
    <cellStyle name="Normal 12 7 3 2 3 3" xfId="0"/>
    <cellStyle name="Normal 12 7 3 2 4" xfId="0"/>
    <cellStyle name="Normal 12 7 3 2 4 2" xfId="0"/>
    <cellStyle name="Normal 12 7 3 2 5" xfId="0"/>
    <cellStyle name="Normal 12 7 3 3" xfId="0"/>
    <cellStyle name="Normal 12 7 3 3 2" xfId="0"/>
    <cellStyle name="Normal 12 7 3 3 2 2" xfId="0"/>
    <cellStyle name="Normal 12 7 3 3 2 2 2" xfId="0"/>
    <cellStyle name="Normal 12 7 3 3 2 3" xfId="0"/>
    <cellStyle name="Normal 12 7 3 3 3" xfId="0"/>
    <cellStyle name="Normal 12 7 3 3 3 2" xfId="0"/>
    <cellStyle name="Normal 12 7 3 3 4" xfId="0"/>
    <cellStyle name="Normal 12 7 3 4" xfId="0"/>
    <cellStyle name="Normal 12 7 3 4 2" xfId="0"/>
    <cellStyle name="Normal 12 7 3 4 2 2" xfId="0"/>
    <cellStyle name="Normal 12 7 3 4 3" xfId="0"/>
    <cellStyle name="Normal 12 7 3 5" xfId="0"/>
    <cellStyle name="Normal 12 7 3 5 2" xfId="0"/>
    <cellStyle name="Normal 12 7 3 6" xfId="0"/>
    <cellStyle name="Normal 12 7 4" xfId="0"/>
    <cellStyle name="Normal 12 7 4 2" xfId="0"/>
    <cellStyle name="Normal 12 7 4 2 2" xfId="0"/>
    <cellStyle name="Normal 12 7 4 2 2 2" xfId="0"/>
    <cellStyle name="Normal 12 7 4 2 2 2 2" xfId="0"/>
    <cellStyle name="Normal 12 7 4 2 2 3" xfId="0"/>
    <cellStyle name="Normal 12 7 4 2 3" xfId="0"/>
    <cellStyle name="Normal 12 7 4 2 3 2" xfId="0"/>
    <cellStyle name="Normal 12 7 4 2 4" xfId="0"/>
    <cellStyle name="Normal 12 7 4 3" xfId="0"/>
    <cellStyle name="Normal 12 7 4 3 2" xfId="0"/>
    <cellStyle name="Normal 12 7 4 3 2 2" xfId="0"/>
    <cellStyle name="Normal 12 7 4 3 3" xfId="0"/>
    <cellStyle name="Normal 12 7 4 4" xfId="0"/>
    <cellStyle name="Normal 12 7 4 4 2" xfId="0"/>
    <cellStyle name="Normal 12 7 4 5" xfId="0"/>
    <cellStyle name="Normal 12 7 5" xfId="0"/>
    <cellStyle name="Normal 12 7 5 2" xfId="0"/>
    <cellStyle name="Normal 12 7 5 2 2" xfId="0"/>
    <cellStyle name="Normal 12 7 5 2 2 2" xfId="0"/>
    <cellStyle name="Normal 12 7 5 2 3" xfId="0"/>
    <cellStyle name="Normal 12 7 5 3" xfId="0"/>
    <cellStyle name="Normal 12 7 5 3 2" xfId="0"/>
    <cellStyle name="Normal 12 7 5 4" xfId="0"/>
    <cellStyle name="Normal 12 7 6" xfId="0"/>
    <cellStyle name="Normal 12 7 6 2" xfId="0"/>
    <cellStyle name="Normal 12 7 6 2 2" xfId="0"/>
    <cellStyle name="Normal 12 7 6 3" xfId="0"/>
    <cellStyle name="Normal 12 7 7" xfId="0"/>
    <cellStyle name="Normal 12 7 7 2" xfId="0"/>
    <cellStyle name="Normal 12 7 8" xfId="0"/>
    <cellStyle name="Normal 12 8" xfId="0"/>
    <cellStyle name="Normal 12 8 2" xfId="0"/>
    <cellStyle name="Normal 12 8 2 2" xfId="0"/>
    <cellStyle name="Normal 12 8 2 2 2" xfId="0"/>
    <cellStyle name="Normal 12 8 2 2 2 2" xfId="0"/>
    <cellStyle name="Normal 12 8 2 2 2 2 2" xfId="0"/>
    <cellStyle name="Normal 12 8 2 2 2 2 2 2" xfId="0"/>
    <cellStyle name="Normal 12 8 2 2 2 2 3" xfId="0"/>
    <cellStyle name="Normal 12 8 2 2 2 3" xfId="0"/>
    <cellStyle name="Normal 12 8 2 2 2 3 2" xfId="0"/>
    <cellStyle name="Normal 12 8 2 2 2 4" xfId="0"/>
    <cellStyle name="Normal 12 8 2 2 3" xfId="0"/>
    <cellStyle name="Normal 12 8 2 2 3 2" xfId="0"/>
    <cellStyle name="Normal 12 8 2 2 3 2 2" xfId="0"/>
    <cellStyle name="Normal 12 8 2 2 3 3" xfId="0"/>
    <cellStyle name="Normal 12 8 2 2 4" xfId="0"/>
    <cellStyle name="Normal 12 8 2 2 4 2" xfId="0"/>
    <cellStyle name="Normal 12 8 2 2 5" xfId="0"/>
    <cellStyle name="Normal 12 8 2 3" xfId="0"/>
    <cellStyle name="Normal 12 8 2 3 2" xfId="0"/>
    <cellStyle name="Normal 12 8 2 3 2 2" xfId="0"/>
    <cellStyle name="Normal 12 8 2 3 2 2 2" xfId="0"/>
    <cellStyle name="Normal 12 8 2 3 2 3" xfId="0"/>
    <cellStyle name="Normal 12 8 2 3 3" xfId="0"/>
    <cellStyle name="Normal 12 8 2 3 3 2" xfId="0"/>
    <cellStyle name="Normal 12 8 2 3 4" xfId="0"/>
    <cellStyle name="Normal 12 8 2 4" xfId="0"/>
    <cellStyle name="Normal 12 8 2 4 2" xfId="0"/>
    <cellStyle name="Normal 12 8 2 4 2 2" xfId="0"/>
    <cellStyle name="Normal 12 8 2 4 3" xfId="0"/>
    <cellStyle name="Normal 12 8 2 5" xfId="0"/>
    <cellStyle name="Normal 12 8 2 5 2" xfId="0"/>
    <cellStyle name="Normal 12 8 2 6" xfId="0"/>
    <cellStyle name="Normal 12 8 3" xfId="0"/>
    <cellStyle name="Normal 12 8 3 2" xfId="0"/>
    <cellStyle name="Normal 12 8 3 2 2" xfId="0"/>
    <cellStyle name="Normal 12 8 3 2 2 2" xfId="0"/>
    <cellStyle name="Normal 12 8 3 2 2 2 2" xfId="0"/>
    <cellStyle name="Normal 12 8 3 2 2 3" xfId="0"/>
    <cellStyle name="Normal 12 8 3 2 3" xfId="0"/>
    <cellStyle name="Normal 12 8 3 2 3 2" xfId="0"/>
    <cellStyle name="Normal 12 8 3 2 4" xfId="0"/>
    <cellStyle name="Normal 12 8 3 3" xfId="0"/>
    <cellStyle name="Normal 12 8 3 3 2" xfId="0"/>
    <cellStyle name="Normal 12 8 3 3 2 2" xfId="0"/>
    <cellStyle name="Normal 12 8 3 3 3" xfId="0"/>
    <cellStyle name="Normal 12 8 3 4" xfId="0"/>
    <cellStyle name="Normal 12 8 3 4 2" xfId="0"/>
    <cellStyle name="Normal 12 8 3 5" xfId="0"/>
    <cellStyle name="Normal 12 8 4" xfId="0"/>
    <cellStyle name="Normal 12 8 4 2" xfId="0"/>
    <cellStyle name="Normal 12 8 4 2 2" xfId="0"/>
    <cellStyle name="Normal 12 8 4 2 2 2" xfId="0"/>
    <cellStyle name="Normal 12 8 4 2 3" xfId="0"/>
    <cellStyle name="Normal 12 8 4 3" xfId="0"/>
    <cellStyle name="Normal 12 8 4 3 2" xfId="0"/>
    <cellStyle name="Normal 12 8 4 4" xfId="0"/>
    <cellStyle name="Normal 12 8 5" xfId="0"/>
    <cellStyle name="Normal 12 8 5 2" xfId="0"/>
    <cellStyle name="Normal 12 8 5 2 2" xfId="0"/>
    <cellStyle name="Normal 12 8 5 3" xfId="0"/>
    <cellStyle name="Normal 12 8 6" xfId="0"/>
    <cellStyle name="Normal 12 8 6 2" xfId="0"/>
    <cellStyle name="Normal 12 8 7" xfId="0"/>
    <cellStyle name="Normal 12 9" xfId="0"/>
    <cellStyle name="Normal 12 9 2" xfId="0"/>
    <cellStyle name="Normal 12 9 2 2" xfId="0"/>
    <cellStyle name="Normal 12 9 2 2 2" xfId="0"/>
    <cellStyle name="Normal 12 9 2 2 2 2" xfId="0"/>
    <cellStyle name="Normal 12 9 2 2 2 2 2" xfId="0"/>
    <cellStyle name="Normal 12 9 2 2 2 2 2 2" xfId="0"/>
    <cellStyle name="Normal 12 9 2 2 2 2 3" xfId="0"/>
    <cellStyle name="Normal 12 9 2 2 2 3" xfId="0"/>
    <cellStyle name="Normal 12 9 2 2 2 3 2" xfId="0"/>
    <cellStyle name="Normal 12 9 2 2 2 4" xfId="0"/>
    <cellStyle name="Normal 12 9 2 2 3" xfId="0"/>
    <cellStyle name="Normal 12 9 2 2 3 2" xfId="0"/>
    <cellStyle name="Normal 12 9 2 2 3 2 2" xfId="0"/>
    <cellStyle name="Normal 12 9 2 2 3 3" xfId="0"/>
    <cellStyle name="Normal 12 9 2 2 4" xfId="0"/>
    <cellStyle name="Normal 12 9 2 2 4 2" xfId="0"/>
    <cellStyle name="Normal 12 9 2 2 5" xfId="0"/>
    <cellStyle name="Normal 12 9 2 3" xfId="0"/>
    <cellStyle name="Normal 12 9 2 3 2" xfId="0"/>
    <cellStyle name="Normal 12 9 2 3 2 2" xfId="0"/>
    <cellStyle name="Normal 12 9 2 3 2 2 2" xfId="0"/>
    <cellStyle name="Normal 12 9 2 3 2 3" xfId="0"/>
    <cellStyle name="Normal 12 9 2 3 3" xfId="0"/>
    <cellStyle name="Normal 12 9 2 3 3 2" xfId="0"/>
    <cellStyle name="Normal 12 9 2 3 4" xfId="0"/>
    <cellStyle name="Normal 12 9 2 4" xfId="0"/>
    <cellStyle name="Normal 12 9 2 4 2" xfId="0"/>
    <cellStyle name="Normal 12 9 2 4 2 2" xfId="0"/>
    <cellStyle name="Normal 12 9 2 4 3" xfId="0"/>
    <cellStyle name="Normal 12 9 2 5" xfId="0"/>
    <cellStyle name="Normal 12 9 2 5 2" xfId="0"/>
    <cellStyle name="Normal 12 9 2 6" xfId="0"/>
    <cellStyle name="Normal 12 9 3" xfId="0"/>
    <cellStyle name="Normal 12 9 3 2" xfId="0"/>
    <cellStyle name="Normal 12 9 3 2 2" xfId="0"/>
    <cellStyle name="Normal 12 9 3 2 2 2" xfId="0"/>
    <cellStyle name="Normal 12 9 3 2 2 2 2" xfId="0"/>
    <cellStyle name="Normal 12 9 3 2 2 3" xfId="0"/>
    <cellStyle name="Normal 12 9 3 2 3" xfId="0"/>
    <cellStyle name="Normal 12 9 3 2 3 2" xfId="0"/>
    <cellStyle name="Normal 12 9 3 2 4" xfId="0"/>
    <cellStyle name="Normal 12 9 3 3" xfId="0"/>
    <cellStyle name="Normal 12 9 3 3 2" xfId="0"/>
    <cellStyle name="Normal 12 9 3 3 2 2" xfId="0"/>
    <cellStyle name="Normal 12 9 3 3 3" xfId="0"/>
    <cellStyle name="Normal 12 9 3 4" xfId="0"/>
    <cellStyle name="Normal 12 9 3 4 2" xfId="0"/>
    <cellStyle name="Normal 12 9 3 5" xfId="0"/>
    <cellStyle name="Normal 12 9 4" xfId="0"/>
    <cellStyle name="Normal 12 9 4 2" xfId="0"/>
    <cellStyle name="Normal 12 9 4 2 2" xfId="0"/>
    <cellStyle name="Normal 12 9 4 2 2 2" xfId="0"/>
    <cellStyle name="Normal 12 9 4 2 3" xfId="0"/>
    <cellStyle name="Normal 12 9 4 3" xfId="0"/>
    <cellStyle name="Normal 12 9 4 3 2" xfId="0"/>
    <cellStyle name="Normal 12 9 4 4" xfId="0"/>
    <cellStyle name="Normal 12 9 5" xfId="0"/>
    <cellStyle name="Normal 12 9 5 2" xfId="0"/>
    <cellStyle name="Normal 12 9 5 2 2" xfId="0"/>
    <cellStyle name="Normal 12 9 5 3" xfId="0"/>
    <cellStyle name="Normal 12 9 6" xfId="0"/>
    <cellStyle name="Normal 12 9 6 2" xfId="0"/>
    <cellStyle name="Normal 12 9 7" xfId="0"/>
    <cellStyle name="Normal 120" xfId="0"/>
    <cellStyle name="Normal 120 2" xfId="0"/>
    <cellStyle name="Normal 120 2 2" xfId="0"/>
    <cellStyle name="Normal 120 2 2 2" xfId="0"/>
    <cellStyle name="Normal 120 2 2 2 2" xfId="0"/>
    <cellStyle name="Normal 120 2 2 2 2 2" xfId="0"/>
    <cellStyle name="Normal 120 2 2 2 3" xfId="0"/>
    <cellStyle name="Normal 120 2 2 3" xfId="0"/>
    <cellStyle name="Normal 120 2 2 3 2" xfId="0"/>
    <cellStyle name="Normal 120 2 2 4" xfId="0"/>
    <cellStyle name="Normal 120 2 3" xfId="0"/>
    <cellStyle name="Normal 120 2 3 2" xfId="0"/>
    <cellStyle name="Normal 120 2 3 2 2" xfId="0"/>
    <cellStyle name="Normal 120 2 3 3" xfId="0"/>
    <cellStyle name="Normal 120 2 4" xfId="0"/>
    <cellStyle name="Normal 120 2 4 2" xfId="0"/>
    <cellStyle name="Normal 120 2 5" xfId="0"/>
    <cellStyle name="Normal 120 3" xfId="0"/>
    <cellStyle name="Normal 120 3 2" xfId="0"/>
    <cellStyle name="Normal 120 3 2 2" xfId="0"/>
    <cellStyle name="Normal 120 3 2 2 2" xfId="0"/>
    <cellStyle name="Normal 120 3 2 3" xfId="0"/>
    <cellStyle name="Normal 120 3 3" xfId="0"/>
    <cellStyle name="Normal 120 3 3 2" xfId="0"/>
    <cellStyle name="Normal 120 3 4" xfId="0"/>
    <cellStyle name="Normal 120 4" xfId="0"/>
    <cellStyle name="Normal 120 4 2" xfId="0"/>
    <cellStyle name="Normal 120 4 2 2" xfId="0"/>
    <cellStyle name="Normal 120 4 3" xfId="0"/>
    <cellStyle name="Normal 120 5" xfId="0"/>
    <cellStyle name="Normal 120 5 2" xfId="0"/>
    <cellStyle name="Normal 120 6" xfId="0"/>
    <cellStyle name="Normal 121" xfId="0"/>
    <cellStyle name="Normal 121 2" xfId="0"/>
    <cellStyle name="Normal 121 2 2" xfId="0"/>
    <cellStyle name="Normal 121 2 2 2" xfId="0"/>
    <cellStyle name="Normal 121 2 2 2 2" xfId="0"/>
    <cellStyle name="Normal 121 2 2 2 2 2" xfId="0"/>
    <cellStyle name="Normal 121 2 2 2 3" xfId="0"/>
    <cellStyle name="Normal 121 2 2 3" xfId="0"/>
    <cellStyle name="Normal 121 2 2 3 2" xfId="0"/>
    <cellStyle name="Normal 121 2 2 4" xfId="0"/>
    <cellStyle name="Normal 121 2 3" xfId="0"/>
    <cellStyle name="Normal 121 2 3 2" xfId="0"/>
    <cellStyle name="Normal 121 2 3 2 2" xfId="0"/>
    <cellStyle name="Normal 121 2 3 3" xfId="0"/>
    <cellStyle name="Normal 121 2 4" xfId="0"/>
    <cellStyle name="Normal 121 2 4 2" xfId="0"/>
    <cellStyle name="Normal 121 2 5" xfId="0"/>
    <cellStyle name="Normal 121 3" xfId="0"/>
    <cellStyle name="Normal 121 3 2" xfId="0"/>
    <cellStyle name="Normal 121 3 2 2" xfId="0"/>
    <cellStyle name="Normal 121 3 2 2 2" xfId="0"/>
    <cellStyle name="Normal 121 3 2 3" xfId="0"/>
    <cellStyle name="Normal 121 3 3" xfId="0"/>
    <cellStyle name="Normal 121 3 3 2" xfId="0"/>
    <cellStyle name="Normal 121 3 4" xfId="0"/>
    <cellStyle name="Normal 121 4" xfId="0"/>
    <cellStyle name="Normal 121 4 2" xfId="0"/>
    <cellStyle name="Normal 121 4 2 2" xfId="0"/>
    <cellStyle name="Normal 121 4 3" xfId="0"/>
    <cellStyle name="Normal 121 5" xfId="0"/>
    <cellStyle name="Normal 121 5 2" xfId="0"/>
    <cellStyle name="Normal 121 6" xfId="0"/>
    <cellStyle name="Normal 122" xfId="0"/>
    <cellStyle name="Normal 122 2" xfId="0"/>
    <cellStyle name="Normal 122 2 2" xfId="0"/>
    <cellStyle name="Normal 122 2 2 2" xfId="0"/>
    <cellStyle name="Normal 122 2 2 2 2" xfId="0"/>
    <cellStyle name="Normal 122 2 2 2 2 2" xfId="0"/>
    <cellStyle name="Normal 122 2 2 2 3" xfId="0"/>
    <cellStyle name="Normal 122 2 2 3" xfId="0"/>
    <cellStyle name="Normal 122 2 2 3 2" xfId="0"/>
    <cellStyle name="Normal 122 2 2 4" xfId="0"/>
    <cellStyle name="Normal 122 2 3" xfId="0"/>
    <cellStyle name="Normal 122 2 3 2" xfId="0"/>
    <cellStyle name="Normal 122 2 3 2 2" xfId="0"/>
    <cellStyle name="Normal 122 2 3 3" xfId="0"/>
    <cellStyle name="Normal 122 2 4" xfId="0"/>
    <cellStyle name="Normal 122 2 4 2" xfId="0"/>
    <cellStyle name="Normal 122 2 5" xfId="0"/>
    <cellStyle name="Normal 122 3" xfId="0"/>
    <cellStyle name="Normal 122 3 2" xfId="0"/>
    <cellStyle name="Normal 122 3 2 2" xfId="0"/>
    <cellStyle name="Normal 122 3 2 2 2" xfId="0"/>
    <cellStyle name="Normal 122 3 2 3" xfId="0"/>
    <cellStyle name="Normal 122 3 3" xfId="0"/>
    <cellStyle name="Normal 122 3 3 2" xfId="0"/>
    <cellStyle name="Normal 122 3 4" xfId="0"/>
    <cellStyle name="Normal 122 4" xfId="0"/>
    <cellStyle name="Normal 122 4 2" xfId="0"/>
    <cellStyle name="Normal 122 4 2 2" xfId="0"/>
    <cellStyle name="Normal 122 4 3" xfId="0"/>
    <cellStyle name="Normal 122 5" xfId="0"/>
    <cellStyle name="Normal 122 5 2" xfId="0"/>
    <cellStyle name="Normal 122 6" xfId="0"/>
    <cellStyle name="Normal 123" xfId="0"/>
    <cellStyle name="Normal 124" xfId="0"/>
    <cellStyle name="Normal 125" xfId="0"/>
    <cellStyle name="Normal 126" xfId="0"/>
    <cellStyle name="Normal 127" xfId="0"/>
    <cellStyle name="Normal 128" xfId="0"/>
    <cellStyle name="Normal 129" xfId="0"/>
    <cellStyle name="Normal 13" xfId="0"/>
    <cellStyle name="Normal 13 2" xfId="0"/>
    <cellStyle name="Normal 13 2 2" xfId="0"/>
    <cellStyle name="Normal 13 3" xfId="0"/>
    <cellStyle name="Normal 13 4" xfId="0"/>
    <cellStyle name="Normal 13 5" xfId="0"/>
    <cellStyle name="Normal 130" xfId="0"/>
    <cellStyle name="Normal 131" xfId="0"/>
    <cellStyle name="Normal 132" xfId="0"/>
    <cellStyle name="Normal 133" xfId="0"/>
    <cellStyle name="Normal 134" xfId="0"/>
    <cellStyle name="Normal 135" xfId="0"/>
    <cellStyle name="Normal 136" xfId="0"/>
    <cellStyle name="Normal 137" xfId="0"/>
    <cellStyle name="Normal 138" xfId="0"/>
    <cellStyle name="Normal 139" xfId="0"/>
    <cellStyle name="Normal 14" xfId="0"/>
    <cellStyle name="Normal 14 2" xfId="0"/>
    <cellStyle name="Normal 14 2 2" xfId="0"/>
    <cellStyle name="Normal 14 3" xfId="0"/>
    <cellStyle name="Normal 14 4" xfId="0"/>
    <cellStyle name="Normal 14 5" xfId="0"/>
    <cellStyle name="Normal 140" xfId="0"/>
    <cellStyle name="Normal 141" xfId="0"/>
    <cellStyle name="Normal 142" xfId="0"/>
    <cellStyle name="Normal 143" xfId="0"/>
    <cellStyle name="Normal 144" xfId="0"/>
    <cellStyle name="Normal 145" xfId="0"/>
    <cellStyle name="Normal 146" xfId="0"/>
    <cellStyle name="Normal 147" xfId="0"/>
    <cellStyle name="Normal 148" xfId="0"/>
    <cellStyle name="Normal 149" xfId="0"/>
    <cellStyle name="Normal 15" xfId="0"/>
    <cellStyle name="Normal 15 2" xfId="0"/>
    <cellStyle name="Normal 15 2 2" xfId="0"/>
    <cellStyle name="Normal 15 3" xfId="0"/>
    <cellStyle name="Normal 15 4" xfId="0"/>
    <cellStyle name="Normal 150" xfId="0"/>
    <cellStyle name="Normal 151" xfId="0"/>
    <cellStyle name="Normal 152" xfId="0"/>
    <cellStyle name="Normal 153" xfId="0"/>
    <cellStyle name="Normal 154" xfId="0"/>
    <cellStyle name="Normal 155" xfId="0"/>
    <cellStyle name="Normal 156" xfId="0"/>
    <cellStyle name="Normal 157" xfId="0"/>
    <cellStyle name="Normal 158" xfId="0"/>
    <cellStyle name="Normal 159" xfId="0"/>
    <cellStyle name="Normal 16" xfId="0"/>
    <cellStyle name="Normal 16 2" xfId="0"/>
    <cellStyle name="Normal 16 2 2" xfId="0"/>
    <cellStyle name="Normal 16 3" xfId="0"/>
    <cellStyle name="Normal 160" xfId="0"/>
    <cellStyle name="Normal 161" xfId="0"/>
    <cellStyle name="Normal 162" xfId="0"/>
    <cellStyle name="Normal 163" xfId="0"/>
    <cellStyle name="Normal 164" xfId="0"/>
    <cellStyle name="Normal 165" xfId="0"/>
    <cellStyle name="Normal 166" xfId="0"/>
    <cellStyle name="Normal 167" xfId="0"/>
    <cellStyle name="Normal 168" xfId="0"/>
    <cellStyle name="Normal 169" xfId="0"/>
    <cellStyle name="Normal 17" xfId="0"/>
    <cellStyle name="Normal 17 2" xfId="0"/>
    <cellStyle name="Normal 17 2 2" xfId="0"/>
    <cellStyle name="Normal 17 3" xfId="0"/>
    <cellStyle name="Normal 170" xfId="0"/>
    <cellStyle name="Normal 171" xfId="0"/>
    <cellStyle name="Normal 172" xfId="0"/>
    <cellStyle name="Normal 173" xfId="0"/>
    <cellStyle name="Normal 174" xfId="0"/>
    <cellStyle name="Normal 175" xfId="0"/>
    <cellStyle name="Normal 176" xfId="0"/>
    <cellStyle name="Normal 177" xfId="0"/>
    <cellStyle name="Normal 178" xfId="0"/>
    <cellStyle name="Normal 179" xfId="0"/>
    <cellStyle name="Normal 18" xfId="0"/>
    <cellStyle name="Normal 18 2" xfId="0"/>
    <cellStyle name="Normal 18 2 2" xfId="0"/>
    <cellStyle name="Normal 18 3" xfId="0"/>
    <cellStyle name="Normal 180" xfId="0"/>
    <cellStyle name="Normal 181" xfId="0"/>
    <cellStyle name="Normal 182" xfId="0"/>
    <cellStyle name="Normal 183" xfId="0"/>
    <cellStyle name="Normal 184" xfId="0"/>
    <cellStyle name="Normal 185" xfId="0"/>
    <cellStyle name="Normal 186" xfId="0"/>
    <cellStyle name="Normal 187" xfId="0"/>
    <cellStyle name="Normal 188" xfId="0"/>
    <cellStyle name="Normal 189" xfId="0"/>
    <cellStyle name="Normal 19" xfId="0"/>
    <cellStyle name="Normal 19 2" xfId="0"/>
    <cellStyle name="Normal 19 2 2" xfId="0"/>
    <cellStyle name="Normal 19 3" xfId="0"/>
    <cellStyle name="Normal 19 4" xfId="0"/>
    <cellStyle name="Normal 190" xfId="0"/>
    <cellStyle name="Normal 191" xfId="0"/>
    <cellStyle name="Normal 192" xfId="0"/>
    <cellStyle name="Normal 193" xfId="0"/>
    <cellStyle name="Normal 194" xfId="0"/>
    <cellStyle name="Normal 195" xfId="0"/>
    <cellStyle name="Normal 196" xfId="0"/>
    <cellStyle name="Normal 197" xfId="0"/>
    <cellStyle name="Normal 198" xfId="0"/>
    <cellStyle name="Normal 199" xfId="0"/>
    <cellStyle name="Normal 2" xfId="0"/>
    <cellStyle name="Normal 2 10" xfId="0"/>
    <cellStyle name="Normal 2 10 2" xfId="0"/>
    <cellStyle name="Normal 2 10 3" xfId="0"/>
    <cellStyle name="Normal 2 100" xfId="0"/>
    <cellStyle name="Normal 2 101" xfId="0"/>
    <cellStyle name="Normal 2 102" xfId="0"/>
    <cellStyle name="Normal 2 103" xfId="0"/>
    <cellStyle name="Normal 2 104" xfId="0"/>
    <cellStyle name="Normal 2 105" xfId="0"/>
    <cellStyle name="Normal 2 106" xfId="0"/>
    <cellStyle name="Normal 2 107" xfId="0"/>
    <cellStyle name="Normal 2 108" xfId="0"/>
    <cellStyle name="Normal 2 109" xfId="0"/>
    <cellStyle name="Normal 2 11" xfId="0"/>
    <cellStyle name="Normal 2 11 2" xfId="0"/>
    <cellStyle name="Normal 2 110" xfId="0"/>
    <cellStyle name="Normal 2 111" xfId="0"/>
    <cellStyle name="Normal 2 112" xfId="0"/>
    <cellStyle name="Normal 2 113" xfId="0"/>
    <cellStyle name="Normal 2 114" xfId="0"/>
    <cellStyle name="Normal 2 115" xfId="0"/>
    <cellStyle name="Normal 2 116" xfId="0"/>
    <cellStyle name="Normal 2 117" xfId="0"/>
    <cellStyle name="Normal 2 118" xfId="0"/>
    <cellStyle name="Normal 2 119" xfId="0"/>
    <cellStyle name="Normal 2 12" xfId="0"/>
    <cellStyle name="Normal 2 12 2" xfId="0"/>
    <cellStyle name="Normal 2 120" xfId="0"/>
    <cellStyle name="Normal 2 121" xfId="0"/>
    <cellStyle name="Normal 2 122" xfId="0"/>
    <cellStyle name="Normal 2 123" xfId="0"/>
    <cellStyle name="Normal 2 124" xfId="0"/>
    <cellStyle name="Normal 2 125" xfId="0"/>
    <cellStyle name="Normal 2 126" xfId="0"/>
    <cellStyle name="Normal 2 127" xfId="0"/>
    <cellStyle name="Normal 2 128" xfId="0"/>
    <cellStyle name="Normal 2 129" xfId="0"/>
    <cellStyle name="Normal 2 13" xfId="0"/>
    <cellStyle name="Normal 2 13 2" xfId="0"/>
    <cellStyle name="Normal 2 130" xfId="0"/>
    <cellStyle name="Normal 2 131" xfId="0"/>
    <cellStyle name="Normal 2 132" xfId="0"/>
    <cellStyle name="Normal 2 133" xfId="0"/>
    <cellStyle name="Normal 2 134" xfId="0"/>
    <cellStyle name="Normal 2 135" xfId="0"/>
    <cellStyle name="Normal 2 136" xfId="0"/>
    <cellStyle name="Normal 2 137" xfId="0"/>
    <cellStyle name="Normal 2 138" xfId="0"/>
    <cellStyle name="Normal 2 139" xfId="0"/>
    <cellStyle name="Normal 2 14" xfId="0"/>
    <cellStyle name="Normal 2 140" xfId="0"/>
    <cellStyle name="Normal 2 141" xfId="0"/>
    <cellStyle name="Normal 2 142" xfId="0"/>
    <cellStyle name="Normal 2 143" xfId="0"/>
    <cellStyle name="Normal 2 144" xfId="0"/>
    <cellStyle name="Normal 2 145" xfId="0"/>
    <cellStyle name="Normal 2 146" xfId="0"/>
    <cellStyle name="Normal 2 147" xfId="0"/>
    <cellStyle name="Normal 2 148" xfId="0"/>
    <cellStyle name="Normal 2 149" xfId="0"/>
    <cellStyle name="Normal 2 15" xfId="0"/>
    <cellStyle name="Normal 2 150" xfId="0"/>
    <cellStyle name="Normal 2 151" xfId="0"/>
    <cellStyle name="Normal 2 152" xfId="0"/>
    <cellStyle name="Normal 2 153" xfId="0"/>
    <cellStyle name="Normal 2 154" xfId="0"/>
    <cellStyle name="Normal 2 155" xfId="0"/>
    <cellStyle name="Normal 2 156" xfId="0"/>
    <cellStyle name="Normal 2 157" xfId="0"/>
    <cellStyle name="Normal 2 158" xfId="0"/>
    <cellStyle name="Normal 2 159" xfId="0"/>
    <cellStyle name="Normal 2 16" xfId="0"/>
    <cellStyle name="Normal 2 160" xfId="0"/>
    <cellStyle name="Normal 2 161" xfId="0"/>
    <cellStyle name="Normal 2 162" xfId="0"/>
    <cellStyle name="Normal 2 163" xfId="0"/>
    <cellStyle name="Normal 2 164" xfId="0"/>
    <cellStyle name="Normal 2 165" xfId="0"/>
    <cellStyle name="Normal 2 166" xfId="0"/>
    <cellStyle name="Normal 2 167" xfId="0"/>
    <cellStyle name="Normal 2 168" xfId="0"/>
    <cellStyle name="Normal 2 169" xfId="0"/>
    <cellStyle name="Normal 2 17" xfId="0"/>
    <cellStyle name="Normal 2 170" xfId="0"/>
    <cellStyle name="Normal 2 171" xfId="0"/>
    <cellStyle name="Normal 2 172" xfId="0"/>
    <cellStyle name="Normal 2 173" xfId="0"/>
    <cellStyle name="Normal 2 174" xfId="0"/>
    <cellStyle name="Normal 2 175" xfId="0"/>
    <cellStyle name="Normal 2 176" xfId="0"/>
    <cellStyle name="Normal 2 177" xfId="0"/>
    <cellStyle name="Normal 2 178" xfId="0"/>
    <cellStyle name="Normal 2 179" xfId="0"/>
    <cellStyle name="Normal 2 18" xfId="0"/>
    <cellStyle name="Normal 2 180" xfId="0"/>
    <cellStyle name="Normal 2 181" xfId="0"/>
    <cellStyle name="Normal 2 182" xfId="0"/>
    <cellStyle name="Normal 2 183" xfId="0"/>
    <cellStyle name="Normal 2 184" xfId="0"/>
    <cellStyle name="Normal 2 185" xfId="0"/>
    <cellStyle name="Normal 2 186" xfId="0"/>
    <cellStyle name="Normal 2 187" xfId="0"/>
    <cellStyle name="Normal 2 188" xfId="0"/>
    <cellStyle name="Normal 2 189" xfId="0"/>
    <cellStyle name="Normal 2 19" xfId="0"/>
    <cellStyle name="Normal 2 190" xfId="0"/>
    <cellStyle name="Normal 2 191" xfId="0"/>
    <cellStyle name="Normal 2 192" xfId="0"/>
    <cellStyle name="Normal 2 193" xfId="0"/>
    <cellStyle name="Normal 2 194" xfId="0"/>
    <cellStyle name="Normal 2 195" xfId="0"/>
    <cellStyle name="Normal 2 196" xfId="0"/>
    <cellStyle name="Normal 2 197" xfId="0"/>
    <cellStyle name="Normal 2 198" xfId="0"/>
    <cellStyle name="Normal 2 199" xfId="0"/>
    <cellStyle name="Normal 2 2" xfId="0"/>
    <cellStyle name="Normal 2 2 2" xfId="0"/>
    <cellStyle name="Normal 2 2 2 2" xfId="0"/>
    <cellStyle name="Normal 2 2 2 2 2" xfId="0"/>
    <cellStyle name="Normal 2 2 2 2 2 2" xfId="0"/>
    <cellStyle name="Normal 2 2 2 2 2 3" xfId="0"/>
    <cellStyle name="Normal 2 2 2 2 3" xfId="0"/>
    <cellStyle name="Normal 2 2 2 2 4" xfId="0"/>
    <cellStyle name="Normal 2 2 2 2 5" xfId="0"/>
    <cellStyle name="Normal 2 2 2 3" xfId="0"/>
    <cellStyle name="Normal 2 2 2 4" xfId="0"/>
    <cellStyle name="Normal 2 2 3" xfId="0"/>
    <cellStyle name="Normal 2 2 3 2" xfId="0"/>
    <cellStyle name="Normal 2 2 3 3" xfId="0"/>
    <cellStyle name="Normal 2 2 4" xfId="0"/>
    <cellStyle name="Normal 2 2 4 2" xfId="0"/>
    <cellStyle name="Normal 2 2 5" xfId="0"/>
    <cellStyle name="Normal 2 2 5 2" xfId="0"/>
    <cellStyle name="Normal 2 2 6" xfId="0"/>
    <cellStyle name="Normal 2 2 7" xfId="0"/>
    <cellStyle name="Normal 2 2 8" xfId="0"/>
    <cellStyle name="Normal 2 20" xfId="0"/>
    <cellStyle name="Normal 2 200" xfId="0"/>
    <cellStyle name="Normal 2 201" xfId="0"/>
    <cellStyle name="Normal 2 202" xfId="0"/>
    <cellStyle name="Normal 2 203" xfId="0"/>
    <cellStyle name="Normal 2 204" xfId="0"/>
    <cellStyle name="Normal 2 205" xfId="0"/>
    <cellStyle name="Normal 2 206" xfId="0"/>
    <cellStyle name="Normal 2 207" xfId="0"/>
    <cellStyle name="Normal 2 208" xfId="0"/>
    <cellStyle name="Normal 2 209" xfId="0"/>
    <cellStyle name="Normal 2 21" xfId="0"/>
    <cellStyle name="Normal 2 210" xfId="0"/>
    <cellStyle name="Normal 2 211" xfId="0"/>
    <cellStyle name="Normal 2 212" xfId="0"/>
    <cellStyle name="Normal 2 213" xfId="0"/>
    <cellStyle name="Normal 2 214" xfId="0"/>
    <cellStyle name="Normal 2 215" xfId="0"/>
    <cellStyle name="Normal 2 216" xfId="0"/>
    <cellStyle name="Normal 2 217" xfId="0"/>
    <cellStyle name="Normal 2 218" xfId="0"/>
    <cellStyle name="Normal 2 219" xfId="0"/>
    <cellStyle name="Normal 2 22" xfId="0"/>
    <cellStyle name="Normal 2 220" xfId="0"/>
    <cellStyle name="Normal 2 221" xfId="0"/>
    <cellStyle name="Normal 2 222" xfId="0"/>
    <cellStyle name="Normal 2 223" xfId="0"/>
    <cellStyle name="Normal 2 224" xfId="0"/>
    <cellStyle name="Normal 2 225" xfId="0"/>
    <cellStyle name="Normal 2 226" xfId="0"/>
    <cellStyle name="Normal 2 227" xfId="0"/>
    <cellStyle name="Normal 2 228" xfId="0"/>
    <cellStyle name="Normal 2 229" xfId="0"/>
    <cellStyle name="Normal 2 23" xfId="0"/>
    <cellStyle name="Normal 2 230" xfId="0"/>
    <cellStyle name="Normal 2 231" xfId="0"/>
    <cellStyle name="Normal 2 232" xfId="0"/>
    <cellStyle name="Normal 2 233" xfId="0"/>
    <cellStyle name="Normal 2 234" xfId="0"/>
    <cellStyle name="Normal 2 235" xfId="0"/>
    <cellStyle name="Normal 2 236" xfId="0"/>
    <cellStyle name="Normal 2 237" xfId="0"/>
    <cellStyle name="Normal 2 238" xfId="0"/>
    <cellStyle name="Normal 2 239" xfId="0"/>
    <cellStyle name="Normal 2 24" xfId="0"/>
    <cellStyle name="Normal 2 240" xfId="0"/>
    <cellStyle name="Normal 2 241" xfId="0"/>
    <cellStyle name="Normal 2 242" xfId="0"/>
    <cellStyle name="Normal 2 243" xfId="0"/>
    <cellStyle name="Normal 2 244" xfId="0"/>
    <cellStyle name="Normal 2 245" xfId="0"/>
    <cellStyle name="Normal 2 246" xfId="0"/>
    <cellStyle name="Normal 2 247" xfId="0"/>
    <cellStyle name="Normal 2 248" xfId="0"/>
    <cellStyle name="Normal 2 249" xfId="0"/>
    <cellStyle name="Normal 2 25" xfId="0"/>
    <cellStyle name="Normal 2 250" xfId="0"/>
    <cellStyle name="Normal 2 251" xfId="0"/>
    <cellStyle name="Normal 2 252" xfId="0"/>
    <cellStyle name="Normal 2 253" xfId="0"/>
    <cellStyle name="Normal 2 254" xfId="0"/>
    <cellStyle name="Normal 2 255" xfId="0"/>
    <cellStyle name="Normal 2 256" xfId="0"/>
    <cellStyle name="Normal 2 257" xfId="0"/>
    <cellStyle name="Normal 2 258" xfId="0"/>
    <cellStyle name="Normal 2 259" xfId="0"/>
    <cellStyle name="Normal 2 26" xfId="0"/>
    <cellStyle name="Normal 2 260" xfId="0"/>
    <cellStyle name="Normal 2 261" xfId="0"/>
    <cellStyle name="Normal 2 27" xfId="0"/>
    <cellStyle name="Normal 2 28" xfId="0"/>
    <cellStyle name="Normal 2 29" xfId="0"/>
    <cellStyle name="Normal 2 2_Profitability Detail NT$ Sep-12" xfId="0"/>
    <cellStyle name="Normal 2 3" xfId="0"/>
    <cellStyle name="Normal 2 3 2" xfId="0"/>
    <cellStyle name="Normal 2 3 2 2" xfId="0"/>
    <cellStyle name="Normal 2 3 3" xfId="0"/>
    <cellStyle name="Normal 2 30" xfId="0"/>
    <cellStyle name="Normal 2 31" xfId="0"/>
    <cellStyle name="Normal 2 32" xfId="0"/>
    <cellStyle name="Normal 2 33" xfId="0"/>
    <cellStyle name="Normal 2 34" xfId="0"/>
    <cellStyle name="Normal 2 35" xfId="0"/>
    <cellStyle name="Normal 2 36" xfId="0"/>
    <cellStyle name="Normal 2 37" xfId="0"/>
    <cellStyle name="Normal 2 38" xfId="0"/>
    <cellStyle name="Normal 2 39" xfId="0"/>
    <cellStyle name="Normal 2 4" xfId="0"/>
    <cellStyle name="Normal 2 4 2" xfId="0"/>
    <cellStyle name="Normal 2 4 2 2" xfId="0"/>
    <cellStyle name="Normal 2 4 3" xfId="0"/>
    <cellStyle name="Normal 2 40" xfId="0"/>
    <cellStyle name="Normal 2 41" xfId="0"/>
    <cellStyle name="Normal 2 42" xfId="0"/>
    <cellStyle name="Normal 2 43" xfId="0"/>
    <cellStyle name="Normal 2 44" xfId="0"/>
    <cellStyle name="Normal 2 45" xfId="0"/>
    <cellStyle name="Normal 2 46" xfId="0"/>
    <cellStyle name="Normal 2 47" xfId="0"/>
    <cellStyle name="Normal 2 48" xfId="0"/>
    <cellStyle name="Normal 2 49" xfId="0"/>
    <cellStyle name="Normal 2 5" xfId="0"/>
    <cellStyle name="Normal 2 5 2" xfId="0"/>
    <cellStyle name="Normal 2 5 2 2" xfId="0"/>
    <cellStyle name="Normal 2 50" xfId="0"/>
    <cellStyle name="Normal 2 51" xfId="0"/>
    <cellStyle name="Normal 2 52" xfId="0"/>
    <cellStyle name="Normal 2 53" xfId="0"/>
    <cellStyle name="Normal 2 54" xfId="0"/>
    <cellStyle name="Normal 2 55" xfId="0"/>
    <cellStyle name="Normal 2 56" xfId="0"/>
    <cellStyle name="Normal 2 57" xfId="0"/>
    <cellStyle name="Normal 2 58" xfId="0"/>
    <cellStyle name="Normal 2 59" xfId="0"/>
    <cellStyle name="Normal 2 6" xfId="0"/>
    <cellStyle name="Normal 2 6 2" xfId="0"/>
    <cellStyle name="Normal 2 6 3" xfId="0"/>
    <cellStyle name="Normal 2 6 4" xfId="0"/>
    <cellStyle name="Normal 2 60" xfId="0"/>
    <cellStyle name="Normal 2 61" xfId="0"/>
    <cellStyle name="Normal 2 62" xfId="0"/>
    <cellStyle name="Normal 2 63" xfId="0"/>
    <cellStyle name="Normal 2 64" xfId="0"/>
    <cellStyle name="Normal 2 65" xfId="0"/>
    <cellStyle name="Normal 2 66" xfId="0"/>
    <cellStyle name="Normal 2 67" xfId="0"/>
    <cellStyle name="Normal 2 68" xfId="0"/>
    <cellStyle name="Normal 2 69" xfId="0"/>
    <cellStyle name="Normal 2 7" xfId="0"/>
    <cellStyle name="Normal 2 7 2" xfId="0"/>
    <cellStyle name="Normal 2 7 3" xfId="0"/>
    <cellStyle name="Normal 2 70" xfId="0"/>
    <cellStyle name="Normal 2 71" xfId="0"/>
    <cellStyle name="Normal 2 72" xfId="0"/>
    <cellStyle name="Normal 2 73" xfId="0"/>
    <cellStyle name="Normal 2 74" xfId="0"/>
    <cellStyle name="Normal 2 75" xfId="0"/>
    <cellStyle name="Normal 2 76" xfId="0"/>
    <cellStyle name="Normal 2 77" xfId="0"/>
    <cellStyle name="Normal 2 78" xfId="0"/>
    <cellStyle name="Normal 2 79" xfId="0"/>
    <cellStyle name="Normal 2 8" xfId="0"/>
    <cellStyle name="Normal 2 8 2" xfId="0"/>
    <cellStyle name="Normal 2 80" xfId="0"/>
    <cellStyle name="Normal 2 81" xfId="0"/>
    <cellStyle name="Normal 2 82" xfId="0"/>
    <cellStyle name="Normal 2 83" xfId="0"/>
    <cellStyle name="Normal 2 84" xfId="0"/>
    <cellStyle name="Normal 2 85" xfId="0"/>
    <cellStyle name="Normal 2 86" xfId="0"/>
    <cellStyle name="Normal 2 87" xfId="0"/>
    <cellStyle name="Normal 2 88" xfId="0"/>
    <cellStyle name="Normal 2 89" xfId="0"/>
    <cellStyle name="Normal 2 9" xfId="0"/>
    <cellStyle name="Normal 2 9 2" xfId="0"/>
    <cellStyle name="Normal 2 90" xfId="0"/>
    <cellStyle name="Normal 2 91" xfId="0"/>
    <cellStyle name="Normal 2 92" xfId="0"/>
    <cellStyle name="Normal 2 93" xfId="0"/>
    <cellStyle name="Normal 2 94" xfId="0"/>
    <cellStyle name="Normal 2 95" xfId="0"/>
    <cellStyle name="Normal 2 96" xfId="0"/>
    <cellStyle name="Normal 2 97" xfId="0"/>
    <cellStyle name="Normal 2 98" xfId="0"/>
    <cellStyle name="Normal 2 99" xfId="0"/>
    <cellStyle name="Normal 20" xfId="0"/>
    <cellStyle name="Normal 20 2" xfId="0"/>
    <cellStyle name="Normal 20 2 2" xfId="0"/>
    <cellStyle name="Normal 20 3" xfId="0"/>
    <cellStyle name="Normal 200" xfId="0"/>
    <cellStyle name="Normal 201" xfId="0"/>
    <cellStyle name="Normal 202" xfId="0"/>
    <cellStyle name="Normal 203" xfId="0"/>
    <cellStyle name="Normal 204" xfId="0"/>
    <cellStyle name="Normal 205" xfId="0"/>
    <cellStyle name="Normal 206" xfId="0"/>
    <cellStyle name="Normal 207" xfId="0"/>
    <cellStyle name="Normal 208" xfId="0"/>
    <cellStyle name="Normal 209" xfId="0"/>
    <cellStyle name="Normal 21" xfId="0"/>
    <cellStyle name="Normal 21 2" xfId="0"/>
    <cellStyle name="Normal 21 2 2" xfId="0"/>
    <cellStyle name="Normal 21 3" xfId="0"/>
    <cellStyle name="Normal 210" xfId="0"/>
    <cellStyle name="Normal 211" xfId="0"/>
    <cellStyle name="Normal 212" xfId="0"/>
    <cellStyle name="Normal 213" xfId="0"/>
    <cellStyle name="Normal 214" xfId="0"/>
    <cellStyle name="Normal 215" xfId="0"/>
    <cellStyle name="Normal 216" xfId="0"/>
    <cellStyle name="Normal 217" xfId="0"/>
    <cellStyle name="Normal 218" xfId="0"/>
    <cellStyle name="Normal 219" xfId="0"/>
    <cellStyle name="Normal 22" xfId="0"/>
    <cellStyle name="Normal 22 2" xfId="0"/>
    <cellStyle name="Normal 22 2 2" xfId="0"/>
    <cellStyle name="Normal 22 3" xfId="0"/>
    <cellStyle name="Normal 22 4" xfId="0"/>
    <cellStyle name="Normal 220" xfId="0"/>
    <cellStyle name="Normal 221" xfId="0"/>
    <cellStyle name="Normal 222" xfId="0"/>
    <cellStyle name="Normal 223" xfId="0"/>
    <cellStyle name="Normal 224" xfId="0"/>
    <cellStyle name="Normal 225" xfId="0"/>
    <cellStyle name="Normal 226" xfId="0"/>
    <cellStyle name="Normal 227" xfId="0"/>
    <cellStyle name="Normal 228" xfId="0"/>
    <cellStyle name="Normal 23" xfId="0"/>
    <cellStyle name="Normal 23 2" xfId="0"/>
    <cellStyle name="Normal 23 2 2" xfId="0"/>
    <cellStyle name="Normal 23 3" xfId="0"/>
    <cellStyle name="Normal 24" xfId="0"/>
    <cellStyle name="Normal 24 2" xfId="0"/>
    <cellStyle name="Normal 24 2 2" xfId="0"/>
    <cellStyle name="Normal 24 3" xfId="0"/>
    <cellStyle name="Normal 25" xfId="0"/>
    <cellStyle name="Normal 25 2" xfId="0"/>
    <cellStyle name="Normal 25 2 2" xfId="0"/>
    <cellStyle name="Normal 25 3" xfId="0"/>
    <cellStyle name="Normal 26" xfId="0"/>
    <cellStyle name="Normal 26 2" xfId="0"/>
    <cellStyle name="Normal 26 2 2" xfId="0"/>
    <cellStyle name="Normal 26 3" xfId="0"/>
    <cellStyle name="Normal 27" xfId="0"/>
    <cellStyle name="Normal 27 2" xfId="0"/>
    <cellStyle name="Normal 27 2 2" xfId="0"/>
    <cellStyle name="Normal 27 3" xfId="0"/>
    <cellStyle name="Normal 28" xfId="0"/>
    <cellStyle name="Normal 28 2" xfId="0"/>
    <cellStyle name="Normal 28 3" xfId="0"/>
    <cellStyle name="Normal 29" xfId="0"/>
    <cellStyle name="Normal 29 2" xfId="0"/>
    <cellStyle name="Normal 29 3" xfId="0"/>
    <cellStyle name="Normal 2_BU Allocation" xfId="0"/>
    <cellStyle name="Normal 3" xfId="0"/>
    <cellStyle name="Normal 3 10" xfId="0"/>
    <cellStyle name="Normal 3 10 2" xfId="0"/>
    <cellStyle name="Normal 3 11" xfId="0"/>
    <cellStyle name="Normal 3 12" xfId="0"/>
    <cellStyle name="Normal 3 13" xfId="0"/>
    <cellStyle name="Normal 3 14" xfId="0"/>
    <cellStyle name="Normal 3 15" xfId="0"/>
    <cellStyle name="Normal 3 16" xfId="0"/>
    <cellStyle name="Normal 3 17" xfId="0"/>
    <cellStyle name="Normal 3 18" xfId="0"/>
    <cellStyle name="Normal 3 19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4" xfId="0"/>
    <cellStyle name="Normal 3 2 3" xfId="0"/>
    <cellStyle name="Normal 3 2 3 2" xfId="0"/>
    <cellStyle name="Normal 3 2 4" xfId="0"/>
    <cellStyle name="Normal 3 2 4 2" xfId="0"/>
    <cellStyle name="Normal 3 2 5" xfId="0"/>
    <cellStyle name="Normal 3 2 5 2" xfId="0"/>
    <cellStyle name="Normal 3 2 6" xfId="0"/>
    <cellStyle name="Normal 3 2 7" xfId="0"/>
    <cellStyle name="Normal 3 20" xfId="0"/>
    <cellStyle name="Normal 3 21" xfId="0"/>
    <cellStyle name="Normal 3 22" xfId="0"/>
    <cellStyle name="Normal 3 23" xfId="0"/>
    <cellStyle name="Normal 3 24" xfId="0"/>
    <cellStyle name="Normal 3 25" xfId="0"/>
    <cellStyle name="Normal 3 26" xfId="0"/>
    <cellStyle name="Normal 3 27" xfId="0"/>
    <cellStyle name="Normal 3 28" xfId="0"/>
    <cellStyle name="Normal 3 29" xfId="0"/>
    <cellStyle name="Normal 3 2_Profitability Detail NT$ Sep-12" xfId="0"/>
    <cellStyle name="Normal 3 3" xfId="0"/>
    <cellStyle name="Normal 3 3 2" xfId="0"/>
    <cellStyle name="Normal 3 3 3" xfId="0"/>
    <cellStyle name="Normal 3 30" xfId="0"/>
    <cellStyle name="Normal 3 31" xfId="0"/>
    <cellStyle name="Normal 3 32" xfId="0"/>
    <cellStyle name="Normal 3 33" xfId="0"/>
    <cellStyle name="Normal 3 34" xfId="0"/>
    <cellStyle name="Normal 3 35" xfId="0"/>
    <cellStyle name="Normal 3 36" xfId="0"/>
    <cellStyle name="Normal 3 37" xfId="0"/>
    <cellStyle name="Normal 3 38" xfId="0"/>
    <cellStyle name="Normal 3 39" xfId="0"/>
    <cellStyle name="Normal 3 4" xfId="0"/>
    <cellStyle name="Normal 3 4 2" xfId="0"/>
    <cellStyle name="Normal 3 4 3" xfId="0"/>
    <cellStyle name="Normal 3 40" xfId="0"/>
    <cellStyle name="Normal 3 41" xfId="0"/>
    <cellStyle name="Normal 3 42" xfId="0"/>
    <cellStyle name="Normal 3 43" xfId="0"/>
    <cellStyle name="Normal 3 44" xfId="0"/>
    <cellStyle name="Normal 3 45" xfId="0"/>
    <cellStyle name="Normal 3 46" xfId="0"/>
    <cellStyle name="Normal 3 47" xfId="0"/>
    <cellStyle name="Normal 3 48" xfId="0"/>
    <cellStyle name="Normal 3 49" xfId="0"/>
    <cellStyle name="Normal 3 5" xfId="0"/>
    <cellStyle name="Normal 3 5 2" xfId="0"/>
    <cellStyle name="Normal 3 5 3" xfId="0"/>
    <cellStyle name="Normal 3 50" xfId="0"/>
    <cellStyle name="Normal 3 6" xfId="0"/>
    <cellStyle name="Normal 3 6 2" xfId="0"/>
    <cellStyle name="Normal 3 6 3" xfId="0"/>
    <cellStyle name="Normal 3 7" xfId="0"/>
    <cellStyle name="Normal 3 7 2" xfId="0"/>
    <cellStyle name="Normal 3 8" xfId="0"/>
    <cellStyle name="Normal 3 8 2" xfId="0"/>
    <cellStyle name="Normal 3 9" xfId="0"/>
    <cellStyle name="Normal 3 9 2" xfId="0"/>
    <cellStyle name="Normal 30" xfId="0"/>
    <cellStyle name="Normal 30 2" xfId="0"/>
    <cellStyle name="Normal 30 3" xfId="0"/>
    <cellStyle name="Normal 31" xfId="0"/>
    <cellStyle name="Normal 31 2" xfId="0"/>
    <cellStyle name="Normal 31 3" xfId="0"/>
    <cellStyle name="Normal 32" xfId="0"/>
    <cellStyle name="Normal 32 2" xfId="0"/>
    <cellStyle name="Normal 32 3" xfId="0"/>
    <cellStyle name="Normal 33" xfId="0"/>
    <cellStyle name="Normal 33 2" xfId="0"/>
    <cellStyle name="Normal 33 3" xfId="0"/>
    <cellStyle name="Normal 34" xfId="0"/>
    <cellStyle name="Normal 34 2" xfId="0"/>
    <cellStyle name="Normal 34 3" xfId="0"/>
    <cellStyle name="Normal 35" xfId="0"/>
    <cellStyle name="Normal 35 2" xfId="0"/>
    <cellStyle name="Normal 35 3" xfId="0"/>
    <cellStyle name="Normal 36" xfId="0"/>
    <cellStyle name="Normal 36 2" xfId="0"/>
    <cellStyle name="Normal 36 3" xfId="0"/>
    <cellStyle name="Normal 37" xfId="0"/>
    <cellStyle name="Normal 37 2" xfId="0"/>
    <cellStyle name="Normal 37 3" xfId="0"/>
    <cellStyle name="Normal 38" xfId="0"/>
    <cellStyle name="Normal 38 2" xfId="0"/>
    <cellStyle name="Normal 38 3" xfId="0"/>
    <cellStyle name="Normal 39" xfId="0"/>
    <cellStyle name="Normal 39 2" xfId="0"/>
    <cellStyle name="Normal 39 3" xfId="0"/>
    <cellStyle name="Normal 3_Market Fresh Cost" xfId="0"/>
    <cellStyle name="Normal 4" xfId="0"/>
    <cellStyle name="Normal 4 10" xfId="0"/>
    <cellStyle name="Normal 4 11" xfId="0"/>
    <cellStyle name="Normal 4 2" xfId="0"/>
    <cellStyle name="Normal 4 2 2" xfId="0"/>
    <cellStyle name="Normal 4 2 2 2" xfId="0"/>
    <cellStyle name="Normal 4 2 2 2 2" xfId="0"/>
    <cellStyle name="Normal 4 2 2 2 3" xfId="0"/>
    <cellStyle name="Normal 4 2 2 3" xfId="0"/>
    <cellStyle name="Normal 4 2 2 4" xfId="0"/>
    <cellStyle name="Normal 4 2 3" xfId="0"/>
    <cellStyle name="Normal 4 2 3 2" xfId="0"/>
    <cellStyle name="Normal 4 2 4" xfId="0"/>
    <cellStyle name="Normal 4 2 4 2" xfId="0"/>
    <cellStyle name="Normal 4 2 5" xfId="0"/>
    <cellStyle name="Normal 4 2 5 2" xfId="0"/>
    <cellStyle name="Normal 4 2 6" xfId="0"/>
    <cellStyle name="Normal 4 2 7" xfId="0"/>
    <cellStyle name="Normal 4 2_Profitability Detail NT$ Sep-12" xfId="0"/>
    <cellStyle name="Normal 4 3" xfId="0"/>
    <cellStyle name="Normal 4 3 2" xfId="0"/>
    <cellStyle name="Normal 4 3 3" xfId="0"/>
    <cellStyle name="Normal 4 4" xfId="0"/>
    <cellStyle name="Normal 4 4 2" xfId="0"/>
    <cellStyle name="Normal 4 4 3" xfId="0"/>
    <cellStyle name="Normal 4 5" xfId="0"/>
    <cellStyle name="Normal 4 5 2" xfId="0"/>
    <cellStyle name="Normal 4 5 3" xfId="0"/>
    <cellStyle name="Normal 4 6" xfId="0"/>
    <cellStyle name="Normal 4 6 2" xfId="0"/>
    <cellStyle name="Normal 4 7" xfId="0"/>
    <cellStyle name="Normal 4 7 2" xfId="0"/>
    <cellStyle name="Normal 4 8" xfId="0"/>
    <cellStyle name="Normal 4 9" xfId="0"/>
    <cellStyle name="Normal 40" xfId="0"/>
    <cellStyle name="Normal 40 2" xfId="0"/>
    <cellStyle name="Normal 40 3" xfId="0"/>
    <cellStyle name="Normal 41" xfId="0"/>
    <cellStyle name="Normal 41 2" xfId="0"/>
    <cellStyle name="Normal 41 3" xfId="0"/>
    <cellStyle name="Normal 42" xfId="0"/>
    <cellStyle name="Normal 42 2" xfId="0"/>
    <cellStyle name="Normal 43" xfId="0"/>
    <cellStyle name="Normal 43 2" xfId="0"/>
    <cellStyle name="Normal 44" xfId="0"/>
    <cellStyle name="Normal 44 2" xfId="0"/>
    <cellStyle name="Normal 45" xfId="0"/>
    <cellStyle name="Normal 45 2" xfId="0"/>
    <cellStyle name="Normal 46" xfId="0"/>
    <cellStyle name="Normal 46 2" xfId="0"/>
    <cellStyle name="Normal 47" xfId="0"/>
    <cellStyle name="Normal 47 2" xfId="0"/>
    <cellStyle name="Normal 48" xfId="0"/>
    <cellStyle name="Normal 48 2" xfId="0"/>
    <cellStyle name="Normal 49" xfId="0"/>
    <cellStyle name="Normal 49 2" xfId="0"/>
    <cellStyle name="Normal 4_Market Fresh Cost" xfId="0"/>
    <cellStyle name="Normal 5" xfId="0"/>
    <cellStyle name="Normal 5 10" xfId="0"/>
    <cellStyle name="Normal 5 11" xfId="0"/>
    <cellStyle name="Normal 5 12" xfId="0"/>
    <cellStyle name="Normal 5 13" xfId="0"/>
    <cellStyle name="Normal 5 14" xfId="0"/>
    <cellStyle name="Normal 5 15" xfId="0"/>
    <cellStyle name="Normal 5 16" xfId="0"/>
    <cellStyle name="Normal 5 17" xfId="0"/>
    <cellStyle name="Normal 5 18" xfId="0"/>
    <cellStyle name="Normal 5 19" xfId="0"/>
    <cellStyle name="Normal 5 2" xfId="0"/>
    <cellStyle name="Normal 5 2 2" xfId="0"/>
    <cellStyle name="Normal 5 2 2 2" xfId="0"/>
    <cellStyle name="Normal 5 20" xfId="0"/>
    <cellStyle name="Normal 5 21" xfId="0"/>
    <cellStyle name="Normal 5 22" xfId="0"/>
    <cellStyle name="Normal 5 23" xfId="0"/>
    <cellStyle name="Normal 5 24" xfId="0"/>
    <cellStyle name="Normal 5 25" xfId="0"/>
    <cellStyle name="Normal 5 26" xfId="0"/>
    <cellStyle name="Normal 5 27" xfId="0"/>
    <cellStyle name="Normal 5 28" xfId="0"/>
    <cellStyle name="Normal 5 29" xfId="0"/>
    <cellStyle name="Normal 5 3" xfId="0"/>
    <cellStyle name="Normal 5 3 2" xfId="0"/>
    <cellStyle name="Normal 5 3 3" xfId="0"/>
    <cellStyle name="Normal 5 30" xfId="0"/>
    <cellStyle name="Normal 5 31" xfId="0"/>
    <cellStyle name="Normal 5 32" xfId="0"/>
    <cellStyle name="Normal 5 33" xfId="0"/>
    <cellStyle name="Normal 5 34" xfId="0"/>
    <cellStyle name="Normal 5 35" xfId="0"/>
    <cellStyle name="Normal 5 36" xfId="0"/>
    <cellStyle name="Normal 5 37" xfId="0"/>
    <cellStyle name="Normal 5 38" xfId="0"/>
    <cellStyle name="Normal 5 39" xfId="0"/>
    <cellStyle name="Normal 5 4" xfId="0"/>
    <cellStyle name="Normal 5 4 2" xfId="0"/>
    <cellStyle name="Normal 5 4 3" xfId="0"/>
    <cellStyle name="Normal 5 40" xfId="0"/>
    <cellStyle name="Normal 5 41" xfId="0"/>
    <cellStyle name="Normal 5 42" xfId="0"/>
    <cellStyle name="Normal 5 43" xfId="0"/>
    <cellStyle name="Normal 5 44" xfId="0"/>
    <cellStyle name="Normal 5 45" xfId="0"/>
    <cellStyle name="Normal 5 46" xfId="0"/>
    <cellStyle name="Normal 5 47" xfId="0"/>
    <cellStyle name="Normal 5 48" xfId="0"/>
    <cellStyle name="Normal 5 49" xfId="0"/>
    <cellStyle name="Normal 5 5" xfId="0"/>
    <cellStyle name="Normal 5 5 2" xfId="0"/>
    <cellStyle name="Normal 5 5 3" xfId="0"/>
    <cellStyle name="Normal 5 50" xfId="0"/>
    <cellStyle name="Normal 5 51" xfId="0"/>
    <cellStyle name="Normal 5 52" xfId="0"/>
    <cellStyle name="Normal 5 53" xfId="0"/>
    <cellStyle name="Normal 5 54" xfId="0"/>
    <cellStyle name="Normal 5 6" xfId="0"/>
    <cellStyle name="Normal 5 6 2" xfId="0"/>
    <cellStyle name="Normal 5 6 3" xfId="0"/>
    <cellStyle name="Normal 5 7" xfId="0"/>
    <cellStyle name="Normal 5 7 2" xfId="0"/>
    <cellStyle name="Normal 5 7 3" xfId="0"/>
    <cellStyle name="Normal 5 8" xfId="0"/>
    <cellStyle name="Normal 5 9" xfId="0"/>
    <cellStyle name="Normal 50" xfId="0"/>
    <cellStyle name="Normal 50 2" xfId="0"/>
    <cellStyle name="Normal 51" xfId="0"/>
    <cellStyle name="Normal 51 2" xfId="0"/>
    <cellStyle name="Normal 52" xfId="0"/>
    <cellStyle name="Normal 52 2" xfId="0"/>
    <cellStyle name="Normal 53" xfId="0"/>
    <cellStyle name="Normal 53 2" xfId="0"/>
    <cellStyle name="Normal 54" xfId="0"/>
    <cellStyle name="Normal 54 2" xfId="0"/>
    <cellStyle name="Normal 55" xfId="0"/>
    <cellStyle name="Normal 55 2" xfId="0"/>
    <cellStyle name="Normal 56" xfId="0"/>
    <cellStyle name="Normal 56 2" xfId="0"/>
    <cellStyle name="Normal 57" xfId="0"/>
    <cellStyle name="Normal 57 2" xfId="0"/>
    <cellStyle name="Normal 58" xfId="0"/>
    <cellStyle name="Normal 58 2" xfId="0"/>
    <cellStyle name="Normal 59" xfId="0"/>
    <cellStyle name="Normal 59 2" xfId="0"/>
    <cellStyle name="Normal 5_Market Fresh Cost" xfId="0"/>
    <cellStyle name="Normal 6" xfId="0"/>
    <cellStyle name="Normal 6 10" xfId="0"/>
    <cellStyle name="Normal 6 100" xfId="0"/>
    <cellStyle name="Normal 6 101" xfId="0"/>
    <cellStyle name="Normal 6 102" xfId="0"/>
    <cellStyle name="Normal 6 103" xfId="0"/>
    <cellStyle name="Normal 6 104" xfId="0"/>
    <cellStyle name="Normal 6 105" xfId="0"/>
    <cellStyle name="Normal 6 106" xfId="0"/>
    <cellStyle name="Normal 6 107" xfId="0"/>
    <cellStyle name="Normal 6 108" xfId="0"/>
    <cellStyle name="Normal 6 108 10" xfId="0"/>
    <cellStyle name="Normal 6 108 10 2" xfId="0"/>
    <cellStyle name="Normal 6 108 10 2 2" xfId="0"/>
    <cellStyle name="Normal 6 108 10 3" xfId="0"/>
    <cellStyle name="Normal 6 108 11" xfId="0"/>
    <cellStyle name="Normal 6 108 11 2" xfId="0"/>
    <cellStyle name="Normal 6 108 12" xfId="0"/>
    <cellStyle name="Normal 6 108 2" xfId="0"/>
    <cellStyle name="Normal 6 108 2 10" xfId="0"/>
    <cellStyle name="Normal 6 108 2 10 2" xfId="0"/>
    <cellStyle name="Normal 6 108 2 11" xfId="0"/>
    <cellStyle name="Normal 6 108 2 2" xfId="0"/>
    <cellStyle name="Normal 6 108 2 2 2" xfId="0"/>
    <cellStyle name="Normal 6 108 2 2 2 2" xfId="0"/>
    <cellStyle name="Normal 6 108 2 2 2 2 2" xfId="0"/>
    <cellStyle name="Normal 6 108 2 2 2 2 2 2" xfId="0"/>
    <cellStyle name="Normal 6 108 2 2 2 2 2 2 2" xfId="0"/>
    <cellStyle name="Normal 6 108 2 2 2 2 2 2 2 2" xfId="0"/>
    <cellStyle name="Normal 6 108 2 2 2 2 2 2 2 2 2" xfId="0"/>
    <cellStyle name="Normal 6 108 2 2 2 2 2 2 2 3" xfId="0"/>
    <cellStyle name="Normal 6 108 2 2 2 2 2 2 3" xfId="0"/>
    <cellStyle name="Normal 6 108 2 2 2 2 2 2 3 2" xfId="0"/>
    <cellStyle name="Normal 6 108 2 2 2 2 2 2 4" xfId="0"/>
    <cellStyle name="Normal 6 108 2 2 2 2 2 3" xfId="0"/>
    <cellStyle name="Normal 6 108 2 2 2 2 2 3 2" xfId="0"/>
    <cellStyle name="Normal 6 108 2 2 2 2 2 3 2 2" xfId="0"/>
    <cellStyle name="Normal 6 108 2 2 2 2 2 3 3" xfId="0"/>
    <cellStyle name="Normal 6 108 2 2 2 2 2 4" xfId="0"/>
    <cellStyle name="Normal 6 108 2 2 2 2 2 4 2" xfId="0"/>
    <cellStyle name="Normal 6 108 2 2 2 2 2 5" xfId="0"/>
    <cellStyle name="Normal 6 108 2 2 2 2 3" xfId="0"/>
    <cellStyle name="Normal 6 108 2 2 2 2 3 2" xfId="0"/>
    <cellStyle name="Normal 6 108 2 2 2 2 3 2 2" xfId="0"/>
    <cellStyle name="Normal 6 108 2 2 2 2 3 2 2 2" xfId="0"/>
    <cellStyle name="Normal 6 108 2 2 2 2 3 2 3" xfId="0"/>
    <cellStyle name="Normal 6 108 2 2 2 2 3 3" xfId="0"/>
    <cellStyle name="Normal 6 108 2 2 2 2 3 3 2" xfId="0"/>
    <cellStyle name="Normal 6 108 2 2 2 2 3 4" xfId="0"/>
    <cellStyle name="Normal 6 108 2 2 2 2 4" xfId="0"/>
    <cellStyle name="Normal 6 108 2 2 2 2 4 2" xfId="0"/>
    <cellStyle name="Normal 6 108 2 2 2 2 4 2 2" xfId="0"/>
    <cellStyle name="Normal 6 108 2 2 2 2 4 3" xfId="0"/>
    <cellStyle name="Normal 6 108 2 2 2 2 5" xfId="0"/>
    <cellStyle name="Normal 6 108 2 2 2 2 5 2" xfId="0"/>
    <cellStyle name="Normal 6 108 2 2 2 2 6" xfId="0"/>
    <cellStyle name="Normal 6 108 2 2 2 3" xfId="0"/>
    <cellStyle name="Normal 6 108 2 2 2 3 2" xfId="0"/>
    <cellStyle name="Normal 6 108 2 2 2 3 2 2" xfId="0"/>
    <cellStyle name="Normal 6 108 2 2 2 3 2 2 2" xfId="0"/>
    <cellStyle name="Normal 6 108 2 2 2 3 2 2 2 2" xfId="0"/>
    <cellStyle name="Normal 6 108 2 2 2 3 2 2 3" xfId="0"/>
    <cellStyle name="Normal 6 108 2 2 2 3 2 3" xfId="0"/>
    <cellStyle name="Normal 6 108 2 2 2 3 2 3 2" xfId="0"/>
    <cellStyle name="Normal 6 108 2 2 2 3 2 4" xfId="0"/>
    <cellStyle name="Normal 6 108 2 2 2 3 3" xfId="0"/>
    <cellStyle name="Normal 6 108 2 2 2 3 3 2" xfId="0"/>
    <cellStyle name="Normal 6 108 2 2 2 3 3 2 2" xfId="0"/>
    <cellStyle name="Normal 6 108 2 2 2 3 3 3" xfId="0"/>
    <cellStyle name="Normal 6 108 2 2 2 3 4" xfId="0"/>
    <cellStyle name="Normal 6 108 2 2 2 3 4 2" xfId="0"/>
    <cellStyle name="Normal 6 108 2 2 2 3 5" xfId="0"/>
    <cellStyle name="Normal 6 108 2 2 2 4" xfId="0"/>
    <cellStyle name="Normal 6 108 2 2 2 4 2" xfId="0"/>
    <cellStyle name="Normal 6 108 2 2 2 4 2 2" xfId="0"/>
    <cellStyle name="Normal 6 108 2 2 2 4 2 2 2" xfId="0"/>
    <cellStyle name="Normal 6 108 2 2 2 4 2 3" xfId="0"/>
    <cellStyle name="Normal 6 108 2 2 2 4 3" xfId="0"/>
    <cellStyle name="Normal 6 108 2 2 2 4 3 2" xfId="0"/>
    <cellStyle name="Normal 6 108 2 2 2 4 4" xfId="0"/>
    <cellStyle name="Normal 6 108 2 2 2 5" xfId="0"/>
    <cellStyle name="Normal 6 108 2 2 2 5 2" xfId="0"/>
    <cellStyle name="Normal 6 108 2 2 2 5 2 2" xfId="0"/>
    <cellStyle name="Normal 6 108 2 2 2 5 3" xfId="0"/>
    <cellStyle name="Normal 6 108 2 2 2 6" xfId="0"/>
    <cellStyle name="Normal 6 108 2 2 2 6 2" xfId="0"/>
    <cellStyle name="Normal 6 108 2 2 2 7" xfId="0"/>
    <cellStyle name="Normal 6 108 2 2 3" xfId="0"/>
    <cellStyle name="Normal 6 108 2 2 3 2" xfId="0"/>
    <cellStyle name="Normal 6 108 2 2 3 2 2" xfId="0"/>
    <cellStyle name="Normal 6 108 2 2 3 2 2 2" xfId="0"/>
    <cellStyle name="Normal 6 108 2 2 3 2 2 2 2" xfId="0"/>
    <cellStyle name="Normal 6 108 2 2 3 2 2 2 2 2" xfId="0"/>
    <cellStyle name="Normal 6 108 2 2 3 2 2 2 3" xfId="0"/>
    <cellStyle name="Normal 6 108 2 2 3 2 2 3" xfId="0"/>
    <cellStyle name="Normal 6 108 2 2 3 2 2 3 2" xfId="0"/>
    <cellStyle name="Normal 6 108 2 2 3 2 2 4" xfId="0"/>
    <cellStyle name="Normal 6 108 2 2 3 2 3" xfId="0"/>
    <cellStyle name="Normal 6 108 2 2 3 2 3 2" xfId="0"/>
    <cellStyle name="Normal 6 108 2 2 3 2 3 2 2" xfId="0"/>
    <cellStyle name="Normal 6 108 2 2 3 2 3 3" xfId="0"/>
    <cellStyle name="Normal 6 108 2 2 3 2 4" xfId="0"/>
    <cellStyle name="Normal 6 108 2 2 3 2 4 2" xfId="0"/>
    <cellStyle name="Normal 6 108 2 2 3 2 5" xfId="0"/>
    <cellStyle name="Normal 6 108 2 2 3 3" xfId="0"/>
    <cellStyle name="Normal 6 108 2 2 3 3 2" xfId="0"/>
    <cellStyle name="Normal 6 108 2 2 3 3 2 2" xfId="0"/>
    <cellStyle name="Normal 6 108 2 2 3 3 2 2 2" xfId="0"/>
    <cellStyle name="Normal 6 108 2 2 3 3 2 3" xfId="0"/>
    <cellStyle name="Normal 6 108 2 2 3 3 3" xfId="0"/>
    <cellStyle name="Normal 6 108 2 2 3 3 3 2" xfId="0"/>
    <cellStyle name="Normal 6 108 2 2 3 3 4" xfId="0"/>
    <cellStyle name="Normal 6 108 2 2 3 4" xfId="0"/>
    <cellStyle name="Normal 6 108 2 2 3 4 2" xfId="0"/>
    <cellStyle name="Normal 6 108 2 2 3 4 2 2" xfId="0"/>
    <cellStyle name="Normal 6 108 2 2 3 4 3" xfId="0"/>
    <cellStyle name="Normal 6 108 2 2 3 5" xfId="0"/>
    <cellStyle name="Normal 6 108 2 2 3 5 2" xfId="0"/>
    <cellStyle name="Normal 6 108 2 2 3 6" xfId="0"/>
    <cellStyle name="Normal 6 108 2 2 4" xfId="0"/>
    <cellStyle name="Normal 6 108 2 2 4 2" xfId="0"/>
    <cellStyle name="Normal 6 108 2 2 4 2 2" xfId="0"/>
    <cellStyle name="Normal 6 108 2 2 4 2 2 2" xfId="0"/>
    <cellStyle name="Normal 6 108 2 2 4 2 2 2 2" xfId="0"/>
    <cellStyle name="Normal 6 108 2 2 4 2 2 3" xfId="0"/>
    <cellStyle name="Normal 6 108 2 2 4 2 3" xfId="0"/>
    <cellStyle name="Normal 6 108 2 2 4 2 3 2" xfId="0"/>
    <cellStyle name="Normal 6 108 2 2 4 2 4" xfId="0"/>
    <cellStyle name="Normal 6 108 2 2 4 3" xfId="0"/>
    <cellStyle name="Normal 6 108 2 2 4 3 2" xfId="0"/>
    <cellStyle name="Normal 6 108 2 2 4 3 2 2" xfId="0"/>
    <cellStyle name="Normal 6 108 2 2 4 3 3" xfId="0"/>
    <cellStyle name="Normal 6 108 2 2 4 4" xfId="0"/>
    <cellStyle name="Normal 6 108 2 2 4 4 2" xfId="0"/>
    <cellStyle name="Normal 6 108 2 2 4 5" xfId="0"/>
    <cellStyle name="Normal 6 108 2 2 5" xfId="0"/>
    <cellStyle name="Normal 6 108 2 2 5 2" xfId="0"/>
    <cellStyle name="Normal 6 108 2 2 5 2 2" xfId="0"/>
    <cellStyle name="Normal 6 108 2 2 5 2 2 2" xfId="0"/>
    <cellStyle name="Normal 6 108 2 2 5 2 3" xfId="0"/>
    <cellStyle name="Normal 6 108 2 2 5 3" xfId="0"/>
    <cellStyle name="Normal 6 108 2 2 5 3 2" xfId="0"/>
    <cellStyle name="Normal 6 108 2 2 5 4" xfId="0"/>
    <cellStyle name="Normal 6 108 2 2 6" xfId="0"/>
    <cellStyle name="Normal 6 108 2 2 6 2" xfId="0"/>
    <cellStyle name="Normal 6 108 2 2 6 2 2" xfId="0"/>
    <cellStyle name="Normal 6 108 2 2 6 3" xfId="0"/>
    <cellStyle name="Normal 6 108 2 2 7" xfId="0"/>
    <cellStyle name="Normal 6 108 2 2 7 2" xfId="0"/>
    <cellStyle name="Normal 6 108 2 2 8" xfId="0"/>
    <cellStyle name="Normal 6 108 2 3" xfId="0"/>
    <cellStyle name="Normal 6 108 2 3 2" xfId="0"/>
    <cellStyle name="Normal 6 108 2 3 2 2" xfId="0"/>
    <cellStyle name="Normal 6 108 2 3 2 2 2" xfId="0"/>
    <cellStyle name="Normal 6 108 2 3 2 2 2 2" xfId="0"/>
    <cellStyle name="Normal 6 108 2 3 2 2 2 2 2" xfId="0"/>
    <cellStyle name="Normal 6 108 2 3 2 2 2 2 2 2" xfId="0"/>
    <cellStyle name="Normal 6 108 2 3 2 2 2 2 2 2 2" xfId="0"/>
    <cellStyle name="Normal 6 108 2 3 2 2 2 2 2 3" xfId="0"/>
    <cellStyle name="Normal 6 108 2 3 2 2 2 2 3" xfId="0"/>
    <cellStyle name="Normal 6 108 2 3 2 2 2 2 3 2" xfId="0"/>
    <cellStyle name="Normal 6 108 2 3 2 2 2 2 4" xfId="0"/>
    <cellStyle name="Normal 6 108 2 3 2 2 2 3" xfId="0"/>
    <cellStyle name="Normal 6 108 2 3 2 2 2 3 2" xfId="0"/>
    <cellStyle name="Normal 6 108 2 3 2 2 2 3 2 2" xfId="0"/>
    <cellStyle name="Normal 6 108 2 3 2 2 2 3 3" xfId="0"/>
    <cellStyle name="Normal 6 108 2 3 2 2 2 4" xfId="0"/>
    <cellStyle name="Normal 6 108 2 3 2 2 2 4 2" xfId="0"/>
    <cellStyle name="Normal 6 108 2 3 2 2 2 5" xfId="0"/>
    <cellStyle name="Normal 6 108 2 3 2 2 3" xfId="0"/>
    <cellStyle name="Normal 6 108 2 3 2 2 3 2" xfId="0"/>
    <cellStyle name="Normal 6 108 2 3 2 2 3 2 2" xfId="0"/>
    <cellStyle name="Normal 6 108 2 3 2 2 3 2 2 2" xfId="0"/>
    <cellStyle name="Normal 6 108 2 3 2 2 3 2 3" xfId="0"/>
    <cellStyle name="Normal 6 108 2 3 2 2 3 3" xfId="0"/>
    <cellStyle name="Normal 6 108 2 3 2 2 3 3 2" xfId="0"/>
    <cellStyle name="Normal 6 108 2 3 2 2 3 4" xfId="0"/>
    <cellStyle name="Normal 6 108 2 3 2 2 4" xfId="0"/>
    <cellStyle name="Normal 6 108 2 3 2 2 4 2" xfId="0"/>
    <cellStyle name="Normal 6 108 2 3 2 2 4 2 2" xfId="0"/>
    <cellStyle name="Normal 6 108 2 3 2 2 4 3" xfId="0"/>
    <cellStyle name="Normal 6 108 2 3 2 2 5" xfId="0"/>
    <cellStyle name="Normal 6 108 2 3 2 2 5 2" xfId="0"/>
    <cellStyle name="Normal 6 108 2 3 2 2 6" xfId="0"/>
    <cellStyle name="Normal 6 108 2 3 2 3" xfId="0"/>
    <cellStyle name="Normal 6 108 2 3 2 3 2" xfId="0"/>
    <cellStyle name="Normal 6 108 2 3 2 3 2 2" xfId="0"/>
    <cellStyle name="Normal 6 108 2 3 2 3 2 2 2" xfId="0"/>
    <cellStyle name="Normal 6 108 2 3 2 3 2 2 2 2" xfId="0"/>
    <cellStyle name="Normal 6 108 2 3 2 3 2 2 3" xfId="0"/>
    <cellStyle name="Normal 6 108 2 3 2 3 2 3" xfId="0"/>
    <cellStyle name="Normal 6 108 2 3 2 3 2 3 2" xfId="0"/>
    <cellStyle name="Normal 6 108 2 3 2 3 2 4" xfId="0"/>
    <cellStyle name="Normal 6 108 2 3 2 3 3" xfId="0"/>
    <cellStyle name="Normal 6 108 2 3 2 3 3 2" xfId="0"/>
    <cellStyle name="Normal 6 108 2 3 2 3 3 2 2" xfId="0"/>
    <cellStyle name="Normal 6 108 2 3 2 3 3 3" xfId="0"/>
    <cellStyle name="Normal 6 108 2 3 2 3 4" xfId="0"/>
    <cellStyle name="Normal 6 108 2 3 2 3 4 2" xfId="0"/>
    <cellStyle name="Normal 6 108 2 3 2 3 5" xfId="0"/>
    <cellStyle name="Normal 6 108 2 3 2 4" xfId="0"/>
    <cellStyle name="Normal 6 108 2 3 2 4 2" xfId="0"/>
    <cellStyle name="Normal 6 108 2 3 2 4 2 2" xfId="0"/>
    <cellStyle name="Normal 6 108 2 3 2 4 2 2 2" xfId="0"/>
    <cellStyle name="Normal 6 108 2 3 2 4 2 3" xfId="0"/>
    <cellStyle name="Normal 6 108 2 3 2 4 3" xfId="0"/>
    <cellStyle name="Normal 6 108 2 3 2 4 3 2" xfId="0"/>
    <cellStyle name="Normal 6 108 2 3 2 4 4" xfId="0"/>
    <cellStyle name="Normal 6 108 2 3 2 5" xfId="0"/>
    <cellStyle name="Normal 6 108 2 3 2 5 2" xfId="0"/>
    <cellStyle name="Normal 6 108 2 3 2 5 2 2" xfId="0"/>
    <cellStyle name="Normal 6 108 2 3 2 5 3" xfId="0"/>
    <cellStyle name="Normal 6 108 2 3 2 6" xfId="0"/>
    <cellStyle name="Normal 6 108 2 3 2 6 2" xfId="0"/>
    <cellStyle name="Normal 6 108 2 3 2 7" xfId="0"/>
    <cellStyle name="Normal 6 108 2 3 3" xfId="0"/>
    <cellStyle name="Normal 6 108 2 3 3 2" xfId="0"/>
    <cellStyle name="Normal 6 108 2 3 3 2 2" xfId="0"/>
    <cellStyle name="Normal 6 108 2 3 3 2 2 2" xfId="0"/>
    <cellStyle name="Normal 6 108 2 3 3 2 2 2 2" xfId="0"/>
    <cellStyle name="Normal 6 108 2 3 3 2 2 2 2 2" xfId="0"/>
    <cellStyle name="Normal 6 108 2 3 3 2 2 2 3" xfId="0"/>
    <cellStyle name="Normal 6 108 2 3 3 2 2 3" xfId="0"/>
    <cellStyle name="Normal 6 108 2 3 3 2 2 3 2" xfId="0"/>
    <cellStyle name="Normal 6 108 2 3 3 2 2 4" xfId="0"/>
    <cellStyle name="Normal 6 108 2 3 3 2 3" xfId="0"/>
    <cellStyle name="Normal 6 108 2 3 3 2 3 2" xfId="0"/>
    <cellStyle name="Normal 6 108 2 3 3 2 3 2 2" xfId="0"/>
    <cellStyle name="Normal 6 108 2 3 3 2 3 3" xfId="0"/>
    <cellStyle name="Normal 6 108 2 3 3 2 4" xfId="0"/>
    <cellStyle name="Normal 6 108 2 3 3 2 4 2" xfId="0"/>
    <cellStyle name="Normal 6 108 2 3 3 2 5" xfId="0"/>
    <cellStyle name="Normal 6 108 2 3 3 3" xfId="0"/>
    <cellStyle name="Normal 6 108 2 3 3 3 2" xfId="0"/>
    <cellStyle name="Normal 6 108 2 3 3 3 2 2" xfId="0"/>
    <cellStyle name="Normal 6 108 2 3 3 3 2 2 2" xfId="0"/>
    <cellStyle name="Normal 6 108 2 3 3 3 2 3" xfId="0"/>
    <cellStyle name="Normal 6 108 2 3 3 3 3" xfId="0"/>
    <cellStyle name="Normal 6 108 2 3 3 3 3 2" xfId="0"/>
    <cellStyle name="Normal 6 108 2 3 3 3 4" xfId="0"/>
    <cellStyle name="Normal 6 108 2 3 3 4" xfId="0"/>
    <cellStyle name="Normal 6 108 2 3 3 4 2" xfId="0"/>
    <cellStyle name="Normal 6 108 2 3 3 4 2 2" xfId="0"/>
    <cellStyle name="Normal 6 108 2 3 3 4 3" xfId="0"/>
    <cellStyle name="Normal 6 108 2 3 3 5" xfId="0"/>
    <cellStyle name="Normal 6 108 2 3 3 5 2" xfId="0"/>
    <cellStyle name="Normal 6 108 2 3 3 6" xfId="0"/>
    <cellStyle name="Normal 6 108 2 3 4" xfId="0"/>
    <cellStyle name="Normal 6 108 2 3 4 2" xfId="0"/>
    <cellStyle name="Normal 6 108 2 3 4 2 2" xfId="0"/>
    <cellStyle name="Normal 6 108 2 3 4 2 2 2" xfId="0"/>
    <cellStyle name="Normal 6 108 2 3 4 2 2 2 2" xfId="0"/>
    <cellStyle name="Normal 6 108 2 3 4 2 2 3" xfId="0"/>
    <cellStyle name="Normal 6 108 2 3 4 2 3" xfId="0"/>
    <cellStyle name="Normal 6 108 2 3 4 2 3 2" xfId="0"/>
    <cellStyle name="Normal 6 108 2 3 4 2 4" xfId="0"/>
    <cellStyle name="Normal 6 108 2 3 4 3" xfId="0"/>
    <cellStyle name="Normal 6 108 2 3 4 3 2" xfId="0"/>
    <cellStyle name="Normal 6 108 2 3 4 3 2 2" xfId="0"/>
    <cellStyle name="Normal 6 108 2 3 4 3 3" xfId="0"/>
    <cellStyle name="Normal 6 108 2 3 4 4" xfId="0"/>
    <cellStyle name="Normal 6 108 2 3 4 4 2" xfId="0"/>
    <cellStyle name="Normal 6 108 2 3 4 5" xfId="0"/>
    <cellStyle name="Normal 6 108 2 3 5" xfId="0"/>
    <cellStyle name="Normal 6 108 2 3 5 2" xfId="0"/>
    <cellStyle name="Normal 6 108 2 3 5 2 2" xfId="0"/>
    <cellStyle name="Normal 6 108 2 3 5 2 2 2" xfId="0"/>
    <cellStyle name="Normal 6 108 2 3 5 2 3" xfId="0"/>
    <cellStyle name="Normal 6 108 2 3 5 3" xfId="0"/>
    <cellStyle name="Normal 6 108 2 3 5 3 2" xfId="0"/>
    <cellStyle name="Normal 6 108 2 3 5 4" xfId="0"/>
    <cellStyle name="Normal 6 108 2 3 6" xfId="0"/>
    <cellStyle name="Normal 6 108 2 3 6 2" xfId="0"/>
    <cellStyle name="Normal 6 108 2 3 6 2 2" xfId="0"/>
    <cellStyle name="Normal 6 108 2 3 6 3" xfId="0"/>
    <cellStyle name="Normal 6 108 2 3 7" xfId="0"/>
    <cellStyle name="Normal 6 108 2 3 7 2" xfId="0"/>
    <cellStyle name="Normal 6 108 2 3 8" xfId="0"/>
    <cellStyle name="Normal 6 108 2 4" xfId="0"/>
    <cellStyle name="Normal 6 108 2 4 2" xfId="0"/>
    <cellStyle name="Normal 6 108 2 4 2 2" xfId="0"/>
    <cellStyle name="Normal 6 108 2 4 2 2 2" xfId="0"/>
    <cellStyle name="Normal 6 108 2 4 2 2 2 2" xfId="0"/>
    <cellStyle name="Normal 6 108 2 4 2 2 2 2 2" xfId="0"/>
    <cellStyle name="Normal 6 108 2 4 2 2 2 2 2 2" xfId="0"/>
    <cellStyle name="Normal 6 108 2 4 2 2 2 2 3" xfId="0"/>
    <cellStyle name="Normal 6 108 2 4 2 2 2 3" xfId="0"/>
    <cellStyle name="Normal 6 108 2 4 2 2 2 3 2" xfId="0"/>
    <cellStyle name="Normal 6 108 2 4 2 2 2 4" xfId="0"/>
    <cellStyle name="Normal 6 108 2 4 2 2 3" xfId="0"/>
    <cellStyle name="Normal 6 108 2 4 2 2 3 2" xfId="0"/>
    <cellStyle name="Normal 6 108 2 4 2 2 3 2 2" xfId="0"/>
    <cellStyle name="Normal 6 108 2 4 2 2 3 3" xfId="0"/>
    <cellStyle name="Normal 6 108 2 4 2 2 4" xfId="0"/>
    <cellStyle name="Normal 6 108 2 4 2 2 4 2" xfId="0"/>
    <cellStyle name="Normal 6 108 2 4 2 2 5" xfId="0"/>
    <cellStyle name="Normal 6 108 2 4 2 3" xfId="0"/>
    <cellStyle name="Normal 6 108 2 4 2 3 2" xfId="0"/>
    <cellStyle name="Normal 6 108 2 4 2 3 2 2" xfId="0"/>
    <cellStyle name="Normal 6 108 2 4 2 3 2 2 2" xfId="0"/>
    <cellStyle name="Normal 6 108 2 4 2 3 2 3" xfId="0"/>
    <cellStyle name="Normal 6 108 2 4 2 3 3" xfId="0"/>
    <cellStyle name="Normal 6 108 2 4 2 3 3 2" xfId="0"/>
    <cellStyle name="Normal 6 108 2 4 2 3 4" xfId="0"/>
    <cellStyle name="Normal 6 108 2 4 2 4" xfId="0"/>
    <cellStyle name="Normal 6 108 2 4 2 4 2" xfId="0"/>
    <cellStyle name="Normal 6 108 2 4 2 4 2 2" xfId="0"/>
    <cellStyle name="Normal 6 108 2 4 2 4 3" xfId="0"/>
    <cellStyle name="Normal 6 108 2 4 2 5" xfId="0"/>
    <cellStyle name="Normal 6 108 2 4 2 5 2" xfId="0"/>
    <cellStyle name="Normal 6 108 2 4 2 6" xfId="0"/>
    <cellStyle name="Normal 6 108 2 4 3" xfId="0"/>
    <cellStyle name="Normal 6 108 2 4 3 2" xfId="0"/>
    <cellStyle name="Normal 6 108 2 4 3 2 2" xfId="0"/>
    <cellStyle name="Normal 6 108 2 4 3 2 2 2" xfId="0"/>
    <cellStyle name="Normal 6 108 2 4 3 2 2 2 2" xfId="0"/>
    <cellStyle name="Normal 6 108 2 4 3 2 2 3" xfId="0"/>
    <cellStyle name="Normal 6 108 2 4 3 2 3" xfId="0"/>
    <cellStyle name="Normal 6 108 2 4 3 2 3 2" xfId="0"/>
    <cellStyle name="Normal 6 108 2 4 3 2 4" xfId="0"/>
    <cellStyle name="Normal 6 108 2 4 3 3" xfId="0"/>
    <cellStyle name="Normal 6 108 2 4 3 3 2" xfId="0"/>
    <cellStyle name="Normal 6 108 2 4 3 3 2 2" xfId="0"/>
    <cellStyle name="Normal 6 108 2 4 3 3 3" xfId="0"/>
    <cellStyle name="Normal 6 108 2 4 3 4" xfId="0"/>
    <cellStyle name="Normal 6 108 2 4 3 4 2" xfId="0"/>
    <cellStyle name="Normal 6 108 2 4 3 5" xfId="0"/>
    <cellStyle name="Normal 6 108 2 4 4" xfId="0"/>
    <cellStyle name="Normal 6 108 2 4 4 2" xfId="0"/>
    <cellStyle name="Normal 6 108 2 4 4 2 2" xfId="0"/>
    <cellStyle name="Normal 6 108 2 4 4 2 2 2" xfId="0"/>
    <cellStyle name="Normal 6 108 2 4 4 2 3" xfId="0"/>
    <cellStyle name="Normal 6 108 2 4 4 3" xfId="0"/>
    <cellStyle name="Normal 6 108 2 4 4 3 2" xfId="0"/>
    <cellStyle name="Normal 6 108 2 4 4 4" xfId="0"/>
    <cellStyle name="Normal 6 108 2 4 5" xfId="0"/>
    <cellStyle name="Normal 6 108 2 4 5 2" xfId="0"/>
    <cellStyle name="Normal 6 108 2 4 5 2 2" xfId="0"/>
    <cellStyle name="Normal 6 108 2 4 5 3" xfId="0"/>
    <cellStyle name="Normal 6 108 2 4 6" xfId="0"/>
    <cellStyle name="Normal 6 108 2 4 6 2" xfId="0"/>
    <cellStyle name="Normal 6 108 2 4 7" xfId="0"/>
    <cellStyle name="Normal 6 108 2 5" xfId="0"/>
    <cellStyle name="Normal 6 108 2 5 2" xfId="0"/>
    <cellStyle name="Normal 6 108 2 5 2 2" xfId="0"/>
    <cellStyle name="Normal 6 108 2 5 2 2 2" xfId="0"/>
    <cellStyle name="Normal 6 108 2 5 2 2 2 2" xfId="0"/>
    <cellStyle name="Normal 6 108 2 5 2 2 2 2 2" xfId="0"/>
    <cellStyle name="Normal 6 108 2 5 2 2 2 2 2 2" xfId="0"/>
    <cellStyle name="Normal 6 108 2 5 2 2 2 2 3" xfId="0"/>
    <cellStyle name="Normal 6 108 2 5 2 2 2 3" xfId="0"/>
    <cellStyle name="Normal 6 108 2 5 2 2 2 3 2" xfId="0"/>
    <cellStyle name="Normal 6 108 2 5 2 2 2 4" xfId="0"/>
    <cellStyle name="Normal 6 108 2 5 2 2 3" xfId="0"/>
    <cellStyle name="Normal 6 108 2 5 2 2 3 2" xfId="0"/>
    <cellStyle name="Normal 6 108 2 5 2 2 3 2 2" xfId="0"/>
    <cellStyle name="Normal 6 108 2 5 2 2 3 3" xfId="0"/>
    <cellStyle name="Normal 6 108 2 5 2 2 4" xfId="0"/>
    <cellStyle name="Normal 6 108 2 5 2 2 4 2" xfId="0"/>
    <cellStyle name="Normal 6 108 2 5 2 2 5" xfId="0"/>
    <cellStyle name="Normal 6 108 2 5 2 3" xfId="0"/>
    <cellStyle name="Normal 6 108 2 5 2 3 2" xfId="0"/>
    <cellStyle name="Normal 6 108 2 5 2 3 2 2" xfId="0"/>
    <cellStyle name="Normal 6 108 2 5 2 3 2 2 2" xfId="0"/>
    <cellStyle name="Normal 6 108 2 5 2 3 2 3" xfId="0"/>
    <cellStyle name="Normal 6 108 2 5 2 3 3" xfId="0"/>
    <cellStyle name="Normal 6 108 2 5 2 3 3 2" xfId="0"/>
    <cellStyle name="Normal 6 108 2 5 2 3 4" xfId="0"/>
    <cellStyle name="Normal 6 108 2 5 2 4" xfId="0"/>
    <cellStyle name="Normal 6 108 2 5 2 4 2" xfId="0"/>
    <cellStyle name="Normal 6 108 2 5 2 4 2 2" xfId="0"/>
    <cellStyle name="Normal 6 108 2 5 2 4 3" xfId="0"/>
    <cellStyle name="Normal 6 108 2 5 2 5" xfId="0"/>
    <cellStyle name="Normal 6 108 2 5 2 5 2" xfId="0"/>
    <cellStyle name="Normal 6 108 2 5 2 6" xfId="0"/>
    <cellStyle name="Normal 6 108 2 5 3" xfId="0"/>
    <cellStyle name="Normal 6 108 2 5 3 2" xfId="0"/>
    <cellStyle name="Normal 6 108 2 5 3 2 2" xfId="0"/>
    <cellStyle name="Normal 6 108 2 5 3 2 2 2" xfId="0"/>
    <cellStyle name="Normal 6 108 2 5 3 2 2 2 2" xfId="0"/>
    <cellStyle name="Normal 6 108 2 5 3 2 2 3" xfId="0"/>
    <cellStyle name="Normal 6 108 2 5 3 2 3" xfId="0"/>
    <cellStyle name="Normal 6 108 2 5 3 2 3 2" xfId="0"/>
    <cellStyle name="Normal 6 108 2 5 3 2 4" xfId="0"/>
    <cellStyle name="Normal 6 108 2 5 3 3" xfId="0"/>
    <cellStyle name="Normal 6 108 2 5 3 3 2" xfId="0"/>
    <cellStyle name="Normal 6 108 2 5 3 3 2 2" xfId="0"/>
    <cellStyle name="Normal 6 108 2 5 3 3 3" xfId="0"/>
    <cellStyle name="Normal 6 108 2 5 3 4" xfId="0"/>
    <cellStyle name="Normal 6 108 2 5 3 4 2" xfId="0"/>
    <cellStyle name="Normal 6 108 2 5 3 5" xfId="0"/>
    <cellStyle name="Normal 6 108 2 5 4" xfId="0"/>
    <cellStyle name="Normal 6 108 2 5 4 2" xfId="0"/>
    <cellStyle name="Normal 6 108 2 5 4 2 2" xfId="0"/>
    <cellStyle name="Normal 6 108 2 5 4 2 2 2" xfId="0"/>
    <cellStyle name="Normal 6 108 2 5 4 2 3" xfId="0"/>
    <cellStyle name="Normal 6 108 2 5 4 3" xfId="0"/>
    <cellStyle name="Normal 6 108 2 5 4 3 2" xfId="0"/>
    <cellStyle name="Normal 6 108 2 5 4 4" xfId="0"/>
    <cellStyle name="Normal 6 108 2 5 5" xfId="0"/>
    <cellStyle name="Normal 6 108 2 5 5 2" xfId="0"/>
    <cellStyle name="Normal 6 108 2 5 5 2 2" xfId="0"/>
    <cellStyle name="Normal 6 108 2 5 5 3" xfId="0"/>
    <cellStyle name="Normal 6 108 2 5 6" xfId="0"/>
    <cellStyle name="Normal 6 108 2 5 6 2" xfId="0"/>
    <cellStyle name="Normal 6 108 2 5 7" xfId="0"/>
    <cellStyle name="Normal 6 108 2 6" xfId="0"/>
    <cellStyle name="Normal 6 108 2 6 2" xfId="0"/>
    <cellStyle name="Normal 6 108 2 6 2 2" xfId="0"/>
    <cellStyle name="Normal 6 108 2 6 2 2 2" xfId="0"/>
    <cellStyle name="Normal 6 108 2 6 2 2 2 2" xfId="0"/>
    <cellStyle name="Normal 6 108 2 6 2 2 2 2 2" xfId="0"/>
    <cellStyle name="Normal 6 108 2 6 2 2 2 3" xfId="0"/>
    <cellStyle name="Normal 6 108 2 6 2 2 3" xfId="0"/>
    <cellStyle name="Normal 6 108 2 6 2 2 3 2" xfId="0"/>
    <cellStyle name="Normal 6 108 2 6 2 2 4" xfId="0"/>
    <cellStyle name="Normal 6 108 2 6 2 3" xfId="0"/>
    <cellStyle name="Normal 6 108 2 6 2 3 2" xfId="0"/>
    <cellStyle name="Normal 6 108 2 6 2 3 2 2" xfId="0"/>
    <cellStyle name="Normal 6 108 2 6 2 3 3" xfId="0"/>
    <cellStyle name="Normal 6 108 2 6 2 4" xfId="0"/>
    <cellStyle name="Normal 6 108 2 6 2 4 2" xfId="0"/>
    <cellStyle name="Normal 6 108 2 6 2 5" xfId="0"/>
    <cellStyle name="Normal 6 108 2 6 3" xfId="0"/>
    <cellStyle name="Normal 6 108 2 6 3 2" xfId="0"/>
    <cellStyle name="Normal 6 108 2 6 3 2 2" xfId="0"/>
    <cellStyle name="Normal 6 108 2 6 3 2 2 2" xfId="0"/>
    <cellStyle name="Normal 6 108 2 6 3 2 3" xfId="0"/>
    <cellStyle name="Normal 6 108 2 6 3 3" xfId="0"/>
    <cellStyle name="Normal 6 108 2 6 3 3 2" xfId="0"/>
    <cellStyle name="Normal 6 108 2 6 3 4" xfId="0"/>
    <cellStyle name="Normal 6 108 2 6 4" xfId="0"/>
    <cellStyle name="Normal 6 108 2 6 4 2" xfId="0"/>
    <cellStyle name="Normal 6 108 2 6 4 2 2" xfId="0"/>
    <cellStyle name="Normal 6 108 2 6 4 3" xfId="0"/>
    <cellStyle name="Normal 6 108 2 6 5" xfId="0"/>
    <cellStyle name="Normal 6 108 2 6 5 2" xfId="0"/>
    <cellStyle name="Normal 6 108 2 6 6" xfId="0"/>
    <cellStyle name="Normal 6 108 2 7" xfId="0"/>
    <cellStyle name="Normal 6 108 2 7 2" xfId="0"/>
    <cellStyle name="Normal 6 108 2 7 2 2" xfId="0"/>
    <cellStyle name="Normal 6 108 2 7 2 2 2" xfId="0"/>
    <cellStyle name="Normal 6 108 2 7 2 2 2 2" xfId="0"/>
    <cellStyle name="Normal 6 108 2 7 2 2 3" xfId="0"/>
    <cellStyle name="Normal 6 108 2 7 2 3" xfId="0"/>
    <cellStyle name="Normal 6 108 2 7 2 3 2" xfId="0"/>
    <cellStyle name="Normal 6 108 2 7 2 4" xfId="0"/>
    <cellStyle name="Normal 6 108 2 7 3" xfId="0"/>
    <cellStyle name="Normal 6 108 2 7 3 2" xfId="0"/>
    <cellStyle name="Normal 6 108 2 7 3 2 2" xfId="0"/>
    <cellStyle name="Normal 6 108 2 7 3 3" xfId="0"/>
    <cellStyle name="Normal 6 108 2 7 4" xfId="0"/>
    <cellStyle name="Normal 6 108 2 7 4 2" xfId="0"/>
    <cellStyle name="Normal 6 108 2 7 5" xfId="0"/>
    <cellStyle name="Normal 6 108 2 8" xfId="0"/>
    <cellStyle name="Normal 6 108 2 8 2" xfId="0"/>
    <cellStyle name="Normal 6 108 2 8 2 2" xfId="0"/>
    <cellStyle name="Normal 6 108 2 8 2 2 2" xfId="0"/>
    <cellStyle name="Normal 6 108 2 8 2 3" xfId="0"/>
    <cellStyle name="Normal 6 108 2 8 3" xfId="0"/>
    <cellStyle name="Normal 6 108 2 8 3 2" xfId="0"/>
    <cellStyle name="Normal 6 108 2 8 4" xfId="0"/>
    <cellStyle name="Normal 6 108 2 9" xfId="0"/>
    <cellStyle name="Normal 6 108 2 9 2" xfId="0"/>
    <cellStyle name="Normal 6 108 2 9 2 2" xfId="0"/>
    <cellStyle name="Normal 6 108 2 9 3" xfId="0"/>
    <cellStyle name="Normal 6 108 3" xfId="0"/>
    <cellStyle name="Normal 6 108 3 2" xfId="0"/>
    <cellStyle name="Normal 6 108 3 2 2" xfId="0"/>
    <cellStyle name="Normal 6 108 3 2 2 2" xfId="0"/>
    <cellStyle name="Normal 6 108 3 2 2 2 2" xfId="0"/>
    <cellStyle name="Normal 6 108 3 2 2 2 2 2" xfId="0"/>
    <cellStyle name="Normal 6 108 3 2 2 2 2 2 2" xfId="0"/>
    <cellStyle name="Normal 6 108 3 2 2 2 2 2 2 2" xfId="0"/>
    <cellStyle name="Normal 6 108 3 2 2 2 2 2 3" xfId="0"/>
    <cellStyle name="Normal 6 108 3 2 2 2 2 3" xfId="0"/>
    <cellStyle name="Normal 6 108 3 2 2 2 2 3 2" xfId="0"/>
    <cellStyle name="Normal 6 108 3 2 2 2 2 4" xfId="0"/>
    <cellStyle name="Normal 6 108 3 2 2 2 3" xfId="0"/>
    <cellStyle name="Normal 6 108 3 2 2 2 3 2" xfId="0"/>
    <cellStyle name="Normal 6 108 3 2 2 2 3 2 2" xfId="0"/>
    <cellStyle name="Normal 6 108 3 2 2 2 3 3" xfId="0"/>
    <cellStyle name="Normal 6 108 3 2 2 2 4" xfId="0"/>
    <cellStyle name="Normal 6 108 3 2 2 2 4 2" xfId="0"/>
    <cellStyle name="Normal 6 108 3 2 2 2 5" xfId="0"/>
    <cellStyle name="Normal 6 108 3 2 2 3" xfId="0"/>
    <cellStyle name="Normal 6 108 3 2 2 3 2" xfId="0"/>
    <cellStyle name="Normal 6 108 3 2 2 3 2 2" xfId="0"/>
    <cellStyle name="Normal 6 108 3 2 2 3 2 2 2" xfId="0"/>
    <cellStyle name="Normal 6 108 3 2 2 3 2 3" xfId="0"/>
    <cellStyle name="Normal 6 108 3 2 2 3 3" xfId="0"/>
    <cellStyle name="Normal 6 108 3 2 2 3 3 2" xfId="0"/>
    <cellStyle name="Normal 6 108 3 2 2 3 4" xfId="0"/>
    <cellStyle name="Normal 6 108 3 2 2 4" xfId="0"/>
    <cellStyle name="Normal 6 108 3 2 2 4 2" xfId="0"/>
    <cellStyle name="Normal 6 108 3 2 2 4 2 2" xfId="0"/>
    <cellStyle name="Normal 6 108 3 2 2 4 3" xfId="0"/>
    <cellStyle name="Normal 6 108 3 2 2 5" xfId="0"/>
    <cellStyle name="Normal 6 108 3 2 2 5 2" xfId="0"/>
    <cellStyle name="Normal 6 108 3 2 2 6" xfId="0"/>
    <cellStyle name="Normal 6 108 3 2 3" xfId="0"/>
    <cellStyle name="Normal 6 108 3 2 3 2" xfId="0"/>
    <cellStyle name="Normal 6 108 3 2 3 2 2" xfId="0"/>
    <cellStyle name="Normal 6 108 3 2 3 2 2 2" xfId="0"/>
    <cellStyle name="Normal 6 108 3 2 3 2 2 2 2" xfId="0"/>
    <cellStyle name="Normal 6 108 3 2 3 2 2 3" xfId="0"/>
    <cellStyle name="Normal 6 108 3 2 3 2 3" xfId="0"/>
    <cellStyle name="Normal 6 108 3 2 3 2 3 2" xfId="0"/>
    <cellStyle name="Normal 6 108 3 2 3 2 4" xfId="0"/>
    <cellStyle name="Normal 6 108 3 2 3 3" xfId="0"/>
    <cellStyle name="Normal 6 108 3 2 3 3 2" xfId="0"/>
    <cellStyle name="Normal 6 108 3 2 3 3 2 2" xfId="0"/>
    <cellStyle name="Normal 6 108 3 2 3 3 3" xfId="0"/>
    <cellStyle name="Normal 6 108 3 2 3 4" xfId="0"/>
    <cellStyle name="Normal 6 108 3 2 3 4 2" xfId="0"/>
    <cellStyle name="Normal 6 108 3 2 3 5" xfId="0"/>
    <cellStyle name="Normal 6 108 3 2 4" xfId="0"/>
    <cellStyle name="Normal 6 108 3 2 4 2" xfId="0"/>
    <cellStyle name="Normal 6 108 3 2 4 2 2" xfId="0"/>
    <cellStyle name="Normal 6 108 3 2 4 2 2 2" xfId="0"/>
    <cellStyle name="Normal 6 108 3 2 4 2 3" xfId="0"/>
    <cellStyle name="Normal 6 108 3 2 4 3" xfId="0"/>
    <cellStyle name="Normal 6 108 3 2 4 3 2" xfId="0"/>
    <cellStyle name="Normal 6 108 3 2 4 4" xfId="0"/>
    <cellStyle name="Normal 6 108 3 2 5" xfId="0"/>
    <cellStyle name="Normal 6 108 3 2 5 2" xfId="0"/>
    <cellStyle name="Normal 6 108 3 2 5 2 2" xfId="0"/>
    <cellStyle name="Normal 6 108 3 2 5 3" xfId="0"/>
    <cellStyle name="Normal 6 108 3 2 6" xfId="0"/>
    <cellStyle name="Normal 6 108 3 2 6 2" xfId="0"/>
    <cellStyle name="Normal 6 108 3 2 7" xfId="0"/>
    <cellStyle name="Normal 6 108 3 3" xfId="0"/>
    <cellStyle name="Normal 6 108 3 3 2" xfId="0"/>
    <cellStyle name="Normal 6 108 3 3 2 2" xfId="0"/>
    <cellStyle name="Normal 6 108 3 3 2 2 2" xfId="0"/>
    <cellStyle name="Normal 6 108 3 3 2 2 2 2" xfId="0"/>
    <cellStyle name="Normal 6 108 3 3 2 2 2 2 2" xfId="0"/>
    <cellStyle name="Normal 6 108 3 3 2 2 2 3" xfId="0"/>
    <cellStyle name="Normal 6 108 3 3 2 2 3" xfId="0"/>
    <cellStyle name="Normal 6 108 3 3 2 2 3 2" xfId="0"/>
    <cellStyle name="Normal 6 108 3 3 2 2 4" xfId="0"/>
    <cellStyle name="Normal 6 108 3 3 2 3" xfId="0"/>
    <cellStyle name="Normal 6 108 3 3 2 3 2" xfId="0"/>
    <cellStyle name="Normal 6 108 3 3 2 3 2 2" xfId="0"/>
    <cellStyle name="Normal 6 108 3 3 2 3 3" xfId="0"/>
    <cellStyle name="Normal 6 108 3 3 2 4" xfId="0"/>
    <cellStyle name="Normal 6 108 3 3 2 4 2" xfId="0"/>
    <cellStyle name="Normal 6 108 3 3 2 5" xfId="0"/>
    <cellStyle name="Normal 6 108 3 3 3" xfId="0"/>
    <cellStyle name="Normal 6 108 3 3 3 2" xfId="0"/>
    <cellStyle name="Normal 6 108 3 3 3 2 2" xfId="0"/>
    <cellStyle name="Normal 6 108 3 3 3 2 2 2" xfId="0"/>
    <cellStyle name="Normal 6 108 3 3 3 2 3" xfId="0"/>
    <cellStyle name="Normal 6 108 3 3 3 3" xfId="0"/>
    <cellStyle name="Normal 6 108 3 3 3 3 2" xfId="0"/>
    <cellStyle name="Normal 6 108 3 3 3 4" xfId="0"/>
    <cellStyle name="Normal 6 108 3 3 4" xfId="0"/>
    <cellStyle name="Normal 6 108 3 3 4 2" xfId="0"/>
    <cellStyle name="Normal 6 108 3 3 4 2 2" xfId="0"/>
    <cellStyle name="Normal 6 108 3 3 4 3" xfId="0"/>
    <cellStyle name="Normal 6 108 3 3 5" xfId="0"/>
    <cellStyle name="Normal 6 108 3 3 5 2" xfId="0"/>
    <cellStyle name="Normal 6 108 3 3 6" xfId="0"/>
    <cellStyle name="Normal 6 108 3 4" xfId="0"/>
    <cellStyle name="Normal 6 108 3 4 2" xfId="0"/>
    <cellStyle name="Normal 6 108 3 4 2 2" xfId="0"/>
    <cellStyle name="Normal 6 108 3 4 2 2 2" xfId="0"/>
    <cellStyle name="Normal 6 108 3 4 2 2 2 2" xfId="0"/>
    <cellStyle name="Normal 6 108 3 4 2 2 3" xfId="0"/>
    <cellStyle name="Normal 6 108 3 4 2 3" xfId="0"/>
    <cellStyle name="Normal 6 108 3 4 2 3 2" xfId="0"/>
    <cellStyle name="Normal 6 108 3 4 2 4" xfId="0"/>
    <cellStyle name="Normal 6 108 3 4 3" xfId="0"/>
    <cellStyle name="Normal 6 108 3 4 3 2" xfId="0"/>
    <cellStyle name="Normal 6 108 3 4 3 2 2" xfId="0"/>
    <cellStyle name="Normal 6 108 3 4 3 3" xfId="0"/>
    <cellStyle name="Normal 6 108 3 4 4" xfId="0"/>
    <cellStyle name="Normal 6 108 3 4 4 2" xfId="0"/>
    <cellStyle name="Normal 6 108 3 4 5" xfId="0"/>
    <cellStyle name="Normal 6 108 3 5" xfId="0"/>
    <cellStyle name="Normal 6 108 3 5 2" xfId="0"/>
    <cellStyle name="Normal 6 108 3 5 2 2" xfId="0"/>
    <cellStyle name="Normal 6 108 3 5 2 2 2" xfId="0"/>
    <cellStyle name="Normal 6 108 3 5 2 3" xfId="0"/>
    <cellStyle name="Normal 6 108 3 5 3" xfId="0"/>
    <cellStyle name="Normal 6 108 3 5 3 2" xfId="0"/>
    <cellStyle name="Normal 6 108 3 5 4" xfId="0"/>
    <cellStyle name="Normal 6 108 3 6" xfId="0"/>
    <cellStyle name="Normal 6 108 3 6 2" xfId="0"/>
    <cellStyle name="Normal 6 108 3 6 2 2" xfId="0"/>
    <cellStyle name="Normal 6 108 3 6 3" xfId="0"/>
    <cellStyle name="Normal 6 108 3 7" xfId="0"/>
    <cellStyle name="Normal 6 108 3 7 2" xfId="0"/>
    <cellStyle name="Normal 6 108 3 8" xfId="0"/>
    <cellStyle name="Normal 6 108 4" xfId="0"/>
    <cellStyle name="Normal 6 108 4 2" xfId="0"/>
    <cellStyle name="Normal 6 108 4 2 2" xfId="0"/>
    <cellStyle name="Normal 6 108 4 2 2 2" xfId="0"/>
    <cellStyle name="Normal 6 108 4 2 2 2 2" xfId="0"/>
    <cellStyle name="Normal 6 108 4 2 2 2 2 2" xfId="0"/>
    <cellStyle name="Normal 6 108 4 2 2 2 2 2 2" xfId="0"/>
    <cellStyle name="Normal 6 108 4 2 2 2 2 2 2 2" xfId="0"/>
    <cellStyle name="Normal 6 108 4 2 2 2 2 2 3" xfId="0"/>
    <cellStyle name="Normal 6 108 4 2 2 2 2 3" xfId="0"/>
    <cellStyle name="Normal 6 108 4 2 2 2 2 3 2" xfId="0"/>
    <cellStyle name="Normal 6 108 4 2 2 2 2 4" xfId="0"/>
    <cellStyle name="Normal 6 108 4 2 2 2 3" xfId="0"/>
    <cellStyle name="Normal 6 108 4 2 2 2 3 2" xfId="0"/>
    <cellStyle name="Normal 6 108 4 2 2 2 3 2 2" xfId="0"/>
    <cellStyle name="Normal 6 108 4 2 2 2 3 3" xfId="0"/>
    <cellStyle name="Normal 6 108 4 2 2 2 4" xfId="0"/>
    <cellStyle name="Normal 6 108 4 2 2 2 4 2" xfId="0"/>
    <cellStyle name="Normal 6 108 4 2 2 2 5" xfId="0"/>
    <cellStyle name="Normal 6 108 4 2 2 3" xfId="0"/>
    <cellStyle name="Normal 6 108 4 2 2 3 2" xfId="0"/>
    <cellStyle name="Normal 6 108 4 2 2 3 2 2" xfId="0"/>
    <cellStyle name="Normal 6 108 4 2 2 3 2 2 2" xfId="0"/>
    <cellStyle name="Normal 6 108 4 2 2 3 2 3" xfId="0"/>
    <cellStyle name="Normal 6 108 4 2 2 3 3" xfId="0"/>
    <cellStyle name="Normal 6 108 4 2 2 3 3 2" xfId="0"/>
    <cellStyle name="Normal 6 108 4 2 2 3 4" xfId="0"/>
    <cellStyle name="Normal 6 108 4 2 2 4" xfId="0"/>
    <cellStyle name="Normal 6 108 4 2 2 4 2" xfId="0"/>
    <cellStyle name="Normal 6 108 4 2 2 4 2 2" xfId="0"/>
    <cellStyle name="Normal 6 108 4 2 2 4 3" xfId="0"/>
    <cellStyle name="Normal 6 108 4 2 2 5" xfId="0"/>
    <cellStyle name="Normal 6 108 4 2 2 5 2" xfId="0"/>
    <cellStyle name="Normal 6 108 4 2 2 6" xfId="0"/>
    <cellStyle name="Normal 6 108 4 2 3" xfId="0"/>
    <cellStyle name="Normal 6 108 4 2 3 2" xfId="0"/>
    <cellStyle name="Normal 6 108 4 2 3 2 2" xfId="0"/>
    <cellStyle name="Normal 6 108 4 2 3 2 2 2" xfId="0"/>
    <cellStyle name="Normal 6 108 4 2 3 2 2 2 2" xfId="0"/>
    <cellStyle name="Normal 6 108 4 2 3 2 2 3" xfId="0"/>
    <cellStyle name="Normal 6 108 4 2 3 2 3" xfId="0"/>
    <cellStyle name="Normal 6 108 4 2 3 2 3 2" xfId="0"/>
    <cellStyle name="Normal 6 108 4 2 3 2 4" xfId="0"/>
    <cellStyle name="Normal 6 108 4 2 3 3" xfId="0"/>
    <cellStyle name="Normal 6 108 4 2 3 3 2" xfId="0"/>
    <cellStyle name="Normal 6 108 4 2 3 3 2 2" xfId="0"/>
    <cellStyle name="Normal 6 108 4 2 3 3 3" xfId="0"/>
    <cellStyle name="Normal 6 108 4 2 3 4" xfId="0"/>
    <cellStyle name="Normal 6 108 4 2 3 4 2" xfId="0"/>
    <cellStyle name="Normal 6 108 4 2 3 5" xfId="0"/>
    <cellStyle name="Normal 6 108 4 2 4" xfId="0"/>
    <cellStyle name="Normal 6 108 4 2 4 2" xfId="0"/>
    <cellStyle name="Normal 6 108 4 2 4 2 2" xfId="0"/>
    <cellStyle name="Normal 6 108 4 2 4 2 2 2" xfId="0"/>
    <cellStyle name="Normal 6 108 4 2 4 2 3" xfId="0"/>
    <cellStyle name="Normal 6 108 4 2 4 3" xfId="0"/>
    <cellStyle name="Normal 6 108 4 2 4 3 2" xfId="0"/>
    <cellStyle name="Normal 6 108 4 2 4 4" xfId="0"/>
    <cellStyle name="Normal 6 108 4 2 5" xfId="0"/>
    <cellStyle name="Normal 6 108 4 2 5 2" xfId="0"/>
    <cellStyle name="Normal 6 108 4 2 5 2 2" xfId="0"/>
    <cellStyle name="Normal 6 108 4 2 5 3" xfId="0"/>
    <cellStyle name="Normal 6 108 4 2 6" xfId="0"/>
    <cellStyle name="Normal 6 108 4 2 6 2" xfId="0"/>
    <cellStyle name="Normal 6 108 4 2 7" xfId="0"/>
    <cellStyle name="Normal 6 108 4 3" xfId="0"/>
    <cellStyle name="Normal 6 108 4 3 2" xfId="0"/>
    <cellStyle name="Normal 6 108 4 3 2 2" xfId="0"/>
    <cellStyle name="Normal 6 108 4 3 2 2 2" xfId="0"/>
    <cellStyle name="Normal 6 108 4 3 2 2 2 2" xfId="0"/>
    <cellStyle name="Normal 6 108 4 3 2 2 2 2 2" xfId="0"/>
    <cellStyle name="Normal 6 108 4 3 2 2 2 3" xfId="0"/>
    <cellStyle name="Normal 6 108 4 3 2 2 3" xfId="0"/>
    <cellStyle name="Normal 6 108 4 3 2 2 3 2" xfId="0"/>
    <cellStyle name="Normal 6 108 4 3 2 2 4" xfId="0"/>
    <cellStyle name="Normal 6 108 4 3 2 3" xfId="0"/>
    <cellStyle name="Normal 6 108 4 3 2 3 2" xfId="0"/>
    <cellStyle name="Normal 6 108 4 3 2 3 2 2" xfId="0"/>
    <cellStyle name="Normal 6 108 4 3 2 3 3" xfId="0"/>
    <cellStyle name="Normal 6 108 4 3 2 4" xfId="0"/>
    <cellStyle name="Normal 6 108 4 3 2 4 2" xfId="0"/>
    <cellStyle name="Normal 6 108 4 3 2 5" xfId="0"/>
    <cellStyle name="Normal 6 108 4 3 3" xfId="0"/>
    <cellStyle name="Normal 6 108 4 3 3 2" xfId="0"/>
    <cellStyle name="Normal 6 108 4 3 3 2 2" xfId="0"/>
    <cellStyle name="Normal 6 108 4 3 3 2 2 2" xfId="0"/>
    <cellStyle name="Normal 6 108 4 3 3 2 3" xfId="0"/>
    <cellStyle name="Normal 6 108 4 3 3 3" xfId="0"/>
    <cellStyle name="Normal 6 108 4 3 3 3 2" xfId="0"/>
    <cellStyle name="Normal 6 108 4 3 3 4" xfId="0"/>
    <cellStyle name="Normal 6 108 4 3 4" xfId="0"/>
    <cellStyle name="Normal 6 108 4 3 4 2" xfId="0"/>
    <cellStyle name="Normal 6 108 4 3 4 2 2" xfId="0"/>
    <cellStyle name="Normal 6 108 4 3 4 3" xfId="0"/>
    <cellStyle name="Normal 6 108 4 3 5" xfId="0"/>
    <cellStyle name="Normal 6 108 4 3 5 2" xfId="0"/>
    <cellStyle name="Normal 6 108 4 3 6" xfId="0"/>
    <cellStyle name="Normal 6 108 4 4" xfId="0"/>
    <cellStyle name="Normal 6 108 4 4 2" xfId="0"/>
    <cellStyle name="Normal 6 108 4 4 2 2" xfId="0"/>
    <cellStyle name="Normal 6 108 4 4 2 2 2" xfId="0"/>
    <cellStyle name="Normal 6 108 4 4 2 2 2 2" xfId="0"/>
    <cellStyle name="Normal 6 108 4 4 2 2 3" xfId="0"/>
    <cellStyle name="Normal 6 108 4 4 2 3" xfId="0"/>
    <cellStyle name="Normal 6 108 4 4 2 3 2" xfId="0"/>
    <cellStyle name="Normal 6 108 4 4 2 4" xfId="0"/>
    <cellStyle name="Normal 6 108 4 4 3" xfId="0"/>
    <cellStyle name="Normal 6 108 4 4 3 2" xfId="0"/>
    <cellStyle name="Normal 6 108 4 4 3 2 2" xfId="0"/>
    <cellStyle name="Normal 6 108 4 4 3 3" xfId="0"/>
    <cellStyle name="Normal 6 108 4 4 4" xfId="0"/>
    <cellStyle name="Normal 6 108 4 4 4 2" xfId="0"/>
    <cellStyle name="Normal 6 108 4 4 5" xfId="0"/>
    <cellStyle name="Normal 6 108 4 5" xfId="0"/>
    <cellStyle name="Normal 6 108 4 5 2" xfId="0"/>
    <cellStyle name="Normal 6 108 4 5 2 2" xfId="0"/>
    <cellStyle name="Normal 6 108 4 5 2 2 2" xfId="0"/>
    <cellStyle name="Normal 6 108 4 5 2 3" xfId="0"/>
    <cellStyle name="Normal 6 108 4 5 3" xfId="0"/>
    <cellStyle name="Normal 6 108 4 5 3 2" xfId="0"/>
    <cellStyle name="Normal 6 108 4 5 4" xfId="0"/>
    <cellStyle name="Normal 6 108 4 6" xfId="0"/>
    <cellStyle name="Normal 6 108 4 6 2" xfId="0"/>
    <cellStyle name="Normal 6 108 4 6 2 2" xfId="0"/>
    <cellStyle name="Normal 6 108 4 6 3" xfId="0"/>
    <cellStyle name="Normal 6 108 4 7" xfId="0"/>
    <cellStyle name="Normal 6 108 4 7 2" xfId="0"/>
    <cellStyle name="Normal 6 108 4 8" xfId="0"/>
    <cellStyle name="Normal 6 108 5" xfId="0"/>
    <cellStyle name="Normal 6 108 5 2" xfId="0"/>
    <cellStyle name="Normal 6 108 5 2 2" xfId="0"/>
    <cellStyle name="Normal 6 108 5 2 2 2" xfId="0"/>
    <cellStyle name="Normal 6 108 5 2 2 2 2" xfId="0"/>
    <cellStyle name="Normal 6 108 5 2 2 2 2 2" xfId="0"/>
    <cellStyle name="Normal 6 108 5 2 2 2 2 2 2" xfId="0"/>
    <cellStyle name="Normal 6 108 5 2 2 2 2 3" xfId="0"/>
    <cellStyle name="Normal 6 108 5 2 2 2 3" xfId="0"/>
    <cellStyle name="Normal 6 108 5 2 2 2 3 2" xfId="0"/>
    <cellStyle name="Normal 6 108 5 2 2 2 4" xfId="0"/>
    <cellStyle name="Normal 6 108 5 2 2 3" xfId="0"/>
    <cellStyle name="Normal 6 108 5 2 2 3 2" xfId="0"/>
    <cellStyle name="Normal 6 108 5 2 2 3 2 2" xfId="0"/>
    <cellStyle name="Normal 6 108 5 2 2 3 3" xfId="0"/>
    <cellStyle name="Normal 6 108 5 2 2 4" xfId="0"/>
    <cellStyle name="Normal 6 108 5 2 2 4 2" xfId="0"/>
    <cellStyle name="Normal 6 108 5 2 2 5" xfId="0"/>
    <cellStyle name="Normal 6 108 5 2 3" xfId="0"/>
    <cellStyle name="Normal 6 108 5 2 3 2" xfId="0"/>
    <cellStyle name="Normal 6 108 5 2 3 2 2" xfId="0"/>
    <cellStyle name="Normal 6 108 5 2 3 2 2 2" xfId="0"/>
    <cellStyle name="Normal 6 108 5 2 3 2 3" xfId="0"/>
    <cellStyle name="Normal 6 108 5 2 3 3" xfId="0"/>
    <cellStyle name="Normal 6 108 5 2 3 3 2" xfId="0"/>
    <cellStyle name="Normal 6 108 5 2 3 4" xfId="0"/>
    <cellStyle name="Normal 6 108 5 2 4" xfId="0"/>
    <cellStyle name="Normal 6 108 5 2 4 2" xfId="0"/>
    <cellStyle name="Normal 6 108 5 2 4 2 2" xfId="0"/>
    <cellStyle name="Normal 6 108 5 2 4 3" xfId="0"/>
    <cellStyle name="Normal 6 108 5 2 5" xfId="0"/>
    <cellStyle name="Normal 6 108 5 2 5 2" xfId="0"/>
    <cellStyle name="Normal 6 108 5 2 6" xfId="0"/>
    <cellStyle name="Normal 6 108 5 3" xfId="0"/>
    <cellStyle name="Normal 6 108 5 3 2" xfId="0"/>
    <cellStyle name="Normal 6 108 5 3 2 2" xfId="0"/>
    <cellStyle name="Normal 6 108 5 3 2 2 2" xfId="0"/>
    <cellStyle name="Normal 6 108 5 3 2 2 2 2" xfId="0"/>
    <cellStyle name="Normal 6 108 5 3 2 2 3" xfId="0"/>
    <cellStyle name="Normal 6 108 5 3 2 3" xfId="0"/>
    <cellStyle name="Normal 6 108 5 3 2 3 2" xfId="0"/>
    <cellStyle name="Normal 6 108 5 3 2 4" xfId="0"/>
    <cellStyle name="Normal 6 108 5 3 3" xfId="0"/>
    <cellStyle name="Normal 6 108 5 3 3 2" xfId="0"/>
    <cellStyle name="Normal 6 108 5 3 3 2 2" xfId="0"/>
    <cellStyle name="Normal 6 108 5 3 3 3" xfId="0"/>
    <cellStyle name="Normal 6 108 5 3 4" xfId="0"/>
    <cellStyle name="Normal 6 108 5 3 4 2" xfId="0"/>
    <cellStyle name="Normal 6 108 5 3 5" xfId="0"/>
    <cellStyle name="Normal 6 108 5 4" xfId="0"/>
    <cellStyle name="Normal 6 108 5 4 2" xfId="0"/>
    <cellStyle name="Normal 6 108 5 4 2 2" xfId="0"/>
    <cellStyle name="Normal 6 108 5 4 2 2 2" xfId="0"/>
    <cellStyle name="Normal 6 108 5 4 2 3" xfId="0"/>
    <cellStyle name="Normal 6 108 5 4 3" xfId="0"/>
    <cellStyle name="Normal 6 108 5 4 3 2" xfId="0"/>
    <cellStyle name="Normal 6 108 5 4 4" xfId="0"/>
    <cellStyle name="Normal 6 108 5 5" xfId="0"/>
    <cellStyle name="Normal 6 108 5 5 2" xfId="0"/>
    <cellStyle name="Normal 6 108 5 5 2 2" xfId="0"/>
    <cellStyle name="Normal 6 108 5 5 3" xfId="0"/>
    <cellStyle name="Normal 6 108 5 6" xfId="0"/>
    <cellStyle name="Normal 6 108 5 6 2" xfId="0"/>
    <cellStyle name="Normal 6 108 5 7" xfId="0"/>
    <cellStyle name="Normal 6 108 6" xfId="0"/>
    <cellStyle name="Normal 6 108 6 2" xfId="0"/>
    <cellStyle name="Normal 6 108 6 2 2" xfId="0"/>
    <cellStyle name="Normal 6 108 6 2 2 2" xfId="0"/>
    <cellStyle name="Normal 6 108 6 2 2 2 2" xfId="0"/>
    <cellStyle name="Normal 6 108 6 2 2 2 2 2" xfId="0"/>
    <cellStyle name="Normal 6 108 6 2 2 2 2 2 2" xfId="0"/>
    <cellStyle name="Normal 6 108 6 2 2 2 2 3" xfId="0"/>
    <cellStyle name="Normal 6 108 6 2 2 2 3" xfId="0"/>
    <cellStyle name="Normal 6 108 6 2 2 2 3 2" xfId="0"/>
    <cellStyle name="Normal 6 108 6 2 2 2 4" xfId="0"/>
    <cellStyle name="Normal 6 108 6 2 2 3" xfId="0"/>
    <cellStyle name="Normal 6 108 6 2 2 3 2" xfId="0"/>
    <cellStyle name="Normal 6 108 6 2 2 3 2 2" xfId="0"/>
    <cellStyle name="Normal 6 108 6 2 2 3 3" xfId="0"/>
    <cellStyle name="Normal 6 108 6 2 2 4" xfId="0"/>
    <cellStyle name="Normal 6 108 6 2 2 4 2" xfId="0"/>
    <cellStyle name="Normal 6 108 6 2 2 5" xfId="0"/>
    <cellStyle name="Normal 6 108 6 2 3" xfId="0"/>
    <cellStyle name="Normal 6 108 6 2 3 2" xfId="0"/>
    <cellStyle name="Normal 6 108 6 2 3 2 2" xfId="0"/>
    <cellStyle name="Normal 6 108 6 2 3 2 2 2" xfId="0"/>
    <cellStyle name="Normal 6 108 6 2 3 2 3" xfId="0"/>
    <cellStyle name="Normal 6 108 6 2 3 3" xfId="0"/>
    <cellStyle name="Normal 6 108 6 2 3 3 2" xfId="0"/>
    <cellStyle name="Normal 6 108 6 2 3 4" xfId="0"/>
    <cellStyle name="Normal 6 108 6 2 4" xfId="0"/>
    <cellStyle name="Normal 6 108 6 2 4 2" xfId="0"/>
    <cellStyle name="Normal 6 108 6 2 4 2 2" xfId="0"/>
    <cellStyle name="Normal 6 108 6 2 4 3" xfId="0"/>
    <cellStyle name="Normal 6 108 6 2 5" xfId="0"/>
    <cellStyle name="Normal 6 108 6 2 5 2" xfId="0"/>
    <cellStyle name="Normal 6 108 6 2 6" xfId="0"/>
    <cellStyle name="Normal 6 108 6 3" xfId="0"/>
    <cellStyle name="Normal 6 108 6 3 2" xfId="0"/>
    <cellStyle name="Normal 6 108 6 3 2 2" xfId="0"/>
    <cellStyle name="Normal 6 108 6 3 2 2 2" xfId="0"/>
    <cellStyle name="Normal 6 108 6 3 2 2 2 2" xfId="0"/>
    <cellStyle name="Normal 6 108 6 3 2 2 3" xfId="0"/>
    <cellStyle name="Normal 6 108 6 3 2 3" xfId="0"/>
    <cellStyle name="Normal 6 108 6 3 2 3 2" xfId="0"/>
    <cellStyle name="Normal 6 108 6 3 2 4" xfId="0"/>
    <cellStyle name="Normal 6 108 6 3 3" xfId="0"/>
    <cellStyle name="Normal 6 108 6 3 3 2" xfId="0"/>
    <cellStyle name="Normal 6 108 6 3 3 2 2" xfId="0"/>
    <cellStyle name="Normal 6 108 6 3 3 3" xfId="0"/>
    <cellStyle name="Normal 6 108 6 3 4" xfId="0"/>
    <cellStyle name="Normal 6 108 6 3 4 2" xfId="0"/>
    <cellStyle name="Normal 6 108 6 3 5" xfId="0"/>
    <cellStyle name="Normal 6 108 6 4" xfId="0"/>
    <cellStyle name="Normal 6 108 6 4 2" xfId="0"/>
    <cellStyle name="Normal 6 108 6 4 2 2" xfId="0"/>
    <cellStyle name="Normal 6 108 6 4 2 2 2" xfId="0"/>
    <cellStyle name="Normal 6 108 6 4 2 3" xfId="0"/>
    <cellStyle name="Normal 6 108 6 4 3" xfId="0"/>
    <cellStyle name="Normal 6 108 6 4 3 2" xfId="0"/>
    <cellStyle name="Normal 6 108 6 4 4" xfId="0"/>
    <cellStyle name="Normal 6 108 6 5" xfId="0"/>
    <cellStyle name="Normal 6 108 6 5 2" xfId="0"/>
    <cellStyle name="Normal 6 108 6 5 2 2" xfId="0"/>
    <cellStyle name="Normal 6 108 6 5 3" xfId="0"/>
    <cellStyle name="Normal 6 108 6 6" xfId="0"/>
    <cellStyle name="Normal 6 108 6 6 2" xfId="0"/>
    <cellStyle name="Normal 6 108 6 7" xfId="0"/>
    <cellStyle name="Normal 6 108 7" xfId="0"/>
    <cellStyle name="Normal 6 108 7 2" xfId="0"/>
    <cellStyle name="Normal 6 108 7 2 2" xfId="0"/>
    <cellStyle name="Normal 6 108 7 2 2 2" xfId="0"/>
    <cellStyle name="Normal 6 108 7 2 2 2 2" xfId="0"/>
    <cellStyle name="Normal 6 108 7 2 2 2 2 2" xfId="0"/>
    <cellStyle name="Normal 6 108 7 2 2 2 3" xfId="0"/>
    <cellStyle name="Normal 6 108 7 2 2 3" xfId="0"/>
    <cellStyle name="Normal 6 108 7 2 2 3 2" xfId="0"/>
    <cellStyle name="Normal 6 108 7 2 2 4" xfId="0"/>
    <cellStyle name="Normal 6 108 7 2 3" xfId="0"/>
    <cellStyle name="Normal 6 108 7 2 3 2" xfId="0"/>
    <cellStyle name="Normal 6 108 7 2 3 2 2" xfId="0"/>
    <cellStyle name="Normal 6 108 7 2 3 3" xfId="0"/>
    <cellStyle name="Normal 6 108 7 2 4" xfId="0"/>
    <cellStyle name="Normal 6 108 7 2 4 2" xfId="0"/>
    <cellStyle name="Normal 6 108 7 2 5" xfId="0"/>
    <cellStyle name="Normal 6 108 7 3" xfId="0"/>
    <cellStyle name="Normal 6 108 7 3 2" xfId="0"/>
    <cellStyle name="Normal 6 108 7 3 2 2" xfId="0"/>
    <cellStyle name="Normal 6 108 7 3 2 2 2" xfId="0"/>
    <cellStyle name="Normal 6 108 7 3 2 3" xfId="0"/>
    <cellStyle name="Normal 6 108 7 3 3" xfId="0"/>
    <cellStyle name="Normal 6 108 7 3 3 2" xfId="0"/>
    <cellStyle name="Normal 6 108 7 3 4" xfId="0"/>
    <cellStyle name="Normal 6 108 7 4" xfId="0"/>
    <cellStyle name="Normal 6 108 7 4 2" xfId="0"/>
    <cellStyle name="Normal 6 108 7 4 2 2" xfId="0"/>
    <cellStyle name="Normal 6 108 7 4 3" xfId="0"/>
    <cellStyle name="Normal 6 108 7 5" xfId="0"/>
    <cellStyle name="Normal 6 108 7 5 2" xfId="0"/>
    <cellStyle name="Normal 6 108 7 6" xfId="0"/>
    <cellStyle name="Normal 6 108 8" xfId="0"/>
    <cellStyle name="Normal 6 108 8 2" xfId="0"/>
    <cellStyle name="Normal 6 108 8 2 2" xfId="0"/>
    <cellStyle name="Normal 6 108 8 2 2 2" xfId="0"/>
    <cellStyle name="Normal 6 108 8 2 2 2 2" xfId="0"/>
    <cellStyle name="Normal 6 108 8 2 2 3" xfId="0"/>
    <cellStyle name="Normal 6 108 8 2 3" xfId="0"/>
    <cellStyle name="Normal 6 108 8 2 3 2" xfId="0"/>
    <cellStyle name="Normal 6 108 8 2 4" xfId="0"/>
    <cellStyle name="Normal 6 108 8 3" xfId="0"/>
    <cellStyle name="Normal 6 108 8 3 2" xfId="0"/>
    <cellStyle name="Normal 6 108 8 3 2 2" xfId="0"/>
    <cellStyle name="Normal 6 108 8 3 3" xfId="0"/>
    <cellStyle name="Normal 6 108 8 4" xfId="0"/>
    <cellStyle name="Normal 6 108 8 4 2" xfId="0"/>
    <cellStyle name="Normal 6 108 8 5" xfId="0"/>
    <cellStyle name="Normal 6 108 9" xfId="0"/>
    <cellStyle name="Normal 6 108 9 2" xfId="0"/>
    <cellStyle name="Normal 6 108 9 2 2" xfId="0"/>
    <cellStyle name="Normal 6 108 9 2 2 2" xfId="0"/>
    <cellStyle name="Normal 6 108 9 2 3" xfId="0"/>
    <cellStyle name="Normal 6 108 9 3" xfId="0"/>
    <cellStyle name="Normal 6 108 9 3 2" xfId="0"/>
    <cellStyle name="Normal 6 108 9 4" xfId="0"/>
    <cellStyle name="Normal 6 109" xfId="0"/>
    <cellStyle name="Normal 6 109 10" xfId="0"/>
    <cellStyle name="Normal 6 109 10 2" xfId="0"/>
    <cellStyle name="Normal 6 109 10 2 2" xfId="0"/>
    <cellStyle name="Normal 6 109 10 3" xfId="0"/>
    <cellStyle name="Normal 6 109 11" xfId="0"/>
    <cellStyle name="Normal 6 109 11 2" xfId="0"/>
    <cellStyle name="Normal 6 109 12" xfId="0"/>
    <cellStyle name="Normal 6 109 2" xfId="0"/>
    <cellStyle name="Normal 6 109 2 10" xfId="0"/>
    <cellStyle name="Normal 6 109 2 10 2" xfId="0"/>
    <cellStyle name="Normal 6 109 2 11" xfId="0"/>
    <cellStyle name="Normal 6 109 2 2" xfId="0"/>
    <cellStyle name="Normal 6 109 2 2 2" xfId="0"/>
    <cellStyle name="Normal 6 109 2 2 2 2" xfId="0"/>
    <cellStyle name="Normal 6 109 2 2 2 2 2" xfId="0"/>
    <cellStyle name="Normal 6 109 2 2 2 2 2 2" xfId="0"/>
    <cellStyle name="Normal 6 109 2 2 2 2 2 2 2" xfId="0"/>
    <cellStyle name="Normal 6 109 2 2 2 2 2 2 2 2" xfId="0"/>
    <cellStyle name="Normal 6 109 2 2 2 2 2 2 2 2 2" xfId="0"/>
    <cellStyle name="Normal 6 109 2 2 2 2 2 2 2 3" xfId="0"/>
    <cellStyle name="Normal 6 109 2 2 2 2 2 2 3" xfId="0"/>
    <cellStyle name="Normal 6 109 2 2 2 2 2 2 3 2" xfId="0"/>
    <cellStyle name="Normal 6 109 2 2 2 2 2 2 4" xfId="0"/>
    <cellStyle name="Normal 6 109 2 2 2 2 2 3" xfId="0"/>
    <cellStyle name="Normal 6 109 2 2 2 2 2 3 2" xfId="0"/>
    <cellStyle name="Normal 6 109 2 2 2 2 2 3 2 2" xfId="0"/>
    <cellStyle name="Normal 6 109 2 2 2 2 2 3 3" xfId="0"/>
    <cellStyle name="Normal 6 109 2 2 2 2 2 4" xfId="0"/>
    <cellStyle name="Normal 6 109 2 2 2 2 2 4 2" xfId="0"/>
    <cellStyle name="Normal 6 109 2 2 2 2 2 5" xfId="0"/>
    <cellStyle name="Normal 6 109 2 2 2 2 3" xfId="0"/>
    <cellStyle name="Normal 6 109 2 2 2 2 3 2" xfId="0"/>
    <cellStyle name="Normal 6 109 2 2 2 2 3 2 2" xfId="0"/>
    <cellStyle name="Normal 6 109 2 2 2 2 3 2 2 2" xfId="0"/>
    <cellStyle name="Normal 6 109 2 2 2 2 3 2 3" xfId="0"/>
    <cellStyle name="Normal 6 109 2 2 2 2 3 3" xfId="0"/>
    <cellStyle name="Normal 6 109 2 2 2 2 3 3 2" xfId="0"/>
    <cellStyle name="Normal 6 109 2 2 2 2 3 4" xfId="0"/>
    <cellStyle name="Normal 6 109 2 2 2 2 4" xfId="0"/>
    <cellStyle name="Normal 6 109 2 2 2 2 4 2" xfId="0"/>
    <cellStyle name="Normal 6 109 2 2 2 2 4 2 2" xfId="0"/>
    <cellStyle name="Normal 6 109 2 2 2 2 4 3" xfId="0"/>
    <cellStyle name="Normal 6 109 2 2 2 2 5" xfId="0"/>
    <cellStyle name="Normal 6 109 2 2 2 2 5 2" xfId="0"/>
    <cellStyle name="Normal 6 109 2 2 2 2 6" xfId="0"/>
    <cellStyle name="Normal 6 109 2 2 2 3" xfId="0"/>
    <cellStyle name="Normal 6 109 2 2 2 3 2" xfId="0"/>
    <cellStyle name="Normal 6 109 2 2 2 3 2 2" xfId="0"/>
    <cellStyle name="Normal 6 109 2 2 2 3 2 2 2" xfId="0"/>
    <cellStyle name="Normal 6 109 2 2 2 3 2 2 2 2" xfId="0"/>
    <cellStyle name="Normal 6 109 2 2 2 3 2 2 3" xfId="0"/>
    <cellStyle name="Normal 6 109 2 2 2 3 2 3" xfId="0"/>
    <cellStyle name="Normal 6 109 2 2 2 3 2 3 2" xfId="0"/>
    <cellStyle name="Normal 6 109 2 2 2 3 2 4" xfId="0"/>
    <cellStyle name="Normal 6 109 2 2 2 3 3" xfId="0"/>
    <cellStyle name="Normal 6 109 2 2 2 3 3 2" xfId="0"/>
    <cellStyle name="Normal 6 109 2 2 2 3 3 2 2" xfId="0"/>
    <cellStyle name="Normal 6 109 2 2 2 3 3 3" xfId="0"/>
    <cellStyle name="Normal 6 109 2 2 2 3 4" xfId="0"/>
    <cellStyle name="Normal 6 109 2 2 2 3 4 2" xfId="0"/>
    <cellStyle name="Normal 6 109 2 2 2 3 5" xfId="0"/>
    <cellStyle name="Normal 6 109 2 2 2 4" xfId="0"/>
    <cellStyle name="Normal 6 109 2 2 2 4 2" xfId="0"/>
    <cellStyle name="Normal 6 109 2 2 2 4 2 2" xfId="0"/>
    <cellStyle name="Normal 6 109 2 2 2 4 2 2 2" xfId="0"/>
    <cellStyle name="Normal 6 109 2 2 2 4 2 3" xfId="0"/>
    <cellStyle name="Normal 6 109 2 2 2 4 3" xfId="0"/>
    <cellStyle name="Normal 6 109 2 2 2 4 3 2" xfId="0"/>
    <cellStyle name="Normal 6 109 2 2 2 4 4" xfId="0"/>
    <cellStyle name="Normal 6 109 2 2 2 5" xfId="0"/>
    <cellStyle name="Normal 6 109 2 2 2 5 2" xfId="0"/>
    <cellStyle name="Normal 6 109 2 2 2 5 2 2" xfId="0"/>
    <cellStyle name="Normal 6 109 2 2 2 5 3" xfId="0"/>
    <cellStyle name="Normal 6 109 2 2 2 6" xfId="0"/>
    <cellStyle name="Normal 6 109 2 2 2 6 2" xfId="0"/>
    <cellStyle name="Normal 6 109 2 2 2 7" xfId="0"/>
    <cellStyle name="Normal 6 109 2 2 3" xfId="0"/>
    <cellStyle name="Normal 6 109 2 2 3 2" xfId="0"/>
    <cellStyle name="Normal 6 109 2 2 3 2 2" xfId="0"/>
    <cellStyle name="Normal 6 109 2 2 3 2 2 2" xfId="0"/>
    <cellStyle name="Normal 6 109 2 2 3 2 2 2 2" xfId="0"/>
    <cellStyle name="Normal 6 109 2 2 3 2 2 2 2 2" xfId="0"/>
    <cellStyle name="Normal 6 109 2 2 3 2 2 2 3" xfId="0"/>
    <cellStyle name="Normal 6 109 2 2 3 2 2 3" xfId="0"/>
    <cellStyle name="Normal 6 109 2 2 3 2 2 3 2" xfId="0"/>
    <cellStyle name="Normal 6 109 2 2 3 2 2 4" xfId="0"/>
    <cellStyle name="Normal 6 109 2 2 3 2 3" xfId="0"/>
    <cellStyle name="Normal 6 109 2 2 3 2 3 2" xfId="0"/>
    <cellStyle name="Normal 6 109 2 2 3 2 3 2 2" xfId="0"/>
    <cellStyle name="Normal 6 109 2 2 3 2 3 3" xfId="0"/>
    <cellStyle name="Normal 6 109 2 2 3 2 4" xfId="0"/>
    <cellStyle name="Normal 6 109 2 2 3 2 4 2" xfId="0"/>
    <cellStyle name="Normal 6 109 2 2 3 2 5" xfId="0"/>
    <cellStyle name="Normal 6 109 2 2 3 3" xfId="0"/>
    <cellStyle name="Normal 6 109 2 2 3 3 2" xfId="0"/>
    <cellStyle name="Normal 6 109 2 2 3 3 2 2" xfId="0"/>
    <cellStyle name="Normal 6 109 2 2 3 3 2 2 2" xfId="0"/>
    <cellStyle name="Normal 6 109 2 2 3 3 2 3" xfId="0"/>
    <cellStyle name="Normal 6 109 2 2 3 3 3" xfId="0"/>
    <cellStyle name="Normal 6 109 2 2 3 3 3 2" xfId="0"/>
    <cellStyle name="Normal 6 109 2 2 3 3 4" xfId="0"/>
    <cellStyle name="Normal 6 109 2 2 3 4" xfId="0"/>
    <cellStyle name="Normal 6 109 2 2 3 4 2" xfId="0"/>
    <cellStyle name="Normal 6 109 2 2 3 4 2 2" xfId="0"/>
    <cellStyle name="Normal 6 109 2 2 3 4 3" xfId="0"/>
    <cellStyle name="Normal 6 109 2 2 3 5" xfId="0"/>
    <cellStyle name="Normal 6 109 2 2 3 5 2" xfId="0"/>
    <cellStyle name="Normal 6 109 2 2 3 6" xfId="0"/>
    <cellStyle name="Normal 6 109 2 2 4" xfId="0"/>
    <cellStyle name="Normal 6 109 2 2 4 2" xfId="0"/>
    <cellStyle name="Normal 6 109 2 2 4 2 2" xfId="0"/>
    <cellStyle name="Normal 6 109 2 2 4 2 2 2" xfId="0"/>
    <cellStyle name="Normal 6 109 2 2 4 2 2 2 2" xfId="0"/>
    <cellStyle name="Normal 6 109 2 2 4 2 2 3" xfId="0"/>
    <cellStyle name="Normal 6 109 2 2 4 2 3" xfId="0"/>
    <cellStyle name="Normal 6 109 2 2 4 2 3 2" xfId="0"/>
    <cellStyle name="Normal 6 109 2 2 4 2 4" xfId="0"/>
    <cellStyle name="Normal 6 109 2 2 4 3" xfId="0"/>
    <cellStyle name="Normal 6 109 2 2 4 3 2" xfId="0"/>
    <cellStyle name="Normal 6 109 2 2 4 3 2 2" xfId="0"/>
    <cellStyle name="Normal 6 109 2 2 4 3 3" xfId="0"/>
    <cellStyle name="Normal 6 109 2 2 4 4" xfId="0"/>
    <cellStyle name="Normal 6 109 2 2 4 4 2" xfId="0"/>
    <cellStyle name="Normal 6 109 2 2 4 5" xfId="0"/>
    <cellStyle name="Normal 6 109 2 2 5" xfId="0"/>
    <cellStyle name="Normal 6 109 2 2 5 2" xfId="0"/>
    <cellStyle name="Normal 6 109 2 2 5 2 2" xfId="0"/>
    <cellStyle name="Normal 6 109 2 2 5 2 2 2" xfId="0"/>
    <cellStyle name="Normal 6 109 2 2 5 2 3" xfId="0"/>
    <cellStyle name="Normal 6 109 2 2 5 3" xfId="0"/>
    <cellStyle name="Normal 6 109 2 2 5 3 2" xfId="0"/>
    <cellStyle name="Normal 6 109 2 2 5 4" xfId="0"/>
    <cellStyle name="Normal 6 109 2 2 6" xfId="0"/>
    <cellStyle name="Normal 6 109 2 2 6 2" xfId="0"/>
    <cellStyle name="Normal 6 109 2 2 6 2 2" xfId="0"/>
    <cellStyle name="Normal 6 109 2 2 6 3" xfId="0"/>
    <cellStyle name="Normal 6 109 2 2 7" xfId="0"/>
    <cellStyle name="Normal 6 109 2 2 7 2" xfId="0"/>
    <cellStyle name="Normal 6 109 2 2 8" xfId="0"/>
    <cellStyle name="Normal 6 109 2 3" xfId="0"/>
    <cellStyle name="Normal 6 109 2 3 2" xfId="0"/>
    <cellStyle name="Normal 6 109 2 3 2 2" xfId="0"/>
    <cellStyle name="Normal 6 109 2 3 2 2 2" xfId="0"/>
    <cellStyle name="Normal 6 109 2 3 2 2 2 2" xfId="0"/>
    <cellStyle name="Normal 6 109 2 3 2 2 2 2 2" xfId="0"/>
    <cellStyle name="Normal 6 109 2 3 2 2 2 2 2 2" xfId="0"/>
    <cellStyle name="Normal 6 109 2 3 2 2 2 2 2 2 2" xfId="0"/>
    <cellStyle name="Normal 6 109 2 3 2 2 2 2 2 3" xfId="0"/>
    <cellStyle name="Normal 6 109 2 3 2 2 2 2 3" xfId="0"/>
    <cellStyle name="Normal 6 109 2 3 2 2 2 2 3 2" xfId="0"/>
    <cellStyle name="Normal 6 109 2 3 2 2 2 2 4" xfId="0"/>
    <cellStyle name="Normal 6 109 2 3 2 2 2 3" xfId="0"/>
    <cellStyle name="Normal 6 109 2 3 2 2 2 3 2" xfId="0"/>
    <cellStyle name="Normal 6 109 2 3 2 2 2 3 2 2" xfId="0"/>
    <cellStyle name="Normal 6 109 2 3 2 2 2 3 3" xfId="0"/>
    <cellStyle name="Normal 6 109 2 3 2 2 2 4" xfId="0"/>
    <cellStyle name="Normal 6 109 2 3 2 2 2 4 2" xfId="0"/>
    <cellStyle name="Normal 6 109 2 3 2 2 2 5" xfId="0"/>
    <cellStyle name="Normal 6 109 2 3 2 2 3" xfId="0"/>
    <cellStyle name="Normal 6 109 2 3 2 2 3 2" xfId="0"/>
    <cellStyle name="Normal 6 109 2 3 2 2 3 2 2" xfId="0"/>
    <cellStyle name="Normal 6 109 2 3 2 2 3 2 2 2" xfId="0"/>
    <cellStyle name="Normal 6 109 2 3 2 2 3 2 3" xfId="0"/>
    <cellStyle name="Normal 6 109 2 3 2 2 3 3" xfId="0"/>
    <cellStyle name="Normal 6 109 2 3 2 2 3 3 2" xfId="0"/>
    <cellStyle name="Normal 6 109 2 3 2 2 3 4" xfId="0"/>
    <cellStyle name="Normal 6 109 2 3 2 2 4" xfId="0"/>
    <cellStyle name="Normal 6 109 2 3 2 2 4 2" xfId="0"/>
    <cellStyle name="Normal 6 109 2 3 2 2 4 2 2" xfId="0"/>
    <cellStyle name="Normal 6 109 2 3 2 2 4 3" xfId="0"/>
    <cellStyle name="Normal 6 109 2 3 2 2 5" xfId="0"/>
    <cellStyle name="Normal 6 109 2 3 2 2 5 2" xfId="0"/>
    <cellStyle name="Normal 6 109 2 3 2 2 6" xfId="0"/>
    <cellStyle name="Normal 6 109 2 3 2 3" xfId="0"/>
    <cellStyle name="Normal 6 109 2 3 2 3 2" xfId="0"/>
    <cellStyle name="Normal 6 109 2 3 2 3 2 2" xfId="0"/>
    <cellStyle name="Normal 6 109 2 3 2 3 2 2 2" xfId="0"/>
    <cellStyle name="Normal 6 109 2 3 2 3 2 2 2 2" xfId="0"/>
    <cellStyle name="Normal 6 109 2 3 2 3 2 2 3" xfId="0"/>
    <cellStyle name="Normal 6 109 2 3 2 3 2 3" xfId="0"/>
    <cellStyle name="Normal 6 109 2 3 2 3 2 3 2" xfId="0"/>
    <cellStyle name="Normal 6 109 2 3 2 3 2 4" xfId="0"/>
    <cellStyle name="Normal 6 109 2 3 2 3 3" xfId="0"/>
    <cellStyle name="Normal 6 109 2 3 2 3 3 2" xfId="0"/>
    <cellStyle name="Normal 6 109 2 3 2 3 3 2 2" xfId="0"/>
    <cellStyle name="Normal 6 109 2 3 2 3 3 3" xfId="0"/>
    <cellStyle name="Normal 6 109 2 3 2 3 4" xfId="0"/>
    <cellStyle name="Normal 6 109 2 3 2 3 4 2" xfId="0"/>
    <cellStyle name="Normal 6 109 2 3 2 3 5" xfId="0"/>
    <cellStyle name="Normal 6 109 2 3 2 4" xfId="0"/>
    <cellStyle name="Normal 6 109 2 3 2 4 2" xfId="0"/>
    <cellStyle name="Normal 6 109 2 3 2 4 2 2" xfId="0"/>
    <cellStyle name="Normal 6 109 2 3 2 4 2 2 2" xfId="0"/>
    <cellStyle name="Normal 6 109 2 3 2 4 2 3" xfId="0"/>
    <cellStyle name="Normal 6 109 2 3 2 4 3" xfId="0"/>
    <cellStyle name="Normal 6 109 2 3 2 4 3 2" xfId="0"/>
    <cellStyle name="Normal 6 109 2 3 2 4 4" xfId="0"/>
    <cellStyle name="Normal 6 109 2 3 2 5" xfId="0"/>
    <cellStyle name="Normal 6 109 2 3 2 5 2" xfId="0"/>
    <cellStyle name="Normal 6 109 2 3 2 5 2 2" xfId="0"/>
    <cellStyle name="Normal 6 109 2 3 2 5 3" xfId="0"/>
    <cellStyle name="Normal 6 109 2 3 2 6" xfId="0"/>
    <cellStyle name="Normal 6 109 2 3 2 6 2" xfId="0"/>
    <cellStyle name="Normal 6 109 2 3 2 7" xfId="0"/>
    <cellStyle name="Normal 6 109 2 3 3" xfId="0"/>
    <cellStyle name="Normal 6 109 2 3 3 2" xfId="0"/>
    <cellStyle name="Normal 6 109 2 3 3 2 2" xfId="0"/>
    <cellStyle name="Normal 6 109 2 3 3 2 2 2" xfId="0"/>
    <cellStyle name="Normal 6 109 2 3 3 2 2 2 2" xfId="0"/>
    <cellStyle name="Normal 6 109 2 3 3 2 2 2 2 2" xfId="0"/>
    <cellStyle name="Normal 6 109 2 3 3 2 2 2 3" xfId="0"/>
    <cellStyle name="Normal 6 109 2 3 3 2 2 3" xfId="0"/>
    <cellStyle name="Normal 6 109 2 3 3 2 2 3 2" xfId="0"/>
    <cellStyle name="Normal 6 109 2 3 3 2 2 4" xfId="0"/>
    <cellStyle name="Normal 6 109 2 3 3 2 3" xfId="0"/>
    <cellStyle name="Normal 6 109 2 3 3 2 3 2" xfId="0"/>
    <cellStyle name="Normal 6 109 2 3 3 2 3 2 2" xfId="0"/>
    <cellStyle name="Normal 6 109 2 3 3 2 3 3" xfId="0"/>
    <cellStyle name="Normal 6 109 2 3 3 2 4" xfId="0"/>
    <cellStyle name="Normal 6 109 2 3 3 2 4 2" xfId="0"/>
    <cellStyle name="Normal 6 109 2 3 3 2 5" xfId="0"/>
    <cellStyle name="Normal 6 109 2 3 3 3" xfId="0"/>
    <cellStyle name="Normal 6 109 2 3 3 3 2" xfId="0"/>
    <cellStyle name="Normal 6 109 2 3 3 3 2 2" xfId="0"/>
    <cellStyle name="Normal 6 109 2 3 3 3 2 2 2" xfId="0"/>
    <cellStyle name="Normal 6 109 2 3 3 3 2 3" xfId="0"/>
    <cellStyle name="Normal 6 109 2 3 3 3 3" xfId="0"/>
    <cellStyle name="Normal 6 109 2 3 3 3 3 2" xfId="0"/>
    <cellStyle name="Normal 6 109 2 3 3 3 4" xfId="0"/>
    <cellStyle name="Normal 6 109 2 3 3 4" xfId="0"/>
    <cellStyle name="Normal 6 109 2 3 3 4 2" xfId="0"/>
    <cellStyle name="Normal 6 109 2 3 3 4 2 2" xfId="0"/>
    <cellStyle name="Normal 6 109 2 3 3 4 3" xfId="0"/>
    <cellStyle name="Normal 6 109 2 3 3 5" xfId="0"/>
    <cellStyle name="Normal 6 109 2 3 3 5 2" xfId="0"/>
    <cellStyle name="Normal 6 109 2 3 3 6" xfId="0"/>
    <cellStyle name="Normal 6 109 2 3 4" xfId="0"/>
    <cellStyle name="Normal 6 109 2 3 4 2" xfId="0"/>
    <cellStyle name="Normal 6 109 2 3 4 2 2" xfId="0"/>
    <cellStyle name="Normal 6 109 2 3 4 2 2 2" xfId="0"/>
    <cellStyle name="Normal 6 109 2 3 4 2 2 2 2" xfId="0"/>
    <cellStyle name="Normal 6 109 2 3 4 2 2 3" xfId="0"/>
    <cellStyle name="Normal 6 109 2 3 4 2 3" xfId="0"/>
    <cellStyle name="Normal 6 109 2 3 4 2 3 2" xfId="0"/>
    <cellStyle name="Normal 6 109 2 3 4 2 4" xfId="0"/>
    <cellStyle name="Normal 6 109 2 3 4 3" xfId="0"/>
    <cellStyle name="Normal 6 109 2 3 4 3 2" xfId="0"/>
    <cellStyle name="Normal 6 109 2 3 4 3 2 2" xfId="0"/>
    <cellStyle name="Normal 6 109 2 3 4 3 3" xfId="0"/>
    <cellStyle name="Normal 6 109 2 3 4 4" xfId="0"/>
    <cellStyle name="Normal 6 109 2 3 4 4 2" xfId="0"/>
    <cellStyle name="Normal 6 109 2 3 4 5" xfId="0"/>
    <cellStyle name="Normal 6 109 2 3 5" xfId="0"/>
    <cellStyle name="Normal 6 109 2 3 5 2" xfId="0"/>
    <cellStyle name="Normal 6 109 2 3 5 2 2" xfId="0"/>
    <cellStyle name="Normal 6 109 2 3 5 2 2 2" xfId="0"/>
    <cellStyle name="Normal 6 109 2 3 5 2 3" xfId="0"/>
    <cellStyle name="Normal 6 109 2 3 5 3" xfId="0"/>
    <cellStyle name="Normal 6 109 2 3 5 3 2" xfId="0"/>
    <cellStyle name="Normal 6 109 2 3 5 4" xfId="0"/>
    <cellStyle name="Normal 6 109 2 3 6" xfId="0"/>
    <cellStyle name="Normal 6 109 2 3 6 2" xfId="0"/>
    <cellStyle name="Normal 6 109 2 3 6 2 2" xfId="0"/>
    <cellStyle name="Normal 6 109 2 3 6 3" xfId="0"/>
    <cellStyle name="Normal 6 109 2 3 7" xfId="0"/>
    <cellStyle name="Normal 6 109 2 3 7 2" xfId="0"/>
    <cellStyle name="Normal 6 109 2 3 8" xfId="0"/>
    <cellStyle name="Normal 6 109 2 4" xfId="0"/>
    <cellStyle name="Normal 6 109 2 4 2" xfId="0"/>
    <cellStyle name="Normal 6 109 2 4 2 2" xfId="0"/>
    <cellStyle name="Normal 6 109 2 4 2 2 2" xfId="0"/>
    <cellStyle name="Normal 6 109 2 4 2 2 2 2" xfId="0"/>
    <cellStyle name="Normal 6 109 2 4 2 2 2 2 2" xfId="0"/>
    <cellStyle name="Normal 6 109 2 4 2 2 2 2 2 2" xfId="0"/>
    <cellStyle name="Normal 6 109 2 4 2 2 2 2 3" xfId="0"/>
    <cellStyle name="Normal 6 109 2 4 2 2 2 3" xfId="0"/>
    <cellStyle name="Normal 6 109 2 4 2 2 2 3 2" xfId="0"/>
    <cellStyle name="Normal 6 109 2 4 2 2 2 4" xfId="0"/>
    <cellStyle name="Normal 6 109 2 4 2 2 3" xfId="0"/>
    <cellStyle name="Normal 6 109 2 4 2 2 3 2" xfId="0"/>
    <cellStyle name="Normal 6 109 2 4 2 2 3 2 2" xfId="0"/>
    <cellStyle name="Normal 6 109 2 4 2 2 3 3" xfId="0"/>
    <cellStyle name="Normal 6 109 2 4 2 2 4" xfId="0"/>
    <cellStyle name="Normal 6 109 2 4 2 2 4 2" xfId="0"/>
    <cellStyle name="Normal 6 109 2 4 2 2 5" xfId="0"/>
    <cellStyle name="Normal 6 109 2 4 2 3" xfId="0"/>
    <cellStyle name="Normal 6 109 2 4 2 3 2" xfId="0"/>
    <cellStyle name="Normal 6 109 2 4 2 3 2 2" xfId="0"/>
    <cellStyle name="Normal 6 109 2 4 2 3 2 2 2" xfId="0"/>
    <cellStyle name="Normal 6 109 2 4 2 3 2 3" xfId="0"/>
    <cellStyle name="Normal 6 109 2 4 2 3 3" xfId="0"/>
    <cellStyle name="Normal 6 109 2 4 2 3 3 2" xfId="0"/>
    <cellStyle name="Normal 6 109 2 4 2 3 4" xfId="0"/>
    <cellStyle name="Normal 6 109 2 4 2 4" xfId="0"/>
    <cellStyle name="Normal 6 109 2 4 2 4 2" xfId="0"/>
    <cellStyle name="Normal 6 109 2 4 2 4 2 2" xfId="0"/>
    <cellStyle name="Normal 6 109 2 4 2 4 3" xfId="0"/>
    <cellStyle name="Normal 6 109 2 4 2 5" xfId="0"/>
    <cellStyle name="Normal 6 109 2 4 2 5 2" xfId="0"/>
    <cellStyle name="Normal 6 109 2 4 2 6" xfId="0"/>
    <cellStyle name="Normal 6 109 2 4 3" xfId="0"/>
    <cellStyle name="Normal 6 109 2 4 3 2" xfId="0"/>
    <cellStyle name="Normal 6 109 2 4 3 2 2" xfId="0"/>
    <cellStyle name="Normal 6 109 2 4 3 2 2 2" xfId="0"/>
    <cellStyle name="Normal 6 109 2 4 3 2 2 2 2" xfId="0"/>
    <cellStyle name="Normal 6 109 2 4 3 2 2 3" xfId="0"/>
    <cellStyle name="Normal 6 109 2 4 3 2 3" xfId="0"/>
    <cellStyle name="Normal 6 109 2 4 3 2 3 2" xfId="0"/>
    <cellStyle name="Normal 6 109 2 4 3 2 4" xfId="0"/>
    <cellStyle name="Normal 6 109 2 4 3 3" xfId="0"/>
    <cellStyle name="Normal 6 109 2 4 3 3 2" xfId="0"/>
    <cellStyle name="Normal 6 109 2 4 3 3 2 2" xfId="0"/>
    <cellStyle name="Normal 6 109 2 4 3 3 3" xfId="0"/>
    <cellStyle name="Normal 6 109 2 4 3 4" xfId="0"/>
    <cellStyle name="Normal 6 109 2 4 3 4 2" xfId="0"/>
    <cellStyle name="Normal 6 109 2 4 3 5" xfId="0"/>
    <cellStyle name="Normal 6 109 2 4 4" xfId="0"/>
    <cellStyle name="Normal 6 109 2 4 4 2" xfId="0"/>
    <cellStyle name="Normal 6 109 2 4 4 2 2" xfId="0"/>
    <cellStyle name="Normal 6 109 2 4 4 2 2 2" xfId="0"/>
    <cellStyle name="Normal 6 109 2 4 4 2 3" xfId="0"/>
    <cellStyle name="Normal 6 109 2 4 4 3" xfId="0"/>
    <cellStyle name="Normal 6 109 2 4 4 3 2" xfId="0"/>
    <cellStyle name="Normal 6 109 2 4 4 4" xfId="0"/>
    <cellStyle name="Normal 6 109 2 4 5" xfId="0"/>
    <cellStyle name="Normal 6 109 2 4 5 2" xfId="0"/>
    <cellStyle name="Normal 6 109 2 4 5 2 2" xfId="0"/>
    <cellStyle name="Normal 6 109 2 4 5 3" xfId="0"/>
    <cellStyle name="Normal 6 109 2 4 6" xfId="0"/>
    <cellStyle name="Normal 6 109 2 4 6 2" xfId="0"/>
    <cellStyle name="Normal 6 109 2 4 7" xfId="0"/>
    <cellStyle name="Normal 6 109 2 5" xfId="0"/>
    <cellStyle name="Normal 6 109 2 5 2" xfId="0"/>
    <cellStyle name="Normal 6 109 2 5 2 2" xfId="0"/>
    <cellStyle name="Normal 6 109 2 5 2 2 2" xfId="0"/>
    <cellStyle name="Normal 6 109 2 5 2 2 2 2" xfId="0"/>
    <cellStyle name="Normal 6 109 2 5 2 2 2 2 2" xfId="0"/>
    <cellStyle name="Normal 6 109 2 5 2 2 2 2 2 2" xfId="0"/>
    <cellStyle name="Normal 6 109 2 5 2 2 2 2 3" xfId="0"/>
    <cellStyle name="Normal 6 109 2 5 2 2 2 3" xfId="0"/>
    <cellStyle name="Normal 6 109 2 5 2 2 2 3 2" xfId="0"/>
    <cellStyle name="Normal 6 109 2 5 2 2 2 4" xfId="0"/>
    <cellStyle name="Normal 6 109 2 5 2 2 3" xfId="0"/>
    <cellStyle name="Normal 6 109 2 5 2 2 3 2" xfId="0"/>
    <cellStyle name="Normal 6 109 2 5 2 2 3 2 2" xfId="0"/>
    <cellStyle name="Normal 6 109 2 5 2 2 3 3" xfId="0"/>
    <cellStyle name="Normal 6 109 2 5 2 2 4" xfId="0"/>
    <cellStyle name="Normal 6 109 2 5 2 2 4 2" xfId="0"/>
    <cellStyle name="Normal 6 109 2 5 2 2 5" xfId="0"/>
    <cellStyle name="Normal 6 109 2 5 2 3" xfId="0"/>
    <cellStyle name="Normal 6 109 2 5 2 3 2" xfId="0"/>
    <cellStyle name="Normal 6 109 2 5 2 3 2 2" xfId="0"/>
    <cellStyle name="Normal 6 109 2 5 2 3 2 2 2" xfId="0"/>
    <cellStyle name="Normal 6 109 2 5 2 3 2 3" xfId="0"/>
    <cellStyle name="Normal 6 109 2 5 2 3 3" xfId="0"/>
    <cellStyle name="Normal 6 109 2 5 2 3 3 2" xfId="0"/>
    <cellStyle name="Normal 6 109 2 5 2 3 4" xfId="0"/>
    <cellStyle name="Normal 6 109 2 5 2 4" xfId="0"/>
    <cellStyle name="Normal 6 109 2 5 2 4 2" xfId="0"/>
    <cellStyle name="Normal 6 109 2 5 2 4 2 2" xfId="0"/>
    <cellStyle name="Normal 6 109 2 5 2 4 3" xfId="0"/>
    <cellStyle name="Normal 6 109 2 5 2 5" xfId="0"/>
    <cellStyle name="Normal 6 109 2 5 2 5 2" xfId="0"/>
    <cellStyle name="Normal 6 109 2 5 2 6" xfId="0"/>
    <cellStyle name="Normal 6 109 2 5 3" xfId="0"/>
    <cellStyle name="Normal 6 109 2 5 3 2" xfId="0"/>
    <cellStyle name="Normal 6 109 2 5 3 2 2" xfId="0"/>
    <cellStyle name="Normal 6 109 2 5 3 2 2 2" xfId="0"/>
    <cellStyle name="Normal 6 109 2 5 3 2 2 2 2" xfId="0"/>
    <cellStyle name="Normal 6 109 2 5 3 2 2 3" xfId="0"/>
    <cellStyle name="Normal 6 109 2 5 3 2 3" xfId="0"/>
    <cellStyle name="Normal 6 109 2 5 3 2 3 2" xfId="0"/>
    <cellStyle name="Normal 6 109 2 5 3 2 4" xfId="0"/>
    <cellStyle name="Normal 6 109 2 5 3 3" xfId="0"/>
    <cellStyle name="Normal 6 109 2 5 3 3 2" xfId="0"/>
    <cellStyle name="Normal 6 109 2 5 3 3 2 2" xfId="0"/>
    <cellStyle name="Normal 6 109 2 5 3 3 3" xfId="0"/>
    <cellStyle name="Normal 6 109 2 5 3 4" xfId="0"/>
    <cellStyle name="Normal 6 109 2 5 3 4 2" xfId="0"/>
    <cellStyle name="Normal 6 109 2 5 3 5" xfId="0"/>
    <cellStyle name="Normal 6 109 2 5 4" xfId="0"/>
    <cellStyle name="Normal 6 109 2 5 4 2" xfId="0"/>
    <cellStyle name="Normal 6 109 2 5 4 2 2" xfId="0"/>
    <cellStyle name="Normal 6 109 2 5 4 2 2 2" xfId="0"/>
    <cellStyle name="Normal 6 109 2 5 4 2 3" xfId="0"/>
    <cellStyle name="Normal 6 109 2 5 4 3" xfId="0"/>
    <cellStyle name="Normal 6 109 2 5 4 3 2" xfId="0"/>
    <cellStyle name="Normal 6 109 2 5 4 4" xfId="0"/>
    <cellStyle name="Normal 6 109 2 5 5" xfId="0"/>
    <cellStyle name="Normal 6 109 2 5 5 2" xfId="0"/>
    <cellStyle name="Normal 6 109 2 5 5 2 2" xfId="0"/>
    <cellStyle name="Normal 6 109 2 5 5 3" xfId="0"/>
    <cellStyle name="Normal 6 109 2 5 6" xfId="0"/>
    <cellStyle name="Normal 6 109 2 5 6 2" xfId="0"/>
    <cellStyle name="Normal 6 109 2 5 7" xfId="0"/>
    <cellStyle name="Normal 6 109 2 6" xfId="0"/>
    <cellStyle name="Normal 6 109 2 6 2" xfId="0"/>
    <cellStyle name="Normal 6 109 2 6 2 2" xfId="0"/>
    <cellStyle name="Normal 6 109 2 6 2 2 2" xfId="0"/>
    <cellStyle name="Normal 6 109 2 6 2 2 2 2" xfId="0"/>
    <cellStyle name="Normal 6 109 2 6 2 2 2 2 2" xfId="0"/>
    <cellStyle name="Normal 6 109 2 6 2 2 2 3" xfId="0"/>
    <cellStyle name="Normal 6 109 2 6 2 2 3" xfId="0"/>
    <cellStyle name="Normal 6 109 2 6 2 2 3 2" xfId="0"/>
    <cellStyle name="Normal 6 109 2 6 2 2 4" xfId="0"/>
    <cellStyle name="Normal 6 109 2 6 2 3" xfId="0"/>
    <cellStyle name="Normal 6 109 2 6 2 3 2" xfId="0"/>
    <cellStyle name="Normal 6 109 2 6 2 3 2 2" xfId="0"/>
    <cellStyle name="Normal 6 109 2 6 2 3 3" xfId="0"/>
    <cellStyle name="Normal 6 109 2 6 2 4" xfId="0"/>
    <cellStyle name="Normal 6 109 2 6 2 4 2" xfId="0"/>
    <cellStyle name="Normal 6 109 2 6 2 5" xfId="0"/>
    <cellStyle name="Normal 6 109 2 6 3" xfId="0"/>
    <cellStyle name="Normal 6 109 2 6 3 2" xfId="0"/>
    <cellStyle name="Normal 6 109 2 6 3 2 2" xfId="0"/>
    <cellStyle name="Normal 6 109 2 6 3 2 2 2" xfId="0"/>
    <cellStyle name="Normal 6 109 2 6 3 2 3" xfId="0"/>
    <cellStyle name="Normal 6 109 2 6 3 3" xfId="0"/>
    <cellStyle name="Normal 6 109 2 6 3 3 2" xfId="0"/>
    <cellStyle name="Normal 6 109 2 6 3 4" xfId="0"/>
    <cellStyle name="Normal 6 109 2 6 4" xfId="0"/>
    <cellStyle name="Normal 6 109 2 6 4 2" xfId="0"/>
    <cellStyle name="Normal 6 109 2 6 4 2 2" xfId="0"/>
    <cellStyle name="Normal 6 109 2 6 4 3" xfId="0"/>
    <cellStyle name="Normal 6 109 2 6 5" xfId="0"/>
    <cellStyle name="Normal 6 109 2 6 5 2" xfId="0"/>
    <cellStyle name="Normal 6 109 2 6 6" xfId="0"/>
    <cellStyle name="Normal 6 109 2 7" xfId="0"/>
    <cellStyle name="Normal 6 109 2 7 2" xfId="0"/>
    <cellStyle name="Normal 6 109 2 7 2 2" xfId="0"/>
    <cellStyle name="Normal 6 109 2 7 2 2 2" xfId="0"/>
    <cellStyle name="Normal 6 109 2 7 2 2 2 2" xfId="0"/>
    <cellStyle name="Normal 6 109 2 7 2 2 3" xfId="0"/>
    <cellStyle name="Normal 6 109 2 7 2 3" xfId="0"/>
    <cellStyle name="Normal 6 109 2 7 2 3 2" xfId="0"/>
    <cellStyle name="Normal 6 109 2 7 2 4" xfId="0"/>
    <cellStyle name="Normal 6 109 2 7 3" xfId="0"/>
    <cellStyle name="Normal 6 109 2 7 3 2" xfId="0"/>
    <cellStyle name="Normal 6 109 2 7 3 2 2" xfId="0"/>
    <cellStyle name="Normal 6 109 2 7 3 3" xfId="0"/>
    <cellStyle name="Normal 6 109 2 7 4" xfId="0"/>
    <cellStyle name="Normal 6 109 2 7 4 2" xfId="0"/>
    <cellStyle name="Normal 6 109 2 7 5" xfId="0"/>
    <cellStyle name="Normal 6 109 2 8" xfId="0"/>
    <cellStyle name="Normal 6 109 2 8 2" xfId="0"/>
    <cellStyle name="Normal 6 109 2 8 2 2" xfId="0"/>
    <cellStyle name="Normal 6 109 2 8 2 2 2" xfId="0"/>
    <cellStyle name="Normal 6 109 2 8 2 3" xfId="0"/>
    <cellStyle name="Normal 6 109 2 8 3" xfId="0"/>
    <cellStyle name="Normal 6 109 2 8 3 2" xfId="0"/>
    <cellStyle name="Normal 6 109 2 8 4" xfId="0"/>
    <cellStyle name="Normal 6 109 2 9" xfId="0"/>
    <cellStyle name="Normal 6 109 2 9 2" xfId="0"/>
    <cellStyle name="Normal 6 109 2 9 2 2" xfId="0"/>
    <cellStyle name="Normal 6 109 2 9 3" xfId="0"/>
    <cellStyle name="Normal 6 109 3" xfId="0"/>
    <cellStyle name="Normal 6 109 3 2" xfId="0"/>
    <cellStyle name="Normal 6 109 3 2 2" xfId="0"/>
    <cellStyle name="Normal 6 109 3 2 2 2" xfId="0"/>
    <cellStyle name="Normal 6 109 3 2 2 2 2" xfId="0"/>
    <cellStyle name="Normal 6 109 3 2 2 2 2 2" xfId="0"/>
    <cellStyle name="Normal 6 109 3 2 2 2 2 2 2" xfId="0"/>
    <cellStyle name="Normal 6 109 3 2 2 2 2 2 2 2" xfId="0"/>
    <cellStyle name="Normal 6 109 3 2 2 2 2 2 3" xfId="0"/>
    <cellStyle name="Normal 6 109 3 2 2 2 2 3" xfId="0"/>
    <cellStyle name="Normal 6 109 3 2 2 2 2 3 2" xfId="0"/>
    <cellStyle name="Normal 6 109 3 2 2 2 2 4" xfId="0"/>
    <cellStyle name="Normal 6 109 3 2 2 2 3" xfId="0"/>
    <cellStyle name="Normal 6 109 3 2 2 2 3 2" xfId="0"/>
    <cellStyle name="Normal 6 109 3 2 2 2 3 2 2" xfId="0"/>
    <cellStyle name="Normal 6 109 3 2 2 2 3 3" xfId="0"/>
    <cellStyle name="Normal 6 109 3 2 2 2 4" xfId="0"/>
    <cellStyle name="Normal 6 109 3 2 2 2 4 2" xfId="0"/>
    <cellStyle name="Normal 6 109 3 2 2 2 5" xfId="0"/>
    <cellStyle name="Normal 6 109 3 2 2 3" xfId="0"/>
    <cellStyle name="Normal 6 109 3 2 2 3 2" xfId="0"/>
    <cellStyle name="Normal 6 109 3 2 2 3 2 2" xfId="0"/>
    <cellStyle name="Normal 6 109 3 2 2 3 2 2 2" xfId="0"/>
    <cellStyle name="Normal 6 109 3 2 2 3 2 3" xfId="0"/>
    <cellStyle name="Normal 6 109 3 2 2 3 3" xfId="0"/>
    <cellStyle name="Normal 6 109 3 2 2 3 3 2" xfId="0"/>
    <cellStyle name="Normal 6 109 3 2 2 3 4" xfId="0"/>
    <cellStyle name="Normal 6 109 3 2 2 4" xfId="0"/>
    <cellStyle name="Normal 6 109 3 2 2 4 2" xfId="0"/>
    <cellStyle name="Normal 6 109 3 2 2 4 2 2" xfId="0"/>
    <cellStyle name="Normal 6 109 3 2 2 4 3" xfId="0"/>
    <cellStyle name="Normal 6 109 3 2 2 5" xfId="0"/>
    <cellStyle name="Normal 6 109 3 2 2 5 2" xfId="0"/>
    <cellStyle name="Normal 6 109 3 2 2 6" xfId="0"/>
    <cellStyle name="Normal 6 109 3 2 3" xfId="0"/>
    <cellStyle name="Normal 6 109 3 2 3 2" xfId="0"/>
    <cellStyle name="Normal 6 109 3 2 3 2 2" xfId="0"/>
    <cellStyle name="Normal 6 109 3 2 3 2 2 2" xfId="0"/>
    <cellStyle name="Normal 6 109 3 2 3 2 2 2 2" xfId="0"/>
    <cellStyle name="Normal 6 109 3 2 3 2 2 3" xfId="0"/>
    <cellStyle name="Normal 6 109 3 2 3 2 3" xfId="0"/>
    <cellStyle name="Normal 6 109 3 2 3 2 3 2" xfId="0"/>
    <cellStyle name="Normal 6 109 3 2 3 2 4" xfId="0"/>
    <cellStyle name="Normal 6 109 3 2 3 3" xfId="0"/>
    <cellStyle name="Normal 6 109 3 2 3 3 2" xfId="0"/>
    <cellStyle name="Normal 6 109 3 2 3 3 2 2" xfId="0"/>
    <cellStyle name="Normal 6 109 3 2 3 3 3" xfId="0"/>
    <cellStyle name="Normal 6 109 3 2 3 4" xfId="0"/>
    <cellStyle name="Normal 6 109 3 2 3 4 2" xfId="0"/>
    <cellStyle name="Normal 6 109 3 2 3 5" xfId="0"/>
    <cellStyle name="Normal 6 109 3 2 4" xfId="0"/>
    <cellStyle name="Normal 6 109 3 2 4 2" xfId="0"/>
    <cellStyle name="Normal 6 109 3 2 4 2 2" xfId="0"/>
    <cellStyle name="Normal 6 109 3 2 4 2 2 2" xfId="0"/>
    <cellStyle name="Normal 6 109 3 2 4 2 3" xfId="0"/>
    <cellStyle name="Normal 6 109 3 2 4 3" xfId="0"/>
    <cellStyle name="Normal 6 109 3 2 4 3 2" xfId="0"/>
    <cellStyle name="Normal 6 109 3 2 4 4" xfId="0"/>
    <cellStyle name="Normal 6 109 3 2 5" xfId="0"/>
    <cellStyle name="Normal 6 109 3 2 5 2" xfId="0"/>
    <cellStyle name="Normal 6 109 3 2 5 2 2" xfId="0"/>
    <cellStyle name="Normal 6 109 3 2 5 3" xfId="0"/>
    <cellStyle name="Normal 6 109 3 2 6" xfId="0"/>
    <cellStyle name="Normal 6 109 3 2 6 2" xfId="0"/>
    <cellStyle name="Normal 6 109 3 2 7" xfId="0"/>
    <cellStyle name="Normal 6 109 3 3" xfId="0"/>
    <cellStyle name="Normal 6 109 3 3 2" xfId="0"/>
    <cellStyle name="Normal 6 109 3 3 2 2" xfId="0"/>
    <cellStyle name="Normal 6 109 3 3 2 2 2" xfId="0"/>
    <cellStyle name="Normal 6 109 3 3 2 2 2 2" xfId="0"/>
    <cellStyle name="Normal 6 109 3 3 2 2 2 2 2" xfId="0"/>
    <cellStyle name="Normal 6 109 3 3 2 2 2 3" xfId="0"/>
    <cellStyle name="Normal 6 109 3 3 2 2 3" xfId="0"/>
    <cellStyle name="Normal 6 109 3 3 2 2 3 2" xfId="0"/>
    <cellStyle name="Normal 6 109 3 3 2 2 4" xfId="0"/>
    <cellStyle name="Normal 6 109 3 3 2 3" xfId="0"/>
    <cellStyle name="Normal 6 109 3 3 2 3 2" xfId="0"/>
    <cellStyle name="Normal 6 109 3 3 2 3 2 2" xfId="0"/>
    <cellStyle name="Normal 6 109 3 3 2 3 3" xfId="0"/>
    <cellStyle name="Normal 6 109 3 3 2 4" xfId="0"/>
    <cellStyle name="Normal 6 109 3 3 2 4 2" xfId="0"/>
    <cellStyle name="Normal 6 109 3 3 2 5" xfId="0"/>
    <cellStyle name="Normal 6 109 3 3 3" xfId="0"/>
    <cellStyle name="Normal 6 109 3 3 3 2" xfId="0"/>
    <cellStyle name="Normal 6 109 3 3 3 2 2" xfId="0"/>
    <cellStyle name="Normal 6 109 3 3 3 2 2 2" xfId="0"/>
    <cellStyle name="Normal 6 109 3 3 3 2 3" xfId="0"/>
    <cellStyle name="Normal 6 109 3 3 3 3" xfId="0"/>
    <cellStyle name="Normal 6 109 3 3 3 3 2" xfId="0"/>
    <cellStyle name="Normal 6 109 3 3 3 4" xfId="0"/>
    <cellStyle name="Normal 6 109 3 3 4" xfId="0"/>
    <cellStyle name="Normal 6 109 3 3 4 2" xfId="0"/>
    <cellStyle name="Normal 6 109 3 3 4 2 2" xfId="0"/>
    <cellStyle name="Normal 6 109 3 3 4 3" xfId="0"/>
    <cellStyle name="Normal 6 109 3 3 5" xfId="0"/>
    <cellStyle name="Normal 6 109 3 3 5 2" xfId="0"/>
    <cellStyle name="Normal 6 109 3 3 6" xfId="0"/>
    <cellStyle name="Normal 6 109 3 4" xfId="0"/>
    <cellStyle name="Normal 6 109 3 4 2" xfId="0"/>
    <cellStyle name="Normal 6 109 3 4 2 2" xfId="0"/>
    <cellStyle name="Normal 6 109 3 4 2 2 2" xfId="0"/>
    <cellStyle name="Normal 6 109 3 4 2 2 2 2" xfId="0"/>
    <cellStyle name="Normal 6 109 3 4 2 2 3" xfId="0"/>
    <cellStyle name="Normal 6 109 3 4 2 3" xfId="0"/>
    <cellStyle name="Normal 6 109 3 4 2 3 2" xfId="0"/>
    <cellStyle name="Normal 6 109 3 4 2 4" xfId="0"/>
    <cellStyle name="Normal 6 109 3 4 3" xfId="0"/>
    <cellStyle name="Normal 6 109 3 4 3 2" xfId="0"/>
    <cellStyle name="Normal 6 109 3 4 3 2 2" xfId="0"/>
    <cellStyle name="Normal 6 109 3 4 3 3" xfId="0"/>
    <cellStyle name="Normal 6 109 3 4 4" xfId="0"/>
    <cellStyle name="Normal 6 109 3 4 4 2" xfId="0"/>
    <cellStyle name="Normal 6 109 3 4 5" xfId="0"/>
    <cellStyle name="Normal 6 109 3 5" xfId="0"/>
    <cellStyle name="Normal 6 109 3 5 2" xfId="0"/>
    <cellStyle name="Normal 6 109 3 5 2 2" xfId="0"/>
    <cellStyle name="Normal 6 109 3 5 2 2 2" xfId="0"/>
    <cellStyle name="Normal 6 109 3 5 2 3" xfId="0"/>
    <cellStyle name="Normal 6 109 3 5 3" xfId="0"/>
    <cellStyle name="Normal 6 109 3 5 3 2" xfId="0"/>
    <cellStyle name="Normal 6 109 3 5 4" xfId="0"/>
    <cellStyle name="Normal 6 109 3 6" xfId="0"/>
    <cellStyle name="Normal 6 109 3 6 2" xfId="0"/>
    <cellStyle name="Normal 6 109 3 6 2 2" xfId="0"/>
    <cellStyle name="Normal 6 109 3 6 3" xfId="0"/>
    <cellStyle name="Normal 6 109 3 7" xfId="0"/>
    <cellStyle name="Normal 6 109 3 7 2" xfId="0"/>
    <cellStyle name="Normal 6 109 3 8" xfId="0"/>
    <cellStyle name="Normal 6 109 4" xfId="0"/>
    <cellStyle name="Normal 6 109 4 2" xfId="0"/>
    <cellStyle name="Normal 6 109 4 2 2" xfId="0"/>
    <cellStyle name="Normal 6 109 4 2 2 2" xfId="0"/>
    <cellStyle name="Normal 6 109 4 2 2 2 2" xfId="0"/>
    <cellStyle name="Normal 6 109 4 2 2 2 2 2" xfId="0"/>
    <cellStyle name="Normal 6 109 4 2 2 2 2 2 2" xfId="0"/>
    <cellStyle name="Normal 6 109 4 2 2 2 2 2 2 2" xfId="0"/>
    <cellStyle name="Normal 6 109 4 2 2 2 2 2 3" xfId="0"/>
    <cellStyle name="Normal 6 109 4 2 2 2 2 3" xfId="0"/>
    <cellStyle name="Normal 6 109 4 2 2 2 2 3 2" xfId="0"/>
    <cellStyle name="Normal 6 109 4 2 2 2 2 4" xfId="0"/>
    <cellStyle name="Normal 6 109 4 2 2 2 3" xfId="0"/>
    <cellStyle name="Normal 6 109 4 2 2 2 3 2" xfId="0"/>
    <cellStyle name="Normal 6 109 4 2 2 2 3 2 2" xfId="0"/>
    <cellStyle name="Normal 6 109 4 2 2 2 3 3" xfId="0"/>
    <cellStyle name="Normal 6 109 4 2 2 2 4" xfId="0"/>
    <cellStyle name="Normal 6 109 4 2 2 2 4 2" xfId="0"/>
    <cellStyle name="Normal 6 109 4 2 2 2 5" xfId="0"/>
    <cellStyle name="Normal 6 109 4 2 2 3" xfId="0"/>
    <cellStyle name="Normal 6 109 4 2 2 3 2" xfId="0"/>
    <cellStyle name="Normal 6 109 4 2 2 3 2 2" xfId="0"/>
    <cellStyle name="Normal 6 109 4 2 2 3 2 2 2" xfId="0"/>
    <cellStyle name="Normal 6 109 4 2 2 3 2 3" xfId="0"/>
    <cellStyle name="Normal 6 109 4 2 2 3 3" xfId="0"/>
    <cellStyle name="Normal 6 109 4 2 2 3 3 2" xfId="0"/>
    <cellStyle name="Normal 6 109 4 2 2 3 4" xfId="0"/>
    <cellStyle name="Normal 6 109 4 2 2 4" xfId="0"/>
    <cellStyle name="Normal 6 109 4 2 2 4 2" xfId="0"/>
    <cellStyle name="Normal 6 109 4 2 2 4 2 2" xfId="0"/>
    <cellStyle name="Normal 6 109 4 2 2 4 3" xfId="0"/>
    <cellStyle name="Normal 6 109 4 2 2 5" xfId="0"/>
    <cellStyle name="Normal 6 109 4 2 2 5 2" xfId="0"/>
    <cellStyle name="Normal 6 109 4 2 2 6" xfId="0"/>
    <cellStyle name="Normal 6 109 4 2 3" xfId="0"/>
    <cellStyle name="Normal 6 109 4 2 3 2" xfId="0"/>
    <cellStyle name="Normal 6 109 4 2 3 2 2" xfId="0"/>
    <cellStyle name="Normal 6 109 4 2 3 2 2 2" xfId="0"/>
    <cellStyle name="Normal 6 109 4 2 3 2 2 2 2" xfId="0"/>
    <cellStyle name="Normal 6 109 4 2 3 2 2 3" xfId="0"/>
    <cellStyle name="Normal 6 109 4 2 3 2 3" xfId="0"/>
    <cellStyle name="Normal 6 109 4 2 3 2 3 2" xfId="0"/>
    <cellStyle name="Normal 6 109 4 2 3 2 4" xfId="0"/>
    <cellStyle name="Normal 6 109 4 2 3 3" xfId="0"/>
    <cellStyle name="Normal 6 109 4 2 3 3 2" xfId="0"/>
    <cellStyle name="Normal 6 109 4 2 3 3 2 2" xfId="0"/>
    <cellStyle name="Normal 6 109 4 2 3 3 3" xfId="0"/>
    <cellStyle name="Normal 6 109 4 2 3 4" xfId="0"/>
    <cellStyle name="Normal 6 109 4 2 3 4 2" xfId="0"/>
    <cellStyle name="Normal 6 109 4 2 3 5" xfId="0"/>
    <cellStyle name="Normal 6 109 4 2 4" xfId="0"/>
    <cellStyle name="Normal 6 109 4 2 4 2" xfId="0"/>
    <cellStyle name="Normal 6 109 4 2 4 2 2" xfId="0"/>
    <cellStyle name="Normal 6 109 4 2 4 2 2 2" xfId="0"/>
    <cellStyle name="Normal 6 109 4 2 4 2 3" xfId="0"/>
    <cellStyle name="Normal 6 109 4 2 4 3" xfId="0"/>
    <cellStyle name="Normal 6 109 4 2 4 3 2" xfId="0"/>
    <cellStyle name="Normal 6 109 4 2 4 4" xfId="0"/>
    <cellStyle name="Normal 6 109 4 2 5" xfId="0"/>
    <cellStyle name="Normal 6 109 4 2 5 2" xfId="0"/>
    <cellStyle name="Normal 6 109 4 2 5 2 2" xfId="0"/>
    <cellStyle name="Normal 6 109 4 2 5 3" xfId="0"/>
    <cellStyle name="Normal 6 109 4 2 6" xfId="0"/>
    <cellStyle name="Normal 6 109 4 2 6 2" xfId="0"/>
    <cellStyle name="Normal 6 109 4 2 7" xfId="0"/>
    <cellStyle name="Normal 6 109 4 3" xfId="0"/>
    <cellStyle name="Normal 6 109 4 3 2" xfId="0"/>
    <cellStyle name="Normal 6 109 4 3 2 2" xfId="0"/>
    <cellStyle name="Normal 6 109 4 3 2 2 2" xfId="0"/>
    <cellStyle name="Normal 6 109 4 3 2 2 2 2" xfId="0"/>
    <cellStyle name="Normal 6 109 4 3 2 2 2 2 2" xfId="0"/>
    <cellStyle name="Normal 6 109 4 3 2 2 2 3" xfId="0"/>
    <cellStyle name="Normal 6 109 4 3 2 2 3" xfId="0"/>
    <cellStyle name="Normal 6 109 4 3 2 2 3 2" xfId="0"/>
    <cellStyle name="Normal 6 109 4 3 2 2 4" xfId="0"/>
    <cellStyle name="Normal 6 109 4 3 2 3" xfId="0"/>
    <cellStyle name="Normal 6 109 4 3 2 3 2" xfId="0"/>
    <cellStyle name="Normal 6 109 4 3 2 3 2 2" xfId="0"/>
    <cellStyle name="Normal 6 109 4 3 2 3 3" xfId="0"/>
    <cellStyle name="Normal 6 109 4 3 2 4" xfId="0"/>
    <cellStyle name="Normal 6 109 4 3 2 4 2" xfId="0"/>
    <cellStyle name="Normal 6 109 4 3 2 5" xfId="0"/>
    <cellStyle name="Normal 6 109 4 3 3" xfId="0"/>
    <cellStyle name="Normal 6 109 4 3 3 2" xfId="0"/>
    <cellStyle name="Normal 6 109 4 3 3 2 2" xfId="0"/>
    <cellStyle name="Normal 6 109 4 3 3 2 2 2" xfId="0"/>
    <cellStyle name="Normal 6 109 4 3 3 2 3" xfId="0"/>
    <cellStyle name="Normal 6 109 4 3 3 3" xfId="0"/>
    <cellStyle name="Normal 6 109 4 3 3 3 2" xfId="0"/>
    <cellStyle name="Normal 6 109 4 3 3 4" xfId="0"/>
    <cellStyle name="Normal 6 109 4 3 4" xfId="0"/>
    <cellStyle name="Normal 6 109 4 3 4 2" xfId="0"/>
    <cellStyle name="Normal 6 109 4 3 4 2 2" xfId="0"/>
    <cellStyle name="Normal 6 109 4 3 4 3" xfId="0"/>
    <cellStyle name="Normal 6 109 4 3 5" xfId="0"/>
    <cellStyle name="Normal 6 109 4 3 5 2" xfId="0"/>
    <cellStyle name="Normal 6 109 4 3 6" xfId="0"/>
    <cellStyle name="Normal 6 109 4 4" xfId="0"/>
    <cellStyle name="Normal 6 109 4 4 2" xfId="0"/>
    <cellStyle name="Normal 6 109 4 4 2 2" xfId="0"/>
    <cellStyle name="Normal 6 109 4 4 2 2 2" xfId="0"/>
    <cellStyle name="Normal 6 109 4 4 2 2 2 2" xfId="0"/>
    <cellStyle name="Normal 6 109 4 4 2 2 3" xfId="0"/>
    <cellStyle name="Normal 6 109 4 4 2 3" xfId="0"/>
    <cellStyle name="Normal 6 109 4 4 2 3 2" xfId="0"/>
    <cellStyle name="Normal 6 109 4 4 2 4" xfId="0"/>
    <cellStyle name="Normal 6 109 4 4 3" xfId="0"/>
    <cellStyle name="Normal 6 109 4 4 3 2" xfId="0"/>
    <cellStyle name="Normal 6 109 4 4 3 2 2" xfId="0"/>
    <cellStyle name="Normal 6 109 4 4 3 3" xfId="0"/>
    <cellStyle name="Normal 6 109 4 4 4" xfId="0"/>
    <cellStyle name="Normal 6 109 4 4 4 2" xfId="0"/>
    <cellStyle name="Normal 6 109 4 4 5" xfId="0"/>
    <cellStyle name="Normal 6 109 4 5" xfId="0"/>
    <cellStyle name="Normal 6 109 4 5 2" xfId="0"/>
    <cellStyle name="Normal 6 109 4 5 2 2" xfId="0"/>
    <cellStyle name="Normal 6 109 4 5 2 2 2" xfId="0"/>
    <cellStyle name="Normal 6 109 4 5 2 3" xfId="0"/>
    <cellStyle name="Normal 6 109 4 5 3" xfId="0"/>
    <cellStyle name="Normal 6 109 4 5 3 2" xfId="0"/>
    <cellStyle name="Normal 6 109 4 5 4" xfId="0"/>
    <cellStyle name="Normal 6 109 4 6" xfId="0"/>
    <cellStyle name="Normal 6 109 4 6 2" xfId="0"/>
    <cellStyle name="Normal 6 109 4 6 2 2" xfId="0"/>
    <cellStyle name="Normal 6 109 4 6 3" xfId="0"/>
    <cellStyle name="Normal 6 109 4 7" xfId="0"/>
    <cellStyle name="Normal 6 109 4 7 2" xfId="0"/>
    <cellStyle name="Normal 6 109 4 8" xfId="0"/>
    <cellStyle name="Normal 6 109 5" xfId="0"/>
    <cellStyle name="Normal 6 109 5 2" xfId="0"/>
    <cellStyle name="Normal 6 109 5 2 2" xfId="0"/>
    <cellStyle name="Normal 6 109 5 2 2 2" xfId="0"/>
    <cellStyle name="Normal 6 109 5 2 2 2 2" xfId="0"/>
    <cellStyle name="Normal 6 109 5 2 2 2 2 2" xfId="0"/>
    <cellStyle name="Normal 6 109 5 2 2 2 2 2 2" xfId="0"/>
    <cellStyle name="Normal 6 109 5 2 2 2 2 3" xfId="0"/>
    <cellStyle name="Normal 6 109 5 2 2 2 3" xfId="0"/>
    <cellStyle name="Normal 6 109 5 2 2 2 3 2" xfId="0"/>
    <cellStyle name="Normal 6 109 5 2 2 2 4" xfId="0"/>
    <cellStyle name="Normal 6 109 5 2 2 3" xfId="0"/>
    <cellStyle name="Normal 6 109 5 2 2 3 2" xfId="0"/>
    <cellStyle name="Normal 6 109 5 2 2 3 2 2" xfId="0"/>
    <cellStyle name="Normal 6 109 5 2 2 3 3" xfId="0"/>
    <cellStyle name="Normal 6 109 5 2 2 4" xfId="0"/>
    <cellStyle name="Normal 6 109 5 2 2 4 2" xfId="0"/>
    <cellStyle name="Normal 6 109 5 2 2 5" xfId="0"/>
    <cellStyle name="Normal 6 109 5 2 3" xfId="0"/>
    <cellStyle name="Normal 6 109 5 2 3 2" xfId="0"/>
    <cellStyle name="Normal 6 109 5 2 3 2 2" xfId="0"/>
    <cellStyle name="Normal 6 109 5 2 3 2 2 2" xfId="0"/>
    <cellStyle name="Normal 6 109 5 2 3 2 3" xfId="0"/>
    <cellStyle name="Normal 6 109 5 2 3 3" xfId="0"/>
    <cellStyle name="Normal 6 109 5 2 3 3 2" xfId="0"/>
    <cellStyle name="Normal 6 109 5 2 3 4" xfId="0"/>
    <cellStyle name="Normal 6 109 5 2 4" xfId="0"/>
    <cellStyle name="Normal 6 109 5 2 4 2" xfId="0"/>
    <cellStyle name="Normal 6 109 5 2 4 2 2" xfId="0"/>
    <cellStyle name="Normal 6 109 5 2 4 3" xfId="0"/>
    <cellStyle name="Normal 6 109 5 2 5" xfId="0"/>
    <cellStyle name="Normal 6 109 5 2 5 2" xfId="0"/>
    <cellStyle name="Normal 6 109 5 2 6" xfId="0"/>
    <cellStyle name="Normal 6 109 5 3" xfId="0"/>
    <cellStyle name="Normal 6 109 5 3 2" xfId="0"/>
    <cellStyle name="Normal 6 109 5 3 2 2" xfId="0"/>
    <cellStyle name="Normal 6 109 5 3 2 2 2" xfId="0"/>
    <cellStyle name="Normal 6 109 5 3 2 2 2 2" xfId="0"/>
    <cellStyle name="Normal 6 109 5 3 2 2 3" xfId="0"/>
    <cellStyle name="Normal 6 109 5 3 2 3" xfId="0"/>
    <cellStyle name="Normal 6 109 5 3 2 3 2" xfId="0"/>
    <cellStyle name="Normal 6 109 5 3 2 4" xfId="0"/>
    <cellStyle name="Normal 6 109 5 3 3" xfId="0"/>
    <cellStyle name="Normal 6 109 5 3 3 2" xfId="0"/>
    <cellStyle name="Normal 6 109 5 3 3 2 2" xfId="0"/>
    <cellStyle name="Normal 6 109 5 3 3 3" xfId="0"/>
    <cellStyle name="Normal 6 109 5 3 4" xfId="0"/>
    <cellStyle name="Normal 6 109 5 3 4 2" xfId="0"/>
    <cellStyle name="Normal 6 109 5 3 5" xfId="0"/>
    <cellStyle name="Normal 6 109 5 4" xfId="0"/>
    <cellStyle name="Normal 6 109 5 4 2" xfId="0"/>
    <cellStyle name="Normal 6 109 5 4 2 2" xfId="0"/>
    <cellStyle name="Normal 6 109 5 4 2 2 2" xfId="0"/>
    <cellStyle name="Normal 6 109 5 4 2 3" xfId="0"/>
    <cellStyle name="Normal 6 109 5 4 3" xfId="0"/>
    <cellStyle name="Normal 6 109 5 4 3 2" xfId="0"/>
    <cellStyle name="Normal 6 109 5 4 4" xfId="0"/>
    <cellStyle name="Normal 6 109 5 5" xfId="0"/>
    <cellStyle name="Normal 6 109 5 5 2" xfId="0"/>
    <cellStyle name="Normal 6 109 5 5 2 2" xfId="0"/>
    <cellStyle name="Normal 6 109 5 5 3" xfId="0"/>
    <cellStyle name="Normal 6 109 5 6" xfId="0"/>
    <cellStyle name="Normal 6 109 5 6 2" xfId="0"/>
    <cellStyle name="Normal 6 109 5 7" xfId="0"/>
    <cellStyle name="Normal 6 109 6" xfId="0"/>
    <cellStyle name="Normal 6 109 6 2" xfId="0"/>
    <cellStyle name="Normal 6 109 6 2 2" xfId="0"/>
    <cellStyle name="Normal 6 109 6 2 2 2" xfId="0"/>
    <cellStyle name="Normal 6 109 6 2 2 2 2" xfId="0"/>
    <cellStyle name="Normal 6 109 6 2 2 2 2 2" xfId="0"/>
    <cellStyle name="Normal 6 109 6 2 2 2 2 2 2" xfId="0"/>
    <cellStyle name="Normal 6 109 6 2 2 2 2 3" xfId="0"/>
    <cellStyle name="Normal 6 109 6 2 2 2 3" xfId="0"/>
    <cellStyle name="Normal 6 109 6 2 2 2 3 2" xfId="0"/>
    <cellStyle name="Normal 6 109 6 2 2 2 4" xfId="0"/>
    <cellStyle name="Normal 6 109 6 2 2 3" xfId="0"/>
    <cellStyle name="Normal 6 109 6 2 2 3 2" xfId="0"/>
    <cellStyle name="Normal 6 109 6 2 2 3 2 2" xfId="0"/>
    <cellStyle name="Normal 6 109 6 2 2 3 3" xfId="0"/>
    <cellStyle name="Normal 6 109 6 2 2 4" xfId="0"/>
    <cellStyle name="Normal 6 109 6 2 2 4 2" xfId="0"/>
    <cellStyle name="Normal 6 109 6 2 2 5" xfId="0"/>
    <cellStyle name="Normal 6 109 6 2 3" xfId="0"/>
    <cellStyle name="Normal 6 109 6 2 3 2" xfId="0"/>
    <cellStyle name="Normal 6 109 6 2 3 2 2" xfId="0"/>
    <cellStyle name="Normal 6 109 6 2 3 2 2 2" xfId="0"/>
    <cellStyle name="Normal 6 109 6 2 3 2 3" xfId="0"/>
    <cellStyle name="Normal 6 109 6 2 3 3" xfId="0"/>
    <cellStyle name="Normal 6 109 6 2 3 3 2" xfId="0"/>
    <cellStyle name="Normal 6 109 6 2 3 4" xfId="0"/>
    <cellStyle name="Normal 6 109 6 2 4" xfId="0"/>
    <cellStyle name="Normal 6 109 6 2 4 2" xfId="0"/>
    <cellStyle name="Normal 6 109 6 2 4 2 2" xfId="0"/>
    <cellStyle name="Normal 6 109 6 2 4 3" xfId="0"/>
    <cellStyle name="Normal 6 109 6 2 5" xfId="0"/>
    <cellStyle name="Normal 6 109 6 2 5 2" xfId="0"/>
    <cellStyle name="Normal 6 109 6 2 6" xfId="0"/>
    <cellStyle name="Normal 6 109 6 3" xfId="0"/>
    <cellStyle name="Normal 6 109 6 3 2" xfId="0"/>
    <cellStyle name="Normal 6 109 6 3 2 2" xfId="0"/>
    <cellStyle name="Normal 6 109 6 3 2 2 2" xfId="0"/>
    <cellStyle name="Normal 6 109 6 3 2 2 2 2" xfId="0"/>
    <cellStyle name="Normal 6 109 6 3 2 2 3" xfId="0"/>
    <cellStyle name="Normal 6 109 6 3 2 3" xfId="0"/>
    <cellStyle name="Normal 6 109 6 3 2 3 2" xfId="0"/>
    <cellStyle name="Normal 6 109 6 3 2 4" xfId="0"/>
    <cellStyle name="Normal 6 109 6 3 3" xfId="0"/>
    <cellStyle name="Normal 6 109 6 3 3 2" xfId="0"/>
    <cellStyle name="Normal 6 109 6 3 3 2 2" xfId="0"/>
    <cellStyle name="Normal 6 109 6 3 3 3" xfId="0"/>
    <cellStyle name="Normal 6 109 6 3 4" xfId="0"/>
    <cellStyle name="Normal 6 109 6 3 4 2" xfId="0"/>
    <cellStyle name="Normal 6 109 6 3 5" xfId="0"/>
    <cellStyle name="Normal 6 109 6 4" xfId="0"/>
    <cellStyle name="Normal 6 109 6 4 2" xfId="0"/>
    <cellStyle name="Normal 6 109 6 4 2 2" xfId="0"/>
    <cellStyle name="Normal 6 109 6 4 2 2 2" xfId="0"/>
    <cellStyle name="Normal 6 109 6 4 2 3" xfId="0"/>
    <cellStyle name="Normal 6 109 6 4 3" xfId="0"/>
    <cellStyle name="Normal 6 109 6 4 3 2" xfId="0"/>
    <cellStyle name="Normal 6 109 6 4 4" xfId="0"/>
    <cellStyle name="Normal 6 109 6 5" xfId="0"/>
    <cellStyle name="Normal 6 109 6 5 2" xfId="0"/>
    <cellStyle name="Normal 6 109 6 5 2 2" xfId="0"/>
    <cellStyle name="Normal 6 109 6 5 3" xfId="0"/>
    <cellStyle name="Normal 6 109 6 6" xfId="0"/>
    <cellStyle name="Normal 6 109 6 6 2" xfId="0"/>
    <cellStyle name="Normal 6 109 6 7" xfId="0"/>
    <cellStyle name="Normal 6 109 7" xfId="0"/>
    <cellStyle name="Normal 6 109 7 2" xfId="0"/>
    <cellStyle name="Normal 6 109 7 2 2" xfId="0"/>
    <cellStyle name="Normal 6 109 7 2 2 2" xfId="0"/>
    <cellStyle name="Normal 6 109 7 2 2 2 2" xfId="0"/>
    <cellStyle name="Normal 6 109 7 2 2 2 2 2" xfId="0"/>
    <cellStyle name="Normal 6 109 7 2 2 2 3" xfId="0"/>
    <cellStyle name="Normal 6 109 7 2 2 3" xfId="0"/>
    <cellStyle name="Normal 6 109 7 2 2 3 2" xfId="0"/>
    <cellStyle name="Normal 6 109 7 2 2 4" xfId="0"/>
    <cellStyle name="Normal 6 109 7 2 3" xfId="0"/>
    <cellStyle name="Normal 6 109 7 2 3 2" xfId="0"/>
    <cellStyle name="Normal 6 109 7 2 3 2 2" xfId="0"/>
    <cellStyle name="Normal 6 109 7 2 3 3" xfId="0"/>
    <cellStyle name="Normal 6 109 7 2 4" xfId="0"/>
    <cellStyle name="Normal 6 109 7 2 4 2" xfId="0"/>
    <cellStyle name="Normal 6 109 7 2 5" xfId="0"/>
    <cellStyle name="Normal 6 109 7 3" xfId="0"/>
    <cellStyle name="Normal 6 109 7 3 2" xfId="0"/>
    <cellStyle name="Normal 6 109 7 3 2 2" xfId="0"/>
    <cellStyle name="Normal 6 109 7 3 2 2 2" xfId="0"/>
    <cellStyle name="Normal 6 109 7 3 2 3" xfId="0"/>
    <cellStyle name="Normal 6 109 7 3 3" xfId="0"/>
    <cellStyle name="Normal 6 109 7 3 3 2" xfId="0"/>
    <cellStyle name="Normal 6 109 7 3 4" xfId="0"/>
    <cellStyle name="Normal 6 109 7 4" xfId="0"/>
    <cellStyle name="Normal 6 109 7 4 2" xfId="0"/>
    <cellStyle name="Normal 6 109 7 4 2 2" xfId="0"/>
    <cellStyle name="Normal 6 109 7 4 3" xfId="0"/>
    <cellStyle name="Normal 6 109 7 5" xfId="0"/>
    <cellStyle name="Normal 6 109 7 5 2" xfId="0"/>
    <cellStyle name="Normal 6 109 7 6" xfId="0"/>
    <cellStyle name="Normal 6 109 8" xfId="0"/>
    <cellStyle name="Normal 6 109 8 2" xfId="0"/>
    <cellStyle name="Normal 6 109 8 2 2" xfId="0"/>
    <cellStyle name="Normal 6 109 8 2 2 2" xfId="0"/>
    <cellStyle name="Normal 6 109 8 2 2 2 2" xfId="0"/>
    <cellStyle name="Normal 6 109 8 2 2 3" xfId="0"/>
    <cellStyle name="Normal 6 109 8 2 3" xfId="0"/>
    <cellStyle name="Normal 6 109 8 2 3 2" xfId="0"/>
    <cellStyle name="Normal 6 109 8 2 4" xfId="0"/>
    <cellStyle name="Normal 6 109 8 3" xfId="0"/>
    <cellStyle name="Normal 6 109 8 3 2" xfId="0"/>
    <cellStyle name="Normal 6 109 8 3 2 2" xfId="0"/>
    <cellStyle name="Normal 6 109 8 3 3" xfId="0"/>
    <cellStyle name="Normal 6 109 8 4" xfId="0"/>
    <cellStyle name="Normal 6 109 8 4 2" xfId="0"/>
    <cellStyle name="Normal 6 109 8 5" xfId="0"/>
    <cellStyle name="Normal 6 109 9" xfId="0"/>
    <cellStyle name="Normal 6 109 9 2" xfId="0"/>
    <cellStyle name="Normal 6 109 9 2 2" xfId="0"/>
    <cellStyle name="Normal 6 109 9 2 2 2" xfId="0"/>
    <cellStyle name="Normal 6 109 9 2 3" xfId="0"/>
    <cellStyle name="Normal 6 109 9 3" xfId="0"/>
    <cellStyle name="Normal 6 109 9 3 2" xfId="0"/>
    <cellStyle name="Normal 6 109 9 4" xfId="0"/>
    <cellStyle name="Normal 6 11" xfId="0"/>
    <cellStyle name="Normal 6 110" xfId="0"/>
    <cellStyle name="Normal 6 110 10" xfId="0"/>
    <cellStyle name="Normal 6 110 10 2" xfId="0"/>
    <cellStyle name="Normal 6 110 11" xfId="0"/>
    <cellStyle name="Normal 6 110 2" xfId="0"/>
    <cellStyle name="Normal 6 110 2 2" xfId="0"/>
    <cellStyle name="Normal 6 110 2 2 2" xfId="0"/>
    <cellStyle name="Normal 6 110 2 2 2 2" xfId="0"/>
    <cellStyle name="Normal 6 110 2 2 2 2 2" xfId="0"/>
    <cellStyle name="Normal 6 110 2 2 2 2 2 2" xfId="0"/>
    <cellStyle name="Normal 6 110 2 2 2 2 2 2 2" xfId="0"/>
    <cellStyle name="Normal 6 110 2 2 2 2 2 2 2 2" xfId="0"/>
    <cellStyle name="Normal 6 110 2 2 2 2 2 2 3" xfId="0"/>
    <cellStyle name="Normal 6 110 2 2 2 2 2 3" xfId="0"/>
    <cellStyle name="Normal 6 110 2 2 2 2 2 3 2" xfId="0"/>
    <cellStyle name="Normal 6 110 2 2 2 2 2 4" xfId="0"/>
    <cellStyle name="Normal 6 110 2 2 2 2 3" xfId="0"/>
    <cellStyle name="Normal 6 110 2 2 2 2 3 2" xfId="0"/>
    <cellStyle name="Normal 6 110 2 2 2 2 3 2 2" xfId="0"/>
    <cellStyle name="Normal 6 110 2 2 2 2 3 3" xfId="0"/>
    <cellStyle name="Normal 6 110 2 2 2 2 4" xfId="0"/>
    <cellStyle name="Normal 6 110 2 2 2 2 4 2" xfId="0"/>
    <cellStyle name="Normal 6 110 2 2 2 2 5" xfId="0"/>
    <cellStyle name="Normal 6 110 2 2 2 3" xfId="0"/>
    <cellStyle name="Normal 6 110 2 2 2 3 2" xfId="0"/>
    <cellStyle name="Normal 6 110 2 2 2 3 2 2" xfId="0"/>
    <cellStyle name="Normal 6 110 2 2 2 3 2 2 2" xfId="0"/>
    <cellStyle name="Normal 6 110 2 2 2 3 2 3" xfId="0"/>
    <cellStyle name="Normal 6 110 2 2 2 3 3" xfId="0"/>
    <cellStyle name="Normal 6 110 2 2 2 3 3 2" xfId="0"/>
    <cellStyle name="Normal 6 110 2 2 2 3 4" xfId="0"/>
    <cellStyle name="Normal 6 110 2 2 2 4" xfId="0"/>
    <cellStyle name="Normal 6 110 2 2 2 4 2" xfId="0"/>
    <cellStyle name="Normal 6 110 2 2 2 4 2 2" xfId="0"/>
    <cellStyle name="Normal 6 110 2 2 2 4 3" xfId="0"/>
    <cellStyle name="Normal 6 110 2 2 2 5" xfId="0"/>
    <cellStyle name="Normal 6 110 2 2 2 5 2" xfId="0"/>
    <cellStyle name="Normal 6 110 2 2 2 6" xfId="0"/>
    <cellStyle name="Normal 6 110 2 2 3" xfId="0"/>
    <cellStyle name="Normal 6 110 2 2 3 2" xfId="0"/>
    <cellStyle name="Normal 6 110 2 2 3 2 2" xfId="0"/>
    <cellStyle name="Normal 6 110 2 2 3 2 2 2" xfId="0"/>
    <cellStyle name="Normal 6 110 2 2 3 2 2 2 2" xfId="0"/>
    <cellStyle name="Normal 6 110 2 2 3 2 2 3" xfId="0"/>
    <cellStyle name="Normal 6 110 2 2 3 2 3" xfId="0"/>
    <cellStyle name="Normal 6 110 2 2 3 2 3 2" xfId="0"/>
    <cellStyle name="Normal 6 110 2 2 3 2 4" xfId="0"/>
    <cellStyle name="Normal 6 110 2 2 3 3" xfId="0"/>
    <cellStyle name="Normal 6 110 2 2 3 3 2" xfId="0"/>
    <cellStyle name="Normal 6 110 2 2 3 3 2 2" xfId="0"/>
    <cellStyle name="Normal 6 110 2 2 3 3 3" xfId="0"/>
    <cellStyle name="Normal 6 110 2 2 3 4" xfId="0"/>
    <cellStyle name="Normal 6 110 2 2 3 4 2" xfId="0"/>
    <cellStyle name="Normal 6 110 2 2 3 5" xfId="0"/>
    <cellStyle name="Normal 6 110 2 2 4" xfId="0"/>
    <cellStyle name="Normal 6 110 2 2 4 2" xfId="0"/>
    <cellStyle name="Normal 6 110 2 2 4 2 2" xfId="0"/>
    <cellStyle name="Normal 6 110 2 2 4 2 2 2" xfId="0"/>
    <cellStyle name="Normal 6 110 2 2 4 2 3" xfId="0"/>
    <cellStyle name="Normal 6 110 2 2 4 3" xfId="0"/>
    <cellStyle name="Normal 6 110 2 2 4 3 2" xfId="0"/>
    <cellStyle name="Normal 6 110 2 2 4 4" xfId="0"/>
    <cellStyle name="Normal 6 110 2 2 5" xfId="0"/>
    <cellStyle name="Normal 6 110 2 2 5 2" xfId="0"/>
    <cellStyle name="Normal 6 110 2 2 5 2 2" xfId="0"/>
    <cellStyle name="Normal 6 110 2 2 5 3" xfId="0"/>
    <cellStyle name="Normal 6 110 2 2 6" xfId="0"/>
    <cellStyle name="Normal 6 110 2 2 6 2" xfId="0"/>
    <cellStyle name="Normal 6 110 2 2 7" xfId="0"/>
    <cellStyle name="Normal 6 110 2 3" xfId="0"/>
    <cellStyle name="Normal 6 110 2 3 2" xfId="0"/>
    <cellStyle name="Normal 6 110 2 3 2 2" xfId="0"/>
    <cellStyle name="Normal 6 110 2 3 2 2 2" xfId="0"/>
    <cellStyle name="Normal 6 110 2 3 2 2 2 2" xfId="0"/>
    <cellStyle name="Normal 6 110 2 3 2 2 2 2 2" xfId="0"/>
    <cellStyle name="Normal 6 110 2 3 2 2 2 3" xfId="0"/>
    <cellStyle name="Normal 6 110 2 3 2 2 3" xfId="0"/>
    <cellStyle name="Normal 6 110 2 3 2 2 3 2" xfId="0"/>
    <cellStyle name="Normal 6 110 2 3 2 2 4" xfId="0"/>
    <cellStyle name="Normal 6 110 2 3 2 3" xfId="0"/>
    <cellStyle name="Normal 6 110 2 3 2 3 2" xfId="0"/>
    <cellStyle name="Normal 6 110 2 3 2 3 2 2" xfId="0"/>
    <cellStyle name="Normal 6 110 2 3 2 3 3" xfId="0"/>
    <cellStyle name="Normal 6 110 2 3 2 4" xfId="0"/>
    <cellStyle name="Normal 6 110 2 3 2 4 2" xfId="0"/>
    <cellStyle name="Normal 6 110 2 3 2 5" xfId="0"/>
    <cellStyle name="Normal 6 110 2 3 3" xfId="0"/>
    <cellStyle name="Normal 6 110 2 3 3 2" xfId="0"/>
    <cellStyle name="Normal 6 110 2 3 3 2 2" xfId="0"/>
    <cellStyle name="Normal 6 110 2 3 3 2 2 2" xfId="0"/>
    <cellStyle name="Normal 6 110 2 3 3 2 3" xfId="0"/>
    <cellStyle name="Normal 6 110 2 3 3 3" xfId="0"/>
    <cellStyle name="Normal 6 110 2 3 3 3 2" xfId="0"/>
    <cellStyle name="Normal 6 110 2 3 3 4" xfId="0"/>
    <cellStyle name="Normal 6 110 2 3 4" xfId="0"/>
    <cellStyle name="Normal 6 110 2 3 4 2" xfId="0"/>
    <cellStyle name="Normal 6 110 2 3 4 2 2" xfId="0"/>
    <cellStyle name="Normal 6 110 2 3 4 3" xfId="0"/>
    <cellStyle name="Normal 6 110 2 3 5" xfId="0"/>
    <cellStyle name="Normal 6 110 2 3 5 2" xfId="0"/>
    <cellStyle name="Normal 6 110 2 3 6" xfId="0"/>
    <cellStyle name="Normal 6 110 2 4" xfId="0"/>
    <cellStyle name="Normal 6 110 2 4 2" xfId="0"/>
    <cellStyle name="Normal 6 110 2 4 2 2" xfId="0"/>
    <cellStyle name="Normal 6 110 2 4 2 2 2" xfId="0"/>
    <cellStyle name="Normal 6 110 2 4 2 2 2 2" xfId="0"/>
    <cellStyle name="Normal 6 110 2 4 2 2 3" xfId="0"/>
    <cellStyle name="Normal 6 110 2 4 2 3" xfId="0"/>
    <cellStyle name="Normal 6 110 2 4 2 3 2" xfId="0"/>
    <cellStyle name="Normal 6 110 2 4 2 4" xfId="0"/>
    <cellStyle name="Normal 6 110 2 4 3" xfId="0"/>
    <cellStyle name="Normal 6 110 2 4 3 2" xfId="0"/>
    <cellStyle name="Normal 6 110 2 4 3 2 2" xfId="0"/>
    <cellStyle name="Normal 6 110 2 4 3 3" xfId="0"/>
    <cellStyle name="Normal 6 110 2 4 4" xfId="0"/>
    <cellStyle name="Normal 6 110 2 4 4 2" xfId="0"/>
    <cellStyle name="Normal 6 110 2 4 5" xfId="0"/>
    <cellStyle name="Normal 6 110 2 5" xfId="0"/>
    <cellStyle name="Normal 6 110 2 5 2" xfId="0"/>
    <cellStyle name="Normal 6 110 2 5 2 2" xfId="0"/>
    <cellStyle name="Normal 6 110 2 5 2 2 2" xfId="0"/>
    <cellStyle name="Normal 6 110 2 5 2 3" xfId="0"/>
    <cellStyle name="Normal 6 110 2 5 3" xfId="0"/>
    <cellStyle name="Normal 6 110 2 5 3 2" xfId="0"/>
    <cellStyle name="Normal 6 110 2 5 4" xfId="0"/>
    <cellStyle name="Normal 6 110 2 6" xfId="0"/>
    <cellStyle name="Normal 6 110 2 6 2" xfId="0"/>
    <cellStyle name="Normal 6 110 2 6 2 2" xfId="0"/>
    <cellStyle name="Normal 6 110 2 6 3" xfId="0"/>
    <cellStyle name="Normal 6 110 2 7" xfId="0"/>
    <cellStyle name="Normal 6 110 2 7 2" xfId="0"/>
    <cellStyle name="Normal 6 110 2 8" xfId="0"/>
    <cellStyle name="Normal 6 110 3" xfId="0"/>
    <cellStyle name="Normal 6 110 3 2" xfId="0"/>
    <cellStyle name="Normal 6 110 3 2 2" xfId="0"/>
    <cellStyle name="Normal 6 110 3 2 2 2" xfId="0"/>
    <cellStyle name="Normal 6 110 3 2 2 2 2" xfId="0"/>
    <cellStyle name="Normal 6 110 3 2 2 2 2 2" xfId="0"/>
    <cellStyle name="Normal 6 110 3 2 2 2 2 2 2" xfId="0"/>
    <cellStyle name="Normal 6 110 3 2 2 2 2 2 2 2" xfId="0"/>
    <cellStyle name="Normal 6 110 3 2 2 2 2 2 3" xfId="0"/>
    <cellStyle name="Normal 6 110 3 2 2 2 2 3" xfId="0"/>
    <cellStyle name="Normal 6 110 3 2 2 2 2 3 2" xfId="0"/>
    <cellStyle name="Normal 6 110 3 2 2 2 2 4" xfId="0"/>
    <cellStyle name="Normal 6 110 3 2 2 2 3" xfId="0"/>
    <cellStyle name="Normal 6 110 3 2 2 2 3 2" xfId="0"/>
    <cellStyle name="Normal 6 110 3 2 2 2 3 2 2" xfId="0"/>
    <cellStyle name="Normal 6 110 3 2 2 2 3 3" xfId="0"/>
    <cellStyle name="Normal 6 110 3 2 2 2 4" xfId="0"/>
    <cellStyle name="Normal 6 110 3 2 2 2 4 2" xfId="0"/>
    <cellStyle name="Normal 6 110 3 2 2 2 5" xfId="0"/>
    <cellStyle name="Normal 6 110 3 2 2 3" xfId="0"/>
    <cellStyle name="Normal 6 110 3 2 2 3 2" xfId="0"/>
    <cellStyle name="Normal 6 110 3 2 2 3 2 2" xfId="0"/>
    <cellStyle name="Normal 6 110 3 2 2 3 2 2 2" xfId="0"/>
    <cellStyle name="Normal 6 110 3 2 2 3 2 3" xfId="0"/>
    <cellStyle name="Normal 6 110 3 2 2 3 3" xfId="0"/>
    <cellStyle name="Normal 6 110 3 2 2 3 3 2" xfId="0"/>
    <cellStyle name="Normal 6 110 3 2 2 3 4" xfId="0"/>
    <cellStyle name="Normal 6 110 3 2 2 4" xfId="0"/>
    <cellStyle name="Normal 6 110 3 2 2 4 2" xfId="0"/>
    <cellStyle name="Normal 6 110 3 2 2 4 2 2" xfId="0"/>
    <cellStyle name="Normal 6 110 3 2 2 4 3" xfId="0"/>
    <cellStyle name="Normal 6 110 3 2 2 5" xfId="0"/>
    <cellStyle name="Normal 6 110 3 2 2 5 2" xfId="0"/>
    <cellStyle name="Normal 6 110 3 2 2 6" xfId="0"/>
    <cellStyle name="Normal 6 110 3 2 3" xfId="0"/>
    <cellStyle name="Normal 6 110 3 2 3 2" xfId="0"/>
    <cellStyle name="Normal 6 110 3 2 3 2 2" xfId="0"/>
    <cellStyle name="Normal 6 110 3 2 3 2 2 2" xfId="0"/>
    <cellStyle name="Normal 6 110 3 2 3 2 2 2 2" xfId="0"/>
    <cellStyle name="Normal 6 110 3 2 3 2 2 3" xfId="0"/>
    <cellStyle name="Normal 6 110 3 2 3 2 3" xfId="0"/>
    <cellStyle name="Normal 6 110 3 2 3 2 3 2" xfId="0"/>
    <cellStyle name="Normal 6 110 3 2 3 2 4" xfId="0"/>
    <cellStyle name="Normal 6 110 3 2 3 3" xfId="0"/>
    <cellStyle name="Normal 6 110 3 2 3 3 2" xfId="0"/>
    <cellStyle name="Normal 6 110 3 2 3 3 2 2" xfId="0"/>
    <cellStyle name="Normal 6 110 3 2 3 3 3" xfId="0"/>
    <cellStyle name="Normal 6 110 3 2 3 4" xfId="0"/>
    <cellStyle name="Normal 6 110 3 2 3 4 2" xfId="0"/>
    <cellStyle name="Normal 6 110 3 2 3 5" xfId="0"/>
    <cellStyle name="Normal 6 110 3 2 4" xfId="0"/>
    <cellStyle name="Normal 6 110 3 2 4 2" xfId="0"/>
    <cellStyle name="Normal 6 110 3 2 4 2 2" xfId="0"/>
    <cellStyle name="Normal 6 110 3 2 4 2 2 2" xfId="0"/>
    <cellStyle name="Normal 6 110 3 2 4 2 3" xfId="0"/>
    <cellStyle name="Normal 6 110 3 2 4 3" xfId="0"/>
    <cellStyle name="Normal 6 110 3 2 4 3 2" xfId="0"/>
    <cellStyle name="Normal 6 110 3 2 4 4" xfId="0"/>
    <cellStyle name="Normal 6 110 3 2 5" xfId="0"/>
    <cellStyle name="Normal 6 110 3 2 5 2" xfId="0"/>
    <cellStyle name="Normal 6 110 3 2 5 2 2" xfId="0"/>
    <cellStyle name="Normal 6 110 3 2 5 3" xfId="0"/>
    <cellStyle name="Normal 6 110 3 2 6" xfId="0"/>
    <cellStyle name="Normal 6 110 3 2 6 2" xfId="0"/>
    <cellStyle name="Normal 6 110 3 2 7" xfId="0"/>
    <cellStyle name="Normal 6 110 3 3" xfId="0"/>
    <cellStyle name="Normal 6 110 3 3 2" xfId="0"/>
    <cellStyle name="Normal 6 110 3 3 2 2" xfId="0"/>
    <cellStyle name="Normal 6 110 3 3 2 2 2" xfId="0"/>
    <cellStyle name="Normal 6 110 3 3 2 2 2 2" xfId="0"/>
    <cellStyle name="Normal 6 110 3 3 2 2 2 2 2" xfId="0"/>
    <cellStyle name="Normal 6 110 3 3 2 2 2 3" xfId="0"/>
    <cellStyle name="Normal 6 110 3 3 2 2 3" xfId="0"/>
    <cellStyle name="Normal 6 110 3 3 2 2 3 2" xfId="0"/>
    <cellStyle name="Normal 6 110 3 3 2 2 4" xfId="0"/>
    <cellStyle name="Normal 6 110 3 3 2 3" xfId="0"/>
    <cellStyle name="Normal 6 110 3 3 2 3 2" xfId="0"/>
    <cellStyle name="Normal 6 110 3 3 2 3 2 2" xfId="0"/>
    <cellStyle name="Normal 6 110 3 3 2 3 3" xfId="0"/>
    <cellStyle name="Normal 6 110 3 3 2 4" xfId="0"/>
    <cellStyle name="Normal 6 110 3 3 2 4 2" xfId="0"/>
    <cellStyle name="Normal 6 110 3 3 2 5" xfId="0"/>
    <cellStyle name="Normal 6 110 3 3 3" xfId="0"/>
    <cellStyle name="Normal 6 110 3 3 3 2" xfId="0"/>
    <cellStyle name="Normal 6 110 3 3 3 2 2" xfId="0"/>
    <cellStyle name="Normal 6 110 3 3 3 2 2 2" xfId="0"/>
    <cellStyle name="Normal 6 110 3 3 3 2 3" xfId="0"/>
    <cellStyle name="Normal 6 110 3 3 3 3" xfId="0"/>
    <cellStyle name="Normal 6 110 3 3 3 3 2" xfId="0"/>
    <cellStyle name="Normal 6 110 3 3 3 4" xfId="0"/>
    <cellStyle name="Normal 6 110 3 3 4" xfId="0"/>
    <cellStyle name="Normal 6 110 3 3 4 2" xfId="0"/>
    <cellStyle name="Normal 6 110 3 3 4 2 2" xfId="0"/>
    <cellStyle name="Normal 6 110 3 3 4 3" xfId="0"/>
    <cellStyle name="Normal 6 110 3 3 5" xfId="0"/>
    <cellStyle name="Normal 6 110 3 3 5 2" xfId="0"/>
    <cellStyle name="Normal 6 110 3 3 6" xfId="0"/>
    <cellStyle name="Normal 6 110 3 4" xfId="0"/>
    <cellStyle name="Normal 6 110 3 4 2" xfId="0"/>
    <cellStyle name="Normal 6 110 3 4 2 2" xfId="0"/>
    <cellStyle name="Normal 6 110 3 4 2 2 2" xfId="0"/>
    <cellStyle name="Normal 6 110 3 4 2 2 2 2" xfId="0"/>
    <cellStyle name="Normal 6 110 3 4 2 2 3" xfId="0"/>
    <cellStyle name="Normal 6 110 3 4 2 3" xfId="0"/>
    <cellStyle name="Normal 6 110 3 4 2 3 2" xfId="0"/>
    <cellStyle name="Normal 6 110 3 4 2 4" xfId="0"/>
    <cellStyle name="Normal 6 110 3 4 3" xfId="0"/>
    <cellStyle name="Normal 6 110 3 4 3 2" xfId="0"/>
    <cellStyle name="Normal 6 110 3 4 3 2 2" xfId="0"/>
    <cellStyle name="Normal 6 110 3 4 3 3" xfId="0"/>
    <cellStyle name="Normal 6 110 3 4 4" xfId="0"/>
    <cellStyle name="Normal 6 110 3 4 4 2" xfId="0"/>
    <cellStyle name="Normal 6 110 3 4 5" xfId="0"/>
    <cellStyle name="Normal 6 110 3 5" xfId="0"/>
    <cellStyle name="Normal 6 110 3 5 2" xfId="0"/>
    <cellStyle name="Normal 6 110 3 5 2 2" xfId="0"/>
    <cellStyle name="Normal 6 110 3 5 2 2 2" xfId="0"/>
    <cellStyle name="Normal 6 110 3 5 2 3" xfId="0"/>
    <cellStyle name="Normal 6 110 3 5 3" xfId="0"/>
    <cellStyle name="Normal 6 110 3 5 3 2" xfId="0"/>
    <cellStyle name="Normal 6 110 3 5 4" xfId="0"/>
    <cellStyle name="Normal 6 110 3 6" xfId="0"/>
    <cellStyle name="Normal 6 110 3 6 2" xfId="0"/>
    <cellStyle name="Normal 6 110 3 6 2 2" xfId="0"/>
    <cellStyle name="Normal 6 110 3 6 3" xfId="0"/>
    <cellStyle name="Normal 6 110 3 7" xfId="0"/>
    <cellStyle name="Normal 6 110 3 7 2" xfId="0"/>
    <cellStyle name="Normal 6 110 3 8" xfId="0"/>
    <cellStyle name="Normal 6 110 4" xfId="0"/>
    <cellStyle name="Normal 6 110 4 2" xfId="0"/>
    <cellStyle name="Normal 6 110 4 2 2" xfId="0"/>
    <cellStyle name="Normal 6 110 4 2 2 2" xfId="0"/>
    <cellStyle name="Normal 6 110 4 2 2 2 2" xfId="0"/>
    <cellStyle name="Normal 6 110 4 2 2 2 2 2" xfId="0"/>
    <cellStyle name="Normal 6 110 4 2 2 2 2 2 2" xfId="0"/>
    <cellStyle name="Normal 6 110 4 2 2 2 2 3" xfId="0"/>
    <cellStyle name="Normal 6 110 4 2 2 2 3" xfId="0"/>
    <cellStyle name="Normal 6 110 4 2 2 2 3 2" xfId="0"/>
    <cellStyle name="Normal 6 110 4 2 2 2 4" xfId="0"/>
    <cellStyle name="Normal 6 110 4 2 2 3" xfId="0"/>
    <cellStyle name="Normal 6 110 4 2 2 3 2" xfId="0"/>
    <cellStyle name="Normal 6 110 4 2 2 3 2 2" xfId="0"/>
    <cellStyle name="Normal 6 110 4 2 2 3 3" xfId="0"/>
    <cellStyle name="Normal 6 110 4 2 2 4" xfId="0"/>
    <cellStyle name="Normal 6 110 4 2 2 4 2" xfId="0"/>
    <cellStyle name="Normal 6 110 4 2 2 5" xfId="0"/>
    <cellStyle name="Normal 6 110 4 2 3" xfId="0"/>
    <cellStyle name="Normal 6 110 4 2 3 2" xfId="0"/>
    <cellStyle name="Normal 6 110 4 2 3 2 2" xfId="0"/>
    <cellStyle name="Normal 6 110 4 2 3 2 2 2" xfId="0"/>
    <cellStyle name="Normal 6 110 4 2 3 2 3" xfId="0"/>
    <cellStyle name="Normal 6 110 4 2 3 3" xfId="0"/>
    <cellStyle name="Normal 6 110 4 2 3 3 2" xfId="0"/>
    <cellStyle name="Normal 6 110 4 2 3 4" xfId="0"/>
    <cellStyle name="Normal 6 110 4 2 4" xfId="0"/>
    <cellStyle name="Normal 6 110 4 2 4 2" xfId="0"/>
    <cellStyle name="Normal 6 110 4 2 4 2 2" xfId="0"/>
    <cellStyle name="Normal 6 110 4 2 4 3" xfId="0"/>
    <cellStyle name="Normal 6 110 4 2 5" xfId="0"/>
    <cellStyle name="Normal 6 110 4 2 5 2" xfId="0"/>
    <cellStyle name="Normal 6 110 4 2 6" xfId="0"/>
    <cellStyle name="Normal 6 110 4 3" xfId="0"/>
    <cellStyle name="Normal 6 110 4 3 2" xfId="0"/>
    <cellStyle name="Normal 6 110 4 3 2 2" xfId="0"/>
    <cellStyle name="Normal 6 110 4 3 2 2 2" xfId="0"/>
    <cellStyle name="Normal 6 110 4 3 2 2 2 2" xfId="0"/>
    <cellStyle name="Normal 6 110 4 3 2 2 3" xfId="0"/>
    <cellStyle name="Normal 6 110 4 3 2 3" xfId="0"/>
    <cellStyle name="Normal 6 110 4 3 2 3 2" xfId="0"/>
    <cellStyle name="Normal 6 110 4 3 2 4" xfId="0"/>
    <cellStyle name="Normal 6 110 4 3 3" xfId="0"/>
    <cellStyle name="Normal 6 110 4 3 3 2" xfId="0"/>
    <cellStyle name="Normal 6 110 4 3 3 2 2" xfId="0"/>
    <cellStyle name="Normal 6 110 4 3 3 3" xfId="0"/>
    <cellStyle name="Normal 6 110 4 3 4" xfId="0"/>
    <cellStyle name="Normal 6 110 4 3 4 2" xfId="0"/>
    <cellStyle name="Normal 6 110 4 3 5" xfId="0"/>
    <cellStyle name="Normal 6 110 4 4" xfId="0"/>
    <cellStyle name="Normal 6 110 4 4 2" xfId="0"/>
    <cellStyle name="Normal 6 110 4 4 2 2" xfId="0"/>
    <cellStyle name="Normal 6 110 4 4 2 2 2" xfId="0"/>
    <cellStyle name="Normal 6 110 4 4 2 3" xfId="0"/>
    <cellStyle name="Normal 6 110 4 4 3" xfId="0"/>
    <cellStyle name="Normal 6 110 4 4 3 2" xfId="0"/>
    <cellStyle name="Normal 6 110 4 4 4" xfId="0"/>
    <cellStyle name="Normal 6 110 4 5" xfId="0"/>
    <cellStyle name="Normal 6 110 4 5 2" xfId="0"/>
    <cellStyle name="Normal 6 110 4 5 2 2" xfId="0"/>
    <cellStyle name="Normal 6 110 4 5 3" xfId="0"/>
    <cellStyle name="Normal 6 110 4 6" xfId="0"/>
    <cellStyle name="Normal 6 110 4 6 2" xfId="0"/>
    <cellStyle name="Normal 6 110 4 7" xfId="0"/>
    <cellStyle name="Normal 6 110 5" xfId="0"/>
    <cellStyle name="Normal 6 110 5 2" xfId="0"/>
    <cellStyle name="Normal 6 110 5 2 2" xfId="0"/>
    <cellStyle name="Normal 6 110 5 2 2 2" xfId="0"/>
    <cellStyle name="Normal 6 110 5 2 2 2 2" xfId="0"/>
    <cellStyle name="Normal 6 110 5 2 2 2 2 2" xfId="0"/>
    <cellStyle name="Normal 6 110 5 2 2 2 2 2 2" xfId="0"/>
    <cellStyle name="Normal 6 110 5 2 2 2 2 3" xfId="0"/>
    <cellStyle name="Normal 6 110 5 2 2 2 3" xfId="0"/>
    <cellStyle name="Normal 6 110 5 2 2 2 3 2" xfId="0"/>
    <cellStyle name="Normal 6 110 5 2 2 2 4" xfId="0"/>
    <cellStyle name="Normal 6 110 5 2 2 3" xfId="0"/>
    <cellStyle name="Normal 6 110 5 2 2 3 2" xfId="0"/>
    <cellStyle name="Normal 6 110 5 2 2 3 2 2" xfId="0"/>
    <cellStyle name="Normal 6 110 5 2 2 3 3" xfId="0"/>
    <cellStyle name="Normal 6 110 5 2 2 4" xfId="0"/>
    <cellStyle name="Normal 6 110 5 2 2 4 2" xfId="0"/>
    <cellStyle name="Normal 6 110 5 2 2 5" xfId="0"/>
    <cellStyle name="Normal 6 110 5 2 3" xfId="0"/>
    <cellStyle name="Normal 6 110 5 2 3 2" xfId="0"/>
    <cellStyle name="Normal 6 110 5 2 3 2 2" xfId="0"/>
    <cellStyle name="Normal 6 110 5 2 3 2 2 2" xfId="0"/>
    <cellStyle name="Normal 6 110 5 2 3 2 3" xfId="0"/>
    <cellStyle name="Normal 6 110 5 2 3 3" xfId="0"/>
    <cellStyle name="Normal 6 110 5 2 3 3 2" xfId="0"/>
    <cellStyle name="Normal 6 110 5 2 3 4" xfId="0"/>
    <cellStyle name="Normal 6 110 5 2 4" xfId="0"/>
    <cellStyle name="Normal 6 110 5 2 4 2" xfId="0"/>
    <cellStyle name="Normal 6 110 5 2 4 2 2" xfId="0"/>
    <cellStyle name="Normal 6 110 5 2 4 3" xfId="0"/>
    <cellStyle name="Normal 6 110 5 2 5" xfId="0"/>
    <cellStyle name="Normal 6 110 5 2 5 2" xfId="0"/>
    <cellStyle name="Normal 6 110 5 2 6" xfId="0"/>
    <cellStyle name="Normal 6 110 5 3" xfId="0"/>
    <cellStyle name="Normal 6 110 5 3 2" xfId="0"/>
    <cellStyle name="Normal 6 110 5 3 2 2" xfId="0"/>
    <cellStyle name="Normal 6 110 5 3 2 2 2" xfId="0"/>
    <cellStyle name="Normal 6 110 5 3 2 2 2 2" xfId="0"/>
    <cellStyle name="Normal 6 110 5 3 2 2 3" xfId="0"/>
    <cellStyle name="Normal 6 110 5 3 2 3" xfId="0"/>
    <cellStyle name="Normal 6 110 5 3 2 3 2" xfId="0"/>
    <cellStyle name="Normal 6 110 5 3 2 4" xfId="0"/>
    <cellStyle name="Normal 6 110 5 3 3" xfId="0"/>
    <cellStyle name="Normal 6 110 5 3 3 2" xfId="0"/>
    <cellStyle name="Normal 6 110 5 3 3 2 2" xfId="0"/>
    <cellStyle name="Normal 6 110 5 3 3 3" xfId="0"/>
    <cellStyle name="Normal 6 110 5 3 4" xfId="0"/>
    <cellStyle name="Normal 6 110 5 3 4 2" xfId="0"/>
    <cellStyle name="Normal 6 110 5 3 5" xfId="0"/>
    <cellStyle name="Normal 6 110 5 4" xfId="0"/>
    <cellStyle name="Normal 6 110 5 4 2" xfId="0"/>
    <cellStyle name="Normal 6 110 5 4 2 2" xfId="0"/>
    <cellStyle name="Normal 6 110 5 4 2 2 2" xfId="0"/>
    <cellStyle name="Normal 6 110 5 4 2 3" xfId="0"/>
    <cellStyle name="Normal 6 110 5 4 3" xfId="0"/>
    <cellStyle name="Normal 6 110 5 4 3 2" xfId="0"/>
    <cellStyle name="Normal 6 110 5 4 4" xfId="0"/>
    <cellStyle name="Normal 6 110 5 5" xfId="0"/>
    <cellStyle name="Normal 6 110 5 5 2" xfId="0"/>
    <cellStyle name="Normal 6 110 5 5 2 2" xfId="0"/>
    <cellStyle name="Normal 6 110 5 5 3" xfId="0"/>
    <cellStyle name="Normal 6 110 5 6" xfId="0"/>
    <cellStyle name="Normal 6 110 5 6 2" xfId="0"/>
    <cellStyle name="Normal 6 110 5 7" xfId="0"/>
    <cellStyle name="Normal 6 110 6" xfId="0"/>
    <cellStyle name="Normal 6 110 6 2" xfId="0"/>
    <cellStyle name="Normal 6 110 6 2 2" xfId="0"/>
    <cellStyle name="Normal 6 110 6 2 2 2" xfId="0"/>
    <cellStyle name="Normal 6 110 6 2 2 2 2" xfId="0"/>
    <cellStyle name="Normal 6 110 6 2 2 2 2 2" xfId="0"/>
    <cellStyle name="Normal 6 110 6 2 2 2 3" xfId="0"/>
    <cellStyle name="Normal 6 110 6 2 2 3" xfId="0"/>
    <cellStyle name="Normal 6 110 6 2 2 3 2" xfId="0"/>
    <cellStyle name="Normal 6 110 6 2 2 4" xfId="0"/>
    <cellStyle name="Normal 6 110 6 2 3" xfId="0"/>
    <cellStyle name="Normal 6 110 6 2 3 2" xfId="0"/>
    <cellStyle name="Normal 6 110 6 2 3 2 2" xfId="0"/>
    <cellStyle name="Normal 6 110 6 2 3 3" xfId="0"/>
    <cellStyle name="Normal 6 110 6 2 4" xfId="0"/>
    <cellStyle name="Normal 6 110 6 2 4 2" xfId="0"/>
    <cellStyle name="Normal 6 110 6 2 5" xfId="0"/>
    <cellStyle name="Normal 6 110 6 3" xfId="0"/>
    <cellStyle name="Normal 6 110 6 3 2" xfId="0"/>
    <cellStyle name="Normal 6 110 6 3 2 2" xfId="0"/>
    <cellStyle name="Normal 6 110 6 3 2 2 2" xfId="0"/>
    <cellStyle name="Normal 6 110 6 3 2 3" xfId="0"/>
    <cellStyle name="Normal 6 110 6 3 3" xfId="0"/>
    <cellStyle name="Normal 6 110 6 3 3 2" xfId="0"/>
    <cellStyle name="Normal 6 110 6 3 4" xfId="0"/>
    <cellStyle name="Normal 6 110 6 4" xfId="0"/>
    <cellStyle name="Normal 6 110 6 4 2" xfId="0"/>
    <cellStyle name="Normal 6 110 6 4 2 2" xfId="0"/>
    <cellStyle name="Normal 6 110 6 4 3" xfId="0"/>
    <cellStyle name="Normal 6 110 6 5" xfId="0"/>
    <cellStyle name="Normal 6 110 6 5 2" xfId="0"/>
    <cellStyle name="Normal 6 110 6 6" xfId="0"/>
    <cellStyle name="Normal 6 110 7" xfId="0"/>
    <cellStyle name="Normal 6 110 7 2" xfId="0"/>
    <cellStyle name="Normal 6 110 7 2 2" xfId="0"/>
    <cellStyle name="Normal 6 110 7 2 2 2" xfId="0"/>
    <cellStyle name="Normal 6 110 7 2 2 2 2" xfId="0"/>
    <cellStyle name="Normal 6 110 7 2 2 3" xfId="0"/>
    <cellStyle name="Normal 6 110 7 2 3" xfId="0"/>
    <cellStyle name="Normal 6 110 7 2 3 2" xfId="0"/>
    <cellStyle name="Normal 6 110 7 2 4" xfId="0"/>
    <cellStyle name="Normal 6 110 7 3" xfId="0"/>
    <cellStyle name="Normal 6 110 7 3 2" xfId="0"/>
    <cellStyle name="Normal 6 110 7 3 2 2" xfId="0"/>
    <cellStyle name="Normal 6 110 7 3 3" xfId="0"/>
    <cellStyle name="Normal 6 110 7 4" xfId="0"/>
    <cellStyle name="Normal 6 110 7 4 2" xfId="0"/>
    <cellStyle name="Normal 6 110 7 5" xfId="0"/>
    <cellStyle name="Normal 6 110 8" xfId="0"/>
    <cellStyle name="Normal 6 110 8 2" xfId="0"/>
    <cellStyle name="Normal 6 110 8 2 2" xfId="0"/>
    <cellStyle name="Normal 6 110 8 2 2 2" xfId="0"/>
    <cellStyle name="Normal 6 110 8 2 3" xfId="0"/>
    <cellStyle name="Normal 6 110 8 3" xfId="0"/>
    <cellStyle name="Normal 6 110 8 3 2" xfId="0"/>
    <cellStyle name="Normal 6 110 8 4" xfId="0"/>
    <cellStyle name="Normal 6 110 9" xfId="0"/>
    <cellStyle name="Normal 6 110 9 2" xfId="0"/>
    <cellStyle name="Normal 6 110 9 2 2" xfId="0"/>
    <cellStyle name="Normal 6 110 9 3" xfId="0"/>
    <cellStyle name="Normal 6 111" xfId="0"/>
    <cellStyle name="Normal 6 111 2" xfId="0"/>
    <cellStyle name="Normal 6 111 2 2" xfId="0"/>
    <cellStyle name="Normal 6 111 2 2 2" xfId="0"/>
    <cellStyle name="Normal 6 111 2 2 2 2" xfId="0"/>
    <cellStyle name="Normal 6 111 2 2 2 2 2" xfId="0"/>
    <cellStyle name="Normal 6 111 2 2 2 2 2 2" xfId="0"/>
    <cellStyle name="Normal 6 111 2 2 2 2 2 2 2" xfId="0"/>
    <cellStyle name="Normal 6 111 2 2 2 2 2 3" xfId="0"/>
    <cellStyle name="Normal 6 111 2 2 2 2 3" xfId="0"/>
    <cellStyle name="Normal 6 111 2 2 2 2 3 2" xfId="0"/>
    <cellStyle name="Normal 6 111 2 2 2 2 4" xfId="0"/>
    <cellStyle name="Normal 6 111 2 2 2 3" xfId="0"/>
    <cellStyle name="Normal 6 111 2 2 2 3 2" xfId="0"/>
    <cellStyle name="Normal 6 111 2 2 2 3 2 2" xfId="0"/>
    <cellStyle name="Normal 6 111 2 2 2 3 3" xfId="0"/>
    <cellStyle name="Normal 6 111 2 2 2 4" xfId="0"/>
    <cellStyle name="Normal 6 111 2 2 2 4 2" xfId="0"/>
    <cellStyle name="Normal 6 111 2 2 2 5" xfId="0"/>
    <cellStyle name="Normal 6 111 2 2 3" xfId="0"/>
    <cellStyle name="Normal 6 111 2 2 3 2" xfId="0"/>
    <cellStyle name="Normal 6 111 2 2 3 2 2" xfId="0"/>
    <cellStyle name="Normal 6 111 2 2 3 2 2 2" xfId="0"/>
    <cellStyle name="Normal 6 111 2 2 3 2 3" xfId="0"/>
    <cellStyle name="Normal 6 111 2 2 3 3" xfId="0"/>
    <cellStyle name="Normal 6 111 2 2 3 3 2" xfId="0"/>
    <cellStyle name="Normal 6 111 2 2 3 4" xfId="0"/>
    <cellStyle name="Normal 6 111 2 2 4" xfId="0"/>
    <cellStyle name="Normal 6 111 2 2 4 2" xfId="0"/>
    <cellStyle name="Normal 6 111 2 2 4 2 2" xfId="0"/>
    <cellStyle name="Normal 6 111 2 2 4 3" xfId="0"/>
    <cellStyle name="Normal 6 111 2 2 5" xfId="0"/>
    <cellStyle name="Normal 6 111 2 2 5 2" xfId="0"/>
    <cellStyle name="Normal 6 111 2 2 6" xfId="0"/>
    <cellStyle name="Normal 6 111 2 3" xfId="0"/>
    <cellStyle name="Normal 6 111 2 3 2" xfId="0"/>
    <cellStyle name="Normal 6 111 2 3 2 2" xfId="0"/>
    <cellStyle name="Normal 6 111 2 3 2 2 2" xfId="0"/>
    <cellStyle name="Normal 6 111 2 3 2 2 2 2" xfId="0"/>
    <cellStyle name="Normal 6 111 2 3 2 2 3" xfId="0"/>
    <cellStyle name="Normal 6 111 2 3 2 3" xfId="0"/>
    <cellStyle name="Normal 6 111 2 3 2 3 2" xfId="0"/>
    <cellStyle name="Normal 6 111 2 3 2 4" xfId="0"/>
    <cellStyle name="Normal 6 111 2 3 3" xfId="0"/>
    <cellStyle name="Normal 6 111 2 3 3 2" xfId="0"/>
    <cellStyle name="Normal 6 111 2 3 3 2 2" xfId="0"/>
    <cellStyle name="Normal 6 111 2 3 3 3" xfId="0"/>
    <cellStyle name="Normal 6 111 2 3 4" xfId="0"/>
    <cellStyle name="Normal 6 111 2 3 4 2" xfId="0"/>
    <cellStyle name="Normal 6 111 2 3 5" xfId="0"/>
    <cellStyle name="Normal 6 111 2 4" xfId="0"/>
    <cellStyle name="Normal 6 111 2 4 2" xfId="0"/>
    <cellStyle name="Normal 6 111 2 4 2 2" xfId="0"/>
    <cellStyle name="Normal 6 111 2 4 2 2 2" xfId="0"/>
    <cellStyle name="Normal 6 111 2 4 2 3" xfId="0"/>
    <cellStyle name="Normal 6 111 2 4 3" xfId="0"/>
    <cellStyle name="Normal 6 111 2 4 3 2" xfId="0"/>
    <cellStyle name="Normal 6 111 2 4 4" xfId="0"/>
    <cellStyle name="Normal 6 111 2 5" xfId="0"/>
    <cellStyle name="Normal 6 111 2 5 2" xfId="0"/>
    <cellStyle name="Normal 6 111 2 5 2 2" xfId="0"/>
    <cellStyle name="Normal 6 111 2 5 3" xfId="0"/>
    <cellStyle name="Normal 6 111 2 6" xfId="0"/>
    <cellStyle name="Normal 6 111 2 6 2" xfId="0"/>
    <cellStyle name="Normal 6 111 2 7" xfId="0"/>
    <cellStyle name="Normal 6 111 3" xfId="0"/>
    <cellStyle name="Normal 6 111 3 2" xfId="0"/>
    <cellStyle name="Normal 6 111 3 2 2" xfId="0"/>
    <cellStyle name="Normal 6 111 3 2 2 2" xfId="0"/>
    <cellStyle name="Normal 6 111 3 2 2 2 2" xfId="0"/>
    <cellStyle name="Normal 6 111 3 2 2 2 2 2" xfId="0"/>
    <cellStyle name="Normal 6 111 3 2 2 2 3" xfId="0"/>
    <cellStyle name="Normal 6 111 3 2 2 3" xfId="0"/>
    <cellStyle name="Normal 6 111 3 2 2 3 2" xfId="0"/>
    <cellStyle name="Normal 6 111 3 2 2 4" xfId="0"/>
    <cellStyle name="Normal 6 111 3 2 3" xfId="0"/>
    <cellStyle name="Normal 6 111 3 2 3 2" xfId="0"/>
    <cellStyle name="Normal 6 111 3 2 3 2 2" xfId="0"/>
    <cellStyle name="Normal 6 111 3 2 3 3" xfId="0"/>
    <cellStyle name="Normal 6 111 3 2 4" xfId="0"/>
    <cellStyle name="Normal 6 111 3 2 4 2" xfId="0"/>
    <cellStyle name="Normal 6 111 3 2 5" xfId="0"/>
    <cellStyle name="Normal 6 111 3 3" xfId="0"/>
    <cellStyle name="Normal 6 111 3 3 2" xfId="0"/>
    <cellStyle name="Normal 6 111 3 3 2 2" xfId="0"/>
    <cellStyle name="Normal 6 111 3 3 2 2 2" xfId="0"/>
    <cellStyle name="Normal 6 111 3 3 2 3" xfId="0"/>
    <cellStyle name="Normal 6 111 3 3 3" xfId="0"/>
    <cellStyle name="Normal 6 111 3 3 3 2" xfId="0"/>
    <cellStyle name="Normal 6 111 3 3 4" xfId="0"/>
    <cellStyle name="Normal 6 111 3 4" xfId="0"/>
    <cellStyle name="Normal 6 111 3 4 2" xfId="0"/>
    <cellStyle name="Normal 6 111 3 4 2 2" xfId="0"/>
    <cellStyle name="Normal 6 111 3 4 3" xfId="0"/>
    <cellStyle name="Normal 6 111 3 5" xfId="0"/>
    <cellStyle name="Normal 6 111 3 5 2" xfId="0"/>
    <cellStyle name="Normal 6 111 3 6" xfId="0"/>
    <cellStyle name="Normal 6 111 4" xfId="0"/>
    <cellStyle name="Normal 6 111 4 2" xfId="0"/>
    <cellStyle name="Normal 6 111 4 2 2" xfId="0"/>
    <cellStyle name="Normal 6 111 4 2 2 2" xfId="0"/>
    <cellStyle name="Normal 6 111 4 2 2 2 2" xfId="0"/>
    <cellStyle name="Normal 6 111 4 2 2 3" xfId="0"/>
    <cellStyle name="Normal 6 111 4 2 3" xfId="0"/>
    <cellStyle name="Normal 6 111 4 2 3 2" xfId="0"/>
    <cellStyle name="Normal 6 111 4 2 4" xfId="0"/>
    <cellStyle name="Normal 6 111 4 3" xfId="0"/>
    <cellStyle name="Normal 6 111 4 3 2" xfId="0"/>
    <cellStyle name="Normal 6 111 4 3 2 2" xfId="0"/>
    <cellStyle name="Normal 6 111 4 3 3" xfId="0"/>
    <cellStyle name="Normal 6 111 4 4" xfId="0"/>
    <cellStyle name="Normal 6 111 4 4 2" xfId="0"/>
    <cellStyle name="Normal 6 111 4 5" xfId="0"/>
    <cellStyle name="Normal 6 111 5" xfId="0"/>
    <cellStyle name="Normal 6 111 5 2" xfId="0"/>
    <cellStyle name="Normal 6 111 5 2 2" xfId="0"/>
    <cellStyle name="Normal 6 111 5 2 2 2" xfId="0"/>
    <cellStyle name="Normal 6 111 5 2 3" xfId="0"/>
    <cellStyle name="Normal 6 111 5 3" xfId="0"/>
    <cellStyle name="Normal 6 111 5 3 2" xfId="0"/>
    <cellStyle name="Normal 6 111 5 4" xfId="0"/>
    <cellStyle name="Normal 6 111 6" xfId="0"/>
    <cellStyle name="Normal 6 111 6 2" xfId="0"/>
    <cellStyle name="Normal 6 111 6 2 2" xfId="0"/>
    <cellStyle name="Normal 6 111 6 3" xfId="0"/>
    <cellStyle name="Normal 6 111 7" xfId="0"/>
    <cellStyle name="Normal 6 111 7 2" xfId="0"/>
    <cellStyle name="Normal 6 111 8" xfId="0"/>
    <cellStyle name="Normal 6 112" xfId="0"/>
    <cellStyle name="Normal 6 112 2" xfId="0"/>
    <cellStyle name="Normal 6 112 2 2" xfId="0"/>
    <cellStyle name="Normal 6 112 2 2 2" xfId="0"/>
    <cellStyle name="Normal 6 112 2 2 2 2" xfId="0"/>
    <cellStyle name="Normal 6 112 2 2 2 2 2" xfId="0"/>
    <cellStyle name="Normal 6 112 2 2 2 2 2 2" xfId="0"/>
    <cellStyle name="Normal 6 112 2 2 2 2 2 2 2" xfId="0"/>
    <cellStyle name="Normal 6 112 2 2 2 2 2 3" xfId="0"/>
    <cellStyle name="Normal 6 112 2 2 2 2 3" xfId="0"/>
    <cellStyle name="Normal 6 112 2 2 2 2 3 2" xfId="0"/>
    <cellStyle name="Normal 6 112 2 2 2 2 4" xfId="0"/>
    <cellStyle name="Normal 6 112 2 2 2 3" xfId="0"/>
    <cellStyle name="Normal 6 112 2 2 2 3 2" xfId="0"/>
    <cellStyle name="Normal 6 112 2 2 2 3 2 2" xfId="0"/>
    <cellStyle name="Normal 6 112 2 2 2 3 3" xfId="0"/>
    <cellStyle name="Normal 6 112 2 2 2 4" xfId="0"/>
    <cellStyle name="Normal 6 112 2 2 2 4 2" xfId="0"/>
    <cellStyle name="Normal 6 112 2 2 2 5" xfId="0"/>
    <cellStyle name="Normal 6 112 2 2 3" xfId="0"/>
    <cellStyle name="Normal 6 112 2 2 3 2" xfId="0"/>
    <cellStyle name="Normal 6 112 2 2 3 2 2" xfId="0"/>
    <cellStyle name="Normal 6 112 2 2 3 2 2 2" xfId="0"/>
    <cellStyle name="Normal 6 112 2 2 3 2 3" xfId="0"/>
    <cellStyle name="Normal 6 112 2 2 3 3" xfId="0"/>
    <cellStyle name="Normal 6 112 2 2 3 3 2" xfId="0"/>
    <cellStyle name="Normal 6 112 2 2 3 4" xfId="0"/>
    <cellStyle name="Normal 6 112 2 2 4" xfId="0"/>
    <cellStyle name="Normal 6 112 2 2 4 2" xfId="0"/>
    <cellStyle name="Normal 6 112 2 2 4 2 2" xfId="0"/>
    <cellStyle name="Normal 6 112 2 2 4 3" xfId="0"/>
    <cellStyle name="Normal 6 112 2 2 5" xfId="0"/>
    <cellStyle name="Normal 6 112 2 2 5 2" xfId="0"/>
    <cellStyle name="Normal 6 112 2 2 6" xfId="0"/>
    <cellStyle name="Normal 6 112 2 3" xfId="0"/>
    <cellStyle name="Normal 6 112 2 3 2" xfId="0"/>
    <cellStyle name="Normal 6 112 2 3 2 2" xfId="0"/>
    <cellStyle name="Normal 6 112 2 3 2 2 2" xfId="0"/>
    <cellStyle name="Normal 6 112 2 3 2 2 2 2" xfId="0"/>
    <cellStyle name="Normal 6 112 2 3 2 2 3" xfId="0"/>
    <cellStyle name="Normal 6 112 2 3 2 3" xfId="0"/>
    <cellStyle name="Normal 6 112 2 3 2 3 2" xfId="0"/>
    <cellStyle name="Normal 6 112 2 3 2 4" xfId="0"/>
    <cellStyle name="Normal 6 112 2 3 3" xfId="0"/>
    <cellStyle name="Normal 6 112 2 3 3 2" xfId="0"/>
    <cellStyle name="Normal 6 112 2 3 3 2 2" xfId="0"/>
    <cellStyle name="Normal 6 112 2 3 3 3" xfId="0"/>
    <cellStyle name="Normal 6 112 2 3 4" xfId="0"/>
    <cellStyle name="Normal 6 112 2 3 4 2" xfId="0"/>
    <cellStyle name="Normal 6 112 2 3 5" xfId="0"/>
    <cellStyle name="Normal 6 112 2 4" xfId="0"/>
    <cellStyle name="Normal 6 112 2 4 2" xfId="0"/>
    <cellStyle name="Normal 6 112 2 4 2 2" xfId="0"/>
    <cellStyle name="Normal 6 112 2 4 2 2 2" xfId="0"/>
    <cellStyle name="Normal 6 112 2 4 2 3" xfId="0"/>
    <cellStyle name="Normal 6 112 2 4 3" xfId="0"/>
    <cellStyle name="Normal 6 112 2 4 3 2" xfId="0"/>
    <cellStyle name="Normal 6 112 2 4 4" xfId="0"/>
    <cellStyle name="Normal 6 112 2 5" xfId="0"/>
    <cellStyle name="Normal 6 112 2 5 2" xfId="0"/>
    <cellStyle name="Normal 6 112 2 5 2 2" xfId="0"/>
    <cellStyle name="Normal 6 112 2 5 3" xfId="0"/>
    <cellStyle name="Normal 6 112 2 6" xfId="0"/>
    <cellStyle name="Normal 6 112 2 6 2" xfId="0"/>
    <cellStyle name="Normal 6 112 2 7" xfId="0"/>
    <cellStyle name="Normal 6 112 3" xfId="0"/>
    <cellStyle name="Normal 6 112 3 2" xfId="0"/>
    <cellStyle name="Normal 6 112 3 2 2" xfId="0"/>
    <cellStyle name="Normal 6 112 3 2 2 2" xfId="0"/>
    <cellStyle name="Normal 6 112 3 2 2 2 2" xfId="0"/>
    <cellStyle name="Normal 6 112 3 2 2 2 2 2" xfId="0"/>
    <cellStyle name="Normal 6 112 3 2 2 2 3" xfId="0"/>
    <cellStyle name="Normal 6 112 3 2 2 3" xfId="0"/>
    <cellStyle name="Normal 6 112 3 2 2 3 2" xfId="0"/>
    <cellStyle name="Normal 6 112 3 2 2 4" xfId="0"/>
    <cellStyle name="Normal 6 112 3 2 3" xfId="0"/>
    <cellStyle name="Normal 6 112 3 2 3 2" xfId="0"/>
    <cellStyle name="Normal 6 112 3 2 3 2 2" xfId="0"/>
    <cellStyle name="Normal 6 112 3 2 3 3" xfId="0"/>
    <cellStyle name="Normal 6 112 3 2 4" xfId="0"/>
    <cellStyle name="Normal 6 112 3 2 4 2" xfId="0"/>
    <cellStyle name="Normal 6 112 3 2 5" xfId="0"/>
    <cellStyle name="Normal 6 112 3 3" xfId="0"/>
    <cellStyle name="Normal 6 112 3 3 2" xfId="0"/>
    <cellStyle name="Normal 6 112 3 3 2 2" xfId="0"/>
    <cellStyle name="Normal 6 112 3 3 2 2 2" xfId="0"/>
    <cellStyle name="Normal 6 112 3 3 2 3" xfId="0"/>
    <cellStyle name="Normal 6 112 3 3 3" xfId="0"/>
    <cellStyle name="Normal 6 112 3 3 3 2" xfId="0"/>
    <cellStyle name="Normal 6 112 3 3 4" xfId="0"/>
    <cellStyle name="Normal 6 112 3 4" xfId="0"/>
    <cellStyle name="Normal 6 112 3 4 2" xfId="0"/>
    <cellStyle name="Normal 6 112 3 4 2 2" xfId="0"/>
    <cellStyle name="Normal 6 112 3 4 3" xfId="0"/>
    <cellStyle name="Normal 6 112 3 5" xfId="0"/>
    <cellStyle name="Normal 6 112 3 5 2" xfId="0"/>
    <cellStyle name="Normal 6 112 3 6" xfId="0"/>
    <cellStyle name="Normal 6 112 4" xfId="0"/>
    <cellStyle name="Normal 6 112 4 2" xfId="0"/>
    <cellStyle name="Normal 6 112 4 2 2" xfId="0"/>
    <cellStyle name="Normal 6 112 4 2 2 2" xfId="0"/>
    <cellStyle name="Normal 6 112 4 2 2 2 2" xfId="0"/>
    <cellStyle name="Normal 6 112 4 2 2 3" xfId="0"/>
    <cellStyle name="Normal 6 112 4 2 3" xfId="0"/>
    <cellStyle name="Normal 6 112 4 2 3 2" xfId="0"/>
    <cellStyle name="Normal 6 112 4 2 4" xfId="0"/>
    <cellStyle name="Normal 6 112 4 3" xfId="0"/>
    <cellStyle name="Normal 6 112 4 3 2" xfId="0"/>
    <cellStyle name="Normal 6 112 4 3 2 2" xfId="0"/>
    <cellStyle name="Normal 6 112 4 3 3" xfId="0"/>
    <cellStyle name="Normal 6 112 4 4" xfId="0"/>
    <cellStyle name="Normal 6 112 4 4 2" xfId="0"/>
    <cellStyle name="Normal 6 112 4 5" xfId="0"/>
    <cellStyle name="Normal 6 112 5" xfId="0"/>
    <cellStyle name="Normal 6 112 5 2" xfId="0"/>
    <cellStyle name="Normal 6 112 5 2 2" xfId="0"/>
    <cellStyle name="Normal 6 112 5 2 2 2" xfId="0"/>
    <cellStyle name="Normal 6 112 5 2 3" xfId="0"/>
    <cellStyle name="Normal 6 112 5 3" xfId="0"/>
    <cellStyle name="Normal 6 112 5 3 2" xfId="0"/>
    <cellStyle name="Normal 6 112 5 4" xfId="0"/>
    <cellStyle name="Normal 6 112 6" xfId="0"/>
    <cellStyle name="Normal 6 112 6 2" xfId="0"/>
    <cellStyle name="Normal 6 112 6 2 2" xfId="0"/>
    <cellStyle name="Normal 6 112 6 3" xfId="0"/>
    <cellStyle name="Normal 6 112 7" xfId="0"/>
    <cellStyle name="Normal 6 112 7 2" xfId="0"/>
    <cellStyle name="Normal 6 112 8" xfId="0"/>
    <cellStyle name="Normal 6 113" xfId="0"/>
    <cellStyle name="Normal 6 113 2" xfId="0"/>
    <cellStyle name="Normal 6 113 2 2" xfId="0"/>
    <cellStyle name="Normal 6 113 2 2 2" xfId="0"/>
    <cellStyle name="Normal 6 113 2 2 2 2" xfId="0"/>
    <cellStyle name="Normal 6 113 2 2 2 2 2" xfId="0"/>
    <cellStyle name="Normal 6 113 2 2 2 2 2 2" xfId="0"/>
    <cellStyle name="Normal 6 113 2 2 2 2 3" xfId="0"/>
    <cellStyle name="Normal 6 113 2 2 2 3" xfId="0"/>
    <cellStyle name="Normal 6 113 2 2 2 3 2" xfId="0"/>
    <cellStyle name="Normal 6 113 2 2 2 4" xfId="0"/>
    <cellStyle name="Normal 6 113 2 2 3" xfId="0"/>
    <cellStyle name="Normal 6 113 2 2 3 2" xfId="0"/>
    <cellStyle name="Normal 6 113 2 2 3 2 2" xfId="0"/>
    <cellStyle name="Normal 6 113 2 2 3 3" xfId="0"/>
    <cellStyle name="Normal 6 113 2 2 4" xfId="0"/>
    <cellStyle name="Normal 6 113 2 2 4 2" xfId="0"/>
    <cellStyle name="Normal 6 113 2 2 5" xfId="0"/>
    <cellStyle name="Normal 6 113 2 3" xfId="0"/>
    <cellStyle name="Normal 6 113 2 3 2" xfId="0"/>
    <cellStyle name="Normal 6 113 2 3 2 2" xfId="0"/>
    <cellStyle name="Normal 6 113 2 3 2 2 2" xfId="0"/>
    <cellStyle name="Normal 6 113 2 3 2 3" xfId="0"/>
    <cellStyle name="Normal 6 113 2 3 3" xfId="0"/>
    <cellStyle name="Normal 6 113 2 3 3 2" xfId="0"/>
    <cellStyle name="Normal 6 113 2 3 4" xfId="0"/>
    <cellStyle name="Normal 6 113 2 4" xfId="0"/>
    <cellStyle name="Normal 6 113 2 4 2" xfId="0"/>
    <cellStyle name="Normal 6 113 2 4 2 2" xfId="0"/>
    <cellStyle name="Normal 6 113 2 4 3" xfId="0"/>
    <cellStyle name="Normal 6 113 2 5" xfId="0"/>
    <cellStyle name="Normal 6 113 2 5 2" xfId="0"/>
    <cellStyle name="Normal 6 113 2 6" xfId="0"/>
    <cellStyle name="Normal 6 113 3" xfId="0"/>
    <cellStyle name="Normal 6 113 3 2" xfId="0"/>
    <cellStyle name="Normal 6 113 3 2 2" xfId="0"/>
    <cellStyle name="Normal 6 113 3 2 2 2" xfId="0"/>
    <cellStyle name="Normal 6 113 3 2 2 2 2" xfId="0"/>
    <cellStyle name="Normal 6 113 3 2 2 3" xfId="0"/>
    <cellStyle name="Normal 6 113 3 2 3" xfId="0"/>
    <cellStyle name="Normal 6 113 3 2 3 2" xfId="0"/>
    <cellStyle name="Normal 6 113 3 2 4" xfId="0"/>
    <cellStyle name="Normal 6 113 3 3" xfId="0"/>
    <cellStyle name="Normal 6 113 3 3 2" xfId="0"/>
    <cellStyle name="Normal 6 113 3 3 2 2" xfId="0"/>
    <cellStyle name="Normal 6 113 3 3 3" xfId="0"/>
    <cellStyle name="Normal 6 113 3 4" xfId="0"/>
    <cellStyle name="Normal 6 113 3 4 2" xfId="0"/>
    <cellStyle name="Normal 6 113 3 5" xfId="0"/>
    <cellStyle name="Normal 6 113 4" xfId="0"/>
    <cellStyle name="Normal 6 113 4 2" xfId="0"/>
    <cellStyle name="Normal 6 113 4 2 2" xfId="0"/>
    <cellStyle name="Normal 6 113 4 2 2 2" xfId="0"/>
    <cellStyle name="Normal 6 113 4 2 3" xfId="0"/>
    <cellStyle name="Normal 6 113 4 3" xfId="0"/>
    <cellStyle name="Normal 6 113 4 3 2" xfId="0"/>
    <cellStyle name="Normal 6 113 4 4" xfId="0"/>
    <cellStyle name="Normal 6 113 5" xfId="0"/>
    <cellStyle name="Normal 6 113 5 2" xfId="0"/>
    <cellStyle name="Normal 6 113 5 2 2" xfId="0"/>
    <cellStyle name="Normal 6 113 5 3" xfId="0"/>
    <cellStyle name="Normal 6 113 6" xfId="0"/>
    <cellStyle name="Normal 6 113 6 2" xfId="0"/>
    <cellStyle name="Normal 6 113 7" xfId="0"/>
    <cellStyle name="Normal 6 114" xfId="0"/>
    <cellStyle name="Normal 6 114 2" xfId="0"/>
    <cellStyle name="Normal 6 114 2 2" xfId="0"/>
    <cellStyle name="Normal 6 114 2 2 2" xfId="0"/>
    <cellStyle name="Normal 6 114 2 2 2 2" xfId="0"/>
    <cellStyle name="Normal 6 114 2 2 2 2 2" xfId="0"/>
    <cellStyle name="Normal 6 114 2 2 2 2 2 2" xfId="0"/>
    <cellStyle name="Normal 6 114 2 2 2 2 3" xfId="0"/>
    <cellStyle name="Normal 6 114 2 2 2 3" xfId="0"/>
    <cellStyle name="Normal 6 114 2 2 2 3 2" xfId="0"/>
    <cellStyle name="Normal 6 114 2 2 2 4" xfId="0"/>
    <cellStyle name="Normal 6 114 2 2 3" xfId="0"/>
    <cellStyle name="Normal 6 114 2 2 3 2" xfId="0"/>
    <cellStyle name="Normal 6 114 2 2 3 2 2" xfId="0"/>
    <cellStyle name="Normal 6 114 2 2 3 3" xfId="0"/>
    <cellStyle name="Normal 6 114 2 2 4" xfId="0"/>
    <cellStyle name="Normal 6 114 2 2 4 2" xfId="0"/>
    <cellStyle name="Normal 6 114 2 2 5" xfId="0"/>
    <cellStyle name="Normal 6 114 2 3" xfId="0"/>
    <cellStyle name="Normal 6 114 2 3 2" xfId="0"/>
    <cellStyle name="Normal 6 114 2 3 2 2" xfId="0"/>
    <cellStyle name="Normal 6 114 2 3 2 2 2" xfId="0"/>
    <cellStyle name="Normal 6 114 2 3 2 3" xfId="0"/>
    <cellStyle name="Normal 6 114 2 3 3" xfId="0"/>
    <cellStyle name="Normal 6 114 2 3 3 2" xfId="0"/>
    <cellStyle name="Normal 6 114 2 3 4" xfId="0"/>
    <cellStyle name="Normal 6 114 2 4" xfId="0"/>
    <cellStyle name="Normal 6 114 2 4 2" xfId="0"/>
    <cellStyle name="Normal 6 114 2 4 2 2" xfId="0"/>
    <cellStyle name="Normal 6 114 2 4 3" xfId="0"/>
    <cellStyle name="Normal 6 114 2 5" xfId="0"/>
    <cellStyle name="Normal 6 114 2 5 2" xfId="0"/>
    <cellStyle name="Normal 6 114 2 6" xfId="0"/>
    <cellStyle name="Normal 6 114 3" xfId="0"/>
    <cellStyle name="Normal 6 114 3 2" xfId="0"/>
    <cellStyle name="Normal 6 114 3 2 2" xfId="0"/>
    <cellStyle name="Normal 6 114 3 2 2 2" xfId="0"/>
    <cellStyle name="Normal 6 114 3 2 2 2 2" xfId="0"/>
    <cellStyle name="Normal 6 114 3 2 2 3" xfId="0"/>
    <cellStyle name="Normal 6 114 3 2 3" xfId="0"/>
    <cellStyle name="Normal 6 114 3 2 3 2" xfId="0"/>
    <cellStyle name="Normal 6 114 3 2 4" xfId="0"/>
    <cellStyle name="Normal 6 114 3 3" xfId="0"/>
    <cellStyle name="Normal 6 114 3 3 2" xfId="0"/>
    <cellStyle name="Normal 6 114 3 3 2 2" xfId="0"/>
    <cellStyle name="Normal 6 114 3 3 3" xfId="0"/>
    <cellStyle name="Normal 6 114 3 4" xfId="0"/>
    <cellStyle name="Normal 6 114 3 4 2" xfId="0"/>
    <cellStyle name="Normal 6 114 3 5" xfId="0"/>
    <cellStyle name="Normal 6 114 4" xfId="0"/>
    <cellStyle name="Normal 6 114 4 2" xfId="0"/>
    <cellStyle name="Normal 6 114 4 2 2" xfId="0"/>
    <cellStyle name="Normal 6 114 4 2 2 2" xfId="0"/>
    <cellStyle name="Normal 6 114 4 2 3" xfId="0"/>
    <cellStyle name="Normal 6 114 4 3" xfId="0"/>
    <cellStyle name="Normal 6 114 4 3 2" xfId="0"/>
    <cellStyle name="Normal 6 114 4 4" xfId="0"/>
    <cellStyle name="Normal 6 114 5" xfId="0"/>
    <cellStyle name="Normal 6 114 5 2" xfId="0"/>
    <cellStyle name="Normal 6 114 5 2 2" xfId="0"/>
    <cellStyle name="Normal 6 114 5 3" xfId="0"/>
    <cellStyle name="Normal 6 114 6" xfId="0"/>
    <cellStyle name="Normal 6 114 6 2" xfId="0"/>
    <cellStyle name="Normal 6 114 7" xfId="0"/>
    <cellStyle name="Normal 6 115" xfId="0"/>
    <cellStyle name="Normal 6 115 2" xfId="0"/>
    <cellStyle name="Normal 6 115 2 2" xfId="0"/>
    <cellStyle name="Normal 6 115 2 2 2" xfId="0"/>
    <cellStyle name="Normal 6 115 2 2 2 2" xfId="0"/>
    <cellStyle name="Normal 6 115 2 2 2 2 2" xfId="0"/>
    <cellStyle name="Normal 6 115 2 2 2 3" xfId="0"/>
    <cellStyle name="Normal 6 115 2 2 3" xfId="0"/>
    <cellStyle name="Normal 6 115 2 2 3 2" xfId="0"/>
    <cellStyle name="Normal 6 115 2 2 4" xfId="0"/>
    <cellStyle name="Normal 6 115 2 3" xfId="0"/>
    <cellStyle name="Normal 6 115 2 3 2" xfId="0"/>
    <cellStyle name="Normal 6 115 2 3 2 2" xfId="0"/>
    <cellStyle name="Normal 6 115 2 3 3" xfId="0"/>
    <cellStyle name="Normal 6 115 2 4" xfId="0"/>
    <cellStyle name="Normal 6 115 2 4 2" xfId="0"/>
    <cellStyle name="Normal 6 115 2 5" xfId="0"/>
    <cellStyle name="Normal 6 115 3" xfId="0"/>
    <cellStyle name="Normal 6 115 3 2" xfId="0"/>
    <cellStyle name="Normal 6 115 3 2 2" xfId="0"/>
    <cellStyle name="Normal 6 115 3 2 2 2" xfId="0"/>
    <cellStyle name="Normal 6 115 3 2 3" xfId="0"/>
    <cellStyle name="Normal 6 115 3 3" xfId="0"/>
    <cellStyle name="Normal 6 115 3 3 2" xfId="0"/>
    <cellStyle name="Normal 6 115 3 4" xfId="0"/>
    <cellStyle name="Normal 6 115 4" xfId="0"/>
    <cellStyle name="Normal 6 115 4 2" xfId="0"/>
    <cellStyle name="Normal 6 115 4 2 2" xfId="0"/>
    <cellStyle name="Normal 6 115 4 3" xfId="0"/>
    <cellStyle name="Normal 6 115 5" xfId="0"/>
    <cellStyle name="Normal 6 115 5 2" xfId="0"/>
    <cellStyle name="Normal 6 115 6" xfId="0"/>
    <cellStyle name="Normal 6 116" xfId="0"/>
    <cellStyle name="Normal 6 116 2" xfId="0"/>
    <cellStyle name="Normal 6 116 2 2" xfId="0"/>
    <cellStyle name="Normal 6 116 2 2 2" xfId="0"/>
    <cellStyle name="Normal 6 116 2 2 2 2" xfId="0"/>
    <cellStyle name="Normal 6 116 2 2 3" xfId="0"/>
    <cellStyle name="Normal 6 116 2 3" xfId="0"/>
    <cellStyle name="Normal 6 116 2 3 2" xfId="0"/>
    <cellStyle name="Normal 6 116 2 4" xfId="0"/>
    <cellStyle name="Normal 6 116 3" xfId="0"/>
    <cellStyle name="Normal 6 116 3 2" xfId="0"/>
    <cellStyle name="Normal 6 116 3 2 2" xfId="0"/>
    <cellStyle name="Normal 6 116 3 3" xfId="0"/>
    <cellStyle name="Normal 6 116 4" xfId="0"/>
    <cellStyle name="Normal 6 116 4 2" xfId="0"/>
    <cellStyle name="Normal 6 116 5" xfId="0"/>
    <cellStyle name="Normal 6 117" xfId="0"/>
    <cellStyle name="Normal 6 117 2" xfId="0"/>
    <cellStyle name="Normal 6 117 2 2" xfId="0"/>
    <cellStyle name="Normal 6 117 2 2 2" xfId="0"/>
    <cellStyle name="Normal 6 117 2 3" xfId="0"/>
    <cellStyle name="Normal 6 117 3" xfId="0"/>
    <cellStyle name="Normal 6 117 3 2" xfId="0"/>
    <cellStyle name="Normal 6 117 4" xfId="0"/>
    <cellStyle name="Normal 6 118" xfId="0"/>
    <cellStyle name="Normal 6 118 2" xfId="0"/>
    <cellStyle name="Normal 6 118 2 2" xfId="0"/>
    <cellStyle name="Normal 6 118 3" xfId="0"/>
    <cellStyle name="Normal 6 119" xfId="0"/>
    <cellStyle name="Normal 6 119 2" xfId="0"/>
    <cellStyle name="Normal 6 12" xfId="0"/>
    <cellStyle name="Normal 6 120" xfId="0"/>
    <cellStyle name="Normal 6 121" xfId="0"/>
    <cellStyle name="Normal 6 122" xfId="0"/>
    <cellStyle name="Normal 6 13" xfId="0"/>
    <cellStyle name="Normal 6 14" xfId="0"/>
    <cellStyle name="Normal 6 15" xfId="0"/>
    <cellStyle name="Normal 6 16" xfId="0"/>
    <cellStyle name="Normal 6 17" xfId="0"/>
    <cellStyle name="Normal 6 18" xfId="0"/>
    <cellStyle name="Normal 6 19" xfId="0"/>
    <cellStyle name="Normal 6 2" xfId="0"/>
    <cellStyle name="Normal 6 2 10" xfId="0"/>
    <cellStyle name="Normal 6 2 10 2" xfId="0"/>
    <cellStyle name="Normal 6 2 10 2 2" xfId="0"/>
    <cellStyle name="Normal 6 2 10 2 2 2" xfId="0"/>
    <cellStyle name="Normal 6 2 10 2 2 2 2" xfId="0"/>
    <cellStyle name="Normal 6 2 10 2 2 2 2 2" xfId="0"/>
    <cellStyle name="Normal 6 2 10 2 2 2 2 2 2" xfId="0"/>
    <cellStyle name="Normal 6 2 10 2 2 2 2 3" xfId="0"/>
    <cellStyle name="Normal 6 2 10 2 2 2 3" xfId="0"/>
    <cellStyle name="Normal 6 2 10 2 2 2 3 2" xfId="0"/>
    <cellStyle name="Normal 6 2 10 2 2 2 4" xfId="0"/>
    <cellStyle name="Normal 6 2 10 2 2 3" xfId="0"/>
    <cellStyle name="Normal 6 2 10 2 2 3 2" xfId="0"/>
    <cellStyle name="Normal 6 2 10 2 2 3 2 2" xfId="0"/>
    <cellStyle name="Normal 6 2 10 2 2 3 3" xfId="0"/>
    <cellStyle name="Normal 6 2 10 2 2 4" xfId="0"/>
    <cellStyle name="Normal 6 2 10 2 2 4 2" xfId="0"/>
    <cellStyle name="Normal 6 2 10 2 2 5" xfId="0"/>
    <cellStyle name="Normal 6 2 10 2 3" xfId="0"/>
    <cellStyle name="Normal 6 2 10 2 3 2" xfId="0"/>
    <cellStyle name="Normal 6 2 10 2 3 2 2" xfId="0"/>
    <cellStyle name="Normal 6 2 10 2 3 2 2 2" xfId="0"/>
    <cellStyle name="Normal 6 2 10 2 3 2 3" xfId="0"/>
    <cellStyle name="Normal 6 2 10 2 3 3" xfId="0"/>
    <cellStyle name="Normal 6 2 10 2 3 3 2" xfId="0"/>
    <cellStyle name="Normal 6 2 10 2 3 4" xfId="0"/>
    <cellStyle name="Normal 6 2 10 2 4" xfId="0"/>
    <cellStyle name="Normal 6 2 10 2 4 2" xfId="0"/>
    <cellStyle name="Normal 6 2 10 2 4 2 2" xfId="0"/>
    <cellStyle name="Normal 6 2 10 2 4 3" xfId="0"/>
    <cellStyle name="Normal 6 2 10 2 5" xfId="0"/>
    <cellStyle name="Normal 6 2 10 2 5 2" xfId="0"/>
    <cellStyle name="Normal 6 2 10 2 6" xfId="0"/>
    <cellStyle name="Normal 6 2 10 3" xfId="0"/>
    <cellStyle name="Normal 6 2 10 3 2" xfId="0"/>
    <cellStyle name="Normal 6 2 10 3 2 2" xfId="0"/>
    <cellStyle name="Normal 6 2 10 3 2 2 2" xfId="0"/>
    <cellStyle name="Normal 6 2 10 3 2 2 2 2" xfId="0"/>
    <cellStyle name="Normal 6 2 10 3 2 2 3" xfId="0"/>
    <cellStyle name="Normal 6 2 10 3 2 3" xfId="0"/>
    <cellStyle name="Normal 6 2 10 3 2 3 2" xfId="0"/>
    <cellStyle name="Normal 6 2 10 3 2 4" xfId="0"/>
    <cellStyle name="Normal 6 2 10 3 3" xfId="0"/>
    <cellStyle name="Normal 6 2 10 3 3 2" xfId="0"/>
    <cellStyle name="Normal 6 2 10 3 3 2 2" xfId="0"/>
    <cellStyle name="Normal 6 2 10 3 3 3" xfId="0"/>
    <cellStyle name="Normal 6 2 10 3 4" xfId="0"/>
    <cellStyle name="Normal 6 2 10 3 4 2" xfId="0"/>
    <cellStyle name="Normal 6 2 10 3 5" xfId="0"/>
    <cellStyle name="Normal 6 2 10 4" xfId="0"/>
    <cellStyle name="Normal 6 2 10 4 2" xfId="0"/>
    <cellStyle name="Normal 6 2 10 4 2 2" xfId="0"/>
    <cellStyle name="Normal 6 2 10 4 2 2 2" xfId="0"/>
    <cellStyle name="Normal 6 2 10 4 2 3" xfId="0"/>
    <cellStyle name="Normal 6 2 10 4 3" xfId="0"/>
    <cellStyle name="Normal 6 2 10 4 3 2" xfId="0"/>
    <cellStyle name="Normal 6 2 10 4 4" xfId="0"/>
    <cellStyle name="Normal 6 2 10 5" xfId="0"/>
    <cellStyle name="Normal 6 2 10 5 2" xfId="0"/>
    <cellStyle name="Normal 6 2 10 5 2 2" xfId="0"/>
    <cellStyle name="Normal 6 2 10 5 3" xfId="0"/>
    <cellStyle name="Normal 6 2 10 6" xfId="0"/>
    <cellStyle name="Normal 6 2 10 6 2" xfId="0"/>
    <cellStyle name="Normal 6 2 10 7" xfId="0"/>
    <cellStyle name="Normal 6 2 11" xfId="0"/>
    <cellStyle name="Normal 6 2 11 2" xfId="0"/>
    <cellStyle name="Normal 6 2 11 2 2" xfId="0"/>
    <cellStyle name="Normal 6 2 11 2 2 2" xfId="0"/>
    <cellStyle name="Normal 6 2 11 2 2 2 2" xfId="0"/>
    <cellStyle name="Normal 6 2 11 2 2 2 2 2" xfId="0"/>
    <cellStyle name="Normal 6 2 11 2 2 2 3" xfId="0"/>
    <cellStyle name="Normal 6 2 11 2 2 3" xfId="0"/>
    <cellStyle name="Normal 6 2 11 2 2 3 2" xfId="0"/>
    <cellStyle name="Normal 6 2 11 2 2 4" xfId="0"/>
    <cellStyle name="Normal 6 2 11 2 3" xfId="0"/>
    <cellStyle name="Normal 6 2 11 2 3 2" xfId="0"/>
    <cellStyle name="Normal 6 2 11 2 3 2 2" xfId="0"/>
    <cellStyle name="Normal 6 2 11 2 3 3" xfId="0"/>
    <cellStyle name="Normal 6 2 11 2 4" xfId="0"/>
    <cellStyle name="Normal 6 2 11 2 4 2" xfId="0"/>
    <cellStyle name="Normal 6 2 11 2 5" xfId="0"/>
    <cellStyle name="Normal 6 2 11 3" xfId="0"/>
    <cellStyle name="Normal 6 2 11 3 2" xfId="0"/>
    <cellStyle name="Normal 6 2 11 3 2 2" xfId="0"/>
    <cellStyle name="Normal 6 2 11 3 2 2 2" xfId="0"/>
    <cellStyle name="Normal 6 2 11 3 2 3" xfId="0"/>
    <cellStyle name="Normal 6 2 11 3 3" xfId="0"/>
    <cellStyle name="Normal 6 2 11 3 3 2" xfId="0"/>
    <cellStyle name="Normal 6 2 11 3 4" xfId="0"/>
    <cellStyle name="Normal 6 2 11 4" xfId="0"/>
    <cellStyle name="Normal 6 2 11 4 2" xfId="0"/>
    <cellStyle name="Normal 6 2 11 4 2 2" xfId="0"/>
    <cellStyle name="Normal 6 2 11 4 3" xfId="0"/>
    <cellStyle name="Normal 6 2 11 5" xfId="0"/>
    <cellStyle name="Normal 6 2 11 5 2" xfId="0"/>
    <cellStyle name="Normal 6 2 11 6" xfId="0"/>
    <cellStyle name="Normal 6 2 12" xfId="0"/>
    <cellStyle name="Normal 6 2 12 2" xfId="0"/>
    <cellStyle name="Normal 6 2 12 2 2" xfId="0"/>
    <cellStyle name="Normal 6 2 12 2 2 2" xfId="0"/>
    <cellStyle name="Normal 6 2 12 2 2 2 2" xfId="0"/>
    <cellStyle name="Normal 6 2 12 2 2 3" xfId="0"/>
    <cellStyle name="Normal 6 2 12 2 3" xfId="0"/>
    <cellStyle name="Normal 6 2 12 2 3 2" xfId="0"/>
    <cellStyle name="Normal 6 2 12 2 4" xfId="0"/>
    <cellStyle name="Normal 6 2 12 3" xfId="0"/>
    <cellStyle name="Normal 6 2 12 3 2" xfId="0"/>
    <cellStyle name="Normal 6 2 12 3 2 2" xfId="0"/>
    <cellStyle name="Normal 6 2 12 3 3" xfId="0"/>
    <cellStyle name="Normal 6 2 12 4" xfId="0"/>
    <cellStyle name="Normal 6 2 12 4 2" xfId="0"/>
    <cellStyle name="Normal 6 2 12 5" xfId="0"/>
    <cellStyle name="Normal 6 2 13" xfId="0"/>
    <cellStyle name="Normal 6 2 13 2" xfId="0"/>
    <cellStyle name="Normal 6 2 13 2 2" xfId="0"/>
    <cellStyle name="Normal 6 2 13 2 2 2" xfId="0"/>
    <cellStyle name="Normal 6 2 13 2 3" xfId="0"/>
    <cellStyle name="Normal 6 2 13 3" xfId="0"/>
    <cellStyle name="Normal 6 2 13 3 2" xfId="0"/>
    <cellStyle name="Normal 6 2 13 4" xfId="0"/>
    <cellStyle name="Normal 6 2 14" xfId="0"/>
    <cellStyle name="Normal 6 2 14 2" xfId="0"/>
    <cellStyle name="Normal 6 2 14 2 2" xfId="0"/>
    <cellStyle name="Normal 6 2 14 3" xfId="0"/>
    <cellStyle name="Normal 6 2 15" xfId="0"/>
    <cellStyle name="Normal 6 2 15 2" xfId="0"/>
    <cellStyle name="Normal 6 2 16" xfId="0"/>
    <cellStyle name="Normal 6 2 17" xfId="0"/>
    <cellStyle name="Normal 6 2 2" xfId="0"/>
    <cellStyle name="Normal 6 2 2 10" xfId="0"/>
    <cellStyle name="Normal 6 2 2 10 2" xfId="0"/>
    <cellStyle name="Normal 6 2 2 10 2 2" xfId="0"/>
    <cellStyle name="Normal 6 2 2 10 2 2 2" xfId="0"/>
    <cellStyle name="Normal 6 2 2 10 2 2 2 2" xfId="0"/>
    <cellStyle name="Normal 6 2 2 10 2 2 3" xfId="0"/>
    <cellStyle name="Normal 6 2 2 10 2 3" xfId="0"/>
    <cellStyle name="Normal 6 2 2 10 2 3 2" xfId="0"/>
    <cellStyle name="Normal 6 2 2 10 2 4" xfId="0"/>
    <cellStyle name="Normal 6 2 2 10 3" xfId="0"/>
    <cellStyle name="Normal 6 2 2 10 3 2" xfId="0"/>
    <cellStyle name="Normal 6 2 2 10 3 2 2" xfId="0"/>
    <cellStyle name="Normal 6 2 2 10 3 3" xfId="0"/>
    <cellStyle name="Normal 6 2 2 10 4" xfId="0"/>
    <cellStyle name="Normal 6 2 2 10 4 2" xfId="0"/>
    <cellStyle name="Normal 6 2 2 10 5" xfId="0"/>
    <cellStyle name="Normal 6 2 2 11" xfId="0"/>
    <cellStyle name="Normal 6 2 2 11 2" xfId="0"/>
    <cellStyle name="Normal 6 2 2 11 2 2" xfId="0"/>
    <cellStyle name="Normal 6 2 2 11 2 2 2" xfId="0"/>
    <cellStyle name="Normal 6 2 2 11 2 3" xfId="0"/>
    <cellStyle name="Normal 6 2 2 11 3" xfId="0"/>
    <cellStyle name="Normal 6 2 2 11 3 2" xfId="0"/>
    <cellStyle name="Normal 6 2 2 11 4" xfId="0"/>
    <cellStyle name="Normal 6 2 2 12" xfId="0"/>
    <cellStyle name="Normal 6 2 2 12 2" xfId="0"/>
    <cellStyle name="Normal 6 2 2 12 2 2" xfId="0"/>
    <cellStyle name="Normal 6 2 2 12 3" xfId="0"/>
    <cellStyle name="Normal 6 2 2 13" xfId="0"/>
    <cellStyle name="Normal 6 2 2 13 2" xfId="0"/>
    <cellStyle name="Normal 6 2 2 14" xfId="0"/>
    <cellStyle name="Normal 6 2 2 15" xfId="0"/>
    <cellStyle name="Normal 6 2 2 2" xfId="0"/>
    <cellStyle name="Normal 6 2 2 2 10" xfId="0"/>
    <cellStyle name="Normal 6 2 2 2 10 2" xfId="0"/>
    <cellStyle name="Normal 6 2 2 2 10 2 2" xfId="0"/>
    <cellStyle name="Normal 6 2 2 2 10 3" xfId="0"/>
    <cellStyle name="Normal 6 2 2 2 11" xfId="0"/>
    <cellStyle name="Normal 6 2 2 2 11 2" xfId="0"/>
    <cellStyle name="Normal 6 2 2 2 12" xfId="0"/>
    <cellStyle name="Normal 6 2 2 2 2" xfId="0"/>
    <cellStyle name="Normal 6 2 2 2 2 10" xfId="0"/>
    <cellStyle name="Normal 6 2 2 2 2 10 2" xfId="0"/>
    <cellStyle name="Normal 6 2 2 2 2 11" xfId="0"/>
    <cellStyle name="Normal 6 2 2 2 2 2" xfId="0"/>
    <cellStyle name="Normal 6 2 2 2 2 2 2" xfId="0"/>
    <cellStyle name="Normal 6 2 2 2 2 2 2 2" xfId="0"/>
    <cellStyle name="Normal 6 2 2 2 2 2 2 2 2" xfId="0"/>
    <cellStyle name="Normal 6 2 2 2 2 2 2 2 2 2" xfId="0"/>
    <cellStyle name="Normal 6 2 2 2 2 2 2 2 2 2 2" xfId="0"/>
    <cellStyle name="Normal 6 2 2 2 2 2 2 2 2 2 2 2" xfId="0"/>
    <cellStyle name="Normal 6 2 2 2 2 2 2 2 2 2 2 2 2" xfId="0"/>
    <cellStyle name="Normal 6 2 2 2 2 2 2 2 2 2 2 3" xfId="0"/>
    <cellStyle name="Normal 6 2 2 2 2 2 2 2 2 2 3" xfId="0"/>
    <cellStyle name="Normal 6 2 2 2 2 2 2 2 2 2 3 2" xfId="0"/>
    <cellStyle name="Normal 6 2 2 2 2 2 2 2 2 2 4" xfId="0"/>
    <cellStyle name="Normal 6 2 2 2 2 2 2 2 2 3" xfId="0"/>
    <cellStyle name="Normal 6 2 2 2 2 2 2 2 2 3 2" xfId="0"/>
    <cellStyle name="Normal 6 2 2 2 2 2 2 2 2 3 2 2" xfId="0"/>
    <cellStyle name="Normal 6 2 2 2 2 2 2 2 2 3 3" xfId="0"/>
    <cellStyle name="Normal 6 2 2 2 2 2 2 2 2 4" xfId="0"/>
    <cellStyle name="Normal 6 2 2 2 2 2 2 2 2 4 2" xfId="0"/>
    <cellStyle name="Normal 6 2 2 2 2 2 2 2 2 5" xfId="0"/>
    <cellStyle name="Normal 6 2 2 2 2 2 2 2 3" xfId="0"/>
    <cellStyle name="Normal 6 2 2 2 2 2 2 2 3 2" xfId="0"/>
    <cellStyle name="Normal 6 2 2 2 2 2 2 2 3 2 2" xfId="0"/>
    <cellStyle name="Normal 6 2 2 2 2 2 2 2 3 2 2 2" xfId="0"/>
    <cellStyle name="Normal 6 2 2 2 2 2 2 2 3 2 3" xfId="0"/>
    <cellStyle name="Normal 6 2 2 2 2 2 2 2 3 3" xfId="0"/>
    <cellStyle name="Normal 6 2 2 2 2 2 2 2 3 3 2" xfId="0"/>
    <cellStyle name="Normal 6 2 2 2 2 2 2 2 3 4" xfId="0"/>
    <cellStyle name="Normal 6 2 2 2 2 2 2 2 4" xfId="0"/>
    <cellStyle name="Normal 6 2 2 2 2 2 2 2 4 2" xfId="0"/>
    <cellStyle name="Normal 6 2 2 2 2 2 2 2 4 2 2" xfId="0"/>
    <cellStyle name="Normal 6 2 2 2 2 2 2 2 4 3" xfId="0"/>
    <cellStyle name="Normal 6 2 2 2 2 2 2 2 5" xfId="0"/>
    <cellStyle name="Normal 6 2 2 2 2 2 2 2 5 2" xfId="0"/>
    <cellStyle name="Normal 6 2 2 2 2 2 2 2 6" xfId="0"/>
    <cellStyle name="Normal 6 2 2 2 2 2 2 3" xfId="0"/>
    <cellStyle name="Normal 6 2 2 2 2 2 2 3 2" xfId="0"/>
    <cellStyle name="Normal 6 2 2 2 2 2 2 3 2 2" xfId="0"/>
    <cellStyle name="Normal 6 2 2 2 2 2 2 3 2 2 2" xfId="0"/>
    <cellStyle name="Normal 6 2 2 2 2 2 2 3 2 2 2 2" xfId="0"/>
    <cellStyle name="Normal 6 2 2 2 2 2 2 3 2 2 3" xfId="0"/>
    <cellStyle name="Normal 6 2 2 2 2 2 2 3 2 3" xfId="0"/>
    <cellStyle name="Normal 6 2 2 2 2 2 2 3 2 3 2" xfId="0"/>
    <cellStyle name="Normal 6 2 2 2 2 2 2 3 2 4" xfId="0"/>
    <cellStyle name="Normal 6 2 2 2 2 2 2 3 3" xfId="0"/>
    <cellStyle name="Normal 6 2 2 2 2 2 2 3 3 2" xfId="0"/>
    <cellStyle name="Normal 6 2 2 2 2 2 2 3 3 2 2" xfId="0"/>
    <cellStyle name="Normal 6 2 2 2 2 2 2 3 3 3" xfId="0"/>
    <cellStyle name="Normal 6 2 2 2 2 2 2 3 4" xfId="0"/>
    <cellStyle name="Normal 6 2 2 2 2 2 2 3 4 2" xfId="0"/>
    <cellStyle name="Normal 6 2 2 2 2 2 2 3 5" xfId="0"/>
    <cellStyle name="Normal 6 2 2 2 2 2 2 4" xfId="0"/>
    <cellStyle name="Normal 6 2 2 2 2 2 2 4 2" xfId="0"/>
    <cellStyle name="Normal 6 2 2 2 2 2 2 4 2 2" xfId="0"/>
    <cellStyle name="Normal 6 2 2 2 2 2 2 4 2 2 2" xfId="0"/>
    <cellStyle name="Normal 6 2 2 2 2 2 2 4 2 3" xfId="0"/>
    <cellStyle name="Normal 6 2 2 2 2 2 2 4 3" xfId="0"/>
    <cellStyle name="Normal 6 2 2 2 2 2 2 4 3 2" xfId="0"/>
    <cellStyle name="Normal 6 2 2 2 2 2 2 4 4" xfId="0"/>
    <cellStyle name="Normal 6 2 2 2 2 2 2 5" xfId="0"/>
    <cellStyle name="Normal 6 2 2 2 2 2 2 5 2" xfId="0"/>
    <cellStyle name="Normal 6 2 2 2 2 2 2 5 2 2" xfId="0"/>
    <cellStyle name="Normal 6 2 2 2 2 2 2 5 3" xfId="0"/>
    <cellStyle name="Normal 6 2 2 2 2 2 2 6" xfId="0"/>
    <cellStyle name="Normal 6 2 2 2 2 2 2 6 2" xfId="0"/>
    <cellStyle name="Normal 6 2 2 2 2 2 2 7" xfId="0"/>
    <cellStyle name="Normal 6 2 2 2 2 2 3" xfId="0"/>
    <cellStyle name="Normal 6 2 2 2 2 2 3 2" xfId="0"/>
    <cellStyle name="Normal 6 2 2 2 2 2 3 2 2" xfId="0"/>
    <cellStyle name="Normal 6 2 2 2 2 2 3 2 2 2" xfId="0"/>
    <cellStyle name="Normal 6 2 2 2 2 2 3 2 2 2 2" xfId="0"/>
    <cellStyle name="Normal 6 2 2 2 2 2 3 2 2 2 2 2" xfId="0"/>
    <cellStyle name="Normal 6 2 2 2 2 2 3 2 2 2 3" xfId="0"/>
    <cellStyle name="Normal 6 2 2 2 2 2 3 2 2 3" xfId="0"/>
    <cellStyle name="Normal 6 2 2 2 2 2 3 2 2 3 2" xfId="0"/>
    <cellStyle name="Normal 6 2 2 2 2 2 3 2 2 4" xfId="0"/>
    <cellStyle name="Normal 6 2 2 2 2 2 3 2 3" xfId="0"/>
    <cellStyle name="Normal 6 2 2 2 2 2 3 2 3 2" xfId="0"/>
    <cellStyle name="Normal 6 2 2 2 2 2 3 2 3 2 2" xfId="0"/>
    <cellStyle name="Normal 6 2 2 2 2 2 3 2 3 3" xfId="0"/>
    <cellStyle name="Normal 6 2 2 2 2 2 3 2 4" xfId="0"/>
    <cellStyle name="Normal 6 2 2 2 2 2 3 2 4 2" xfId="0"/>
    <cellStyle name="Normal 6 2 2 2 2 2 3 2 5" xfId="0"/>
    <cellStyle name="Normal 6 2 2 2 2 2 3 3" xfId="0"/>
    <cellStyle name="Normal 6 2 2 2 2 2 3 3 2" xfId="0"/>
    <cellStyle name="Normal 6 2 2 2 2 2 3 3 2 2" xfId="0"/>
    <cellStyle name="Normal 6 2 2 2 2 2 3 3 2 2 2" xfId="0"/>
    <cellStyle name="Normal 6 2 2 2 2 2 3 3 2 3" xfId="0"/>
    <cellStyle name="Normal 6 2 2 2 2 2 3 3 3" xfId="0"/>
    <cellStyle name="Normal 6 2 2 2 2 2 3 3 3 2" xfId="0"/>
    <cellStyle name="Normal 6 2 2 2 2 2 3 3 4" xfId="0"/>
    <cellStyle name="Normal 6 2 2 2 2 2 3 4" xfId="0"/>
    <cellStyle name="Normal 6 2 2 2 2 2 3 4 2" xfId="0"/>
    <cellStyle name="Normal 6 2 2 2 2 2 3 4 2 2" xfId="0"/>
    <cellStyle name="Normal 6 2 2 2 2 2 3 4 3" xfId="0"/>
    <cellStyle name="Normal 6 2 2 2 2 2 3 5" xfId="0"/>
    <cellStyle name="Normal 6 2 2 2 2 2 3 5 2" xfId="0"/>
    <cellStyle name="Normal 6 2 2 2 2 2 3 6" xfId="0"/>
    <cellStyle name="Normal 6 2 2 2 2 2 4" xfId="0"/>
    <cellStyle name="Normal 6 2 2 2 2 2 4 2" xfId="0"/>
    <cellStyle name="Normal 6 2 2 2 2 2 4 2 2" xfId="0"/>
    <cellStyle name="Normal 6 2 2 2 2 2 4 2 2 2" xfId="0"/>
    <cellStyle name="Normal 6 2 2 2 2 2 4 2 2 2 2" xfId="0"/>
    <cellStyle name="Normal 6 2 2 2 2 2 4 2 2 3" xfId="0"/>
    <cellStyle name="Normal 6 2 2 2 2 2 4 2 3" xfId="0"/>
    <cellStyle name="Normal 6 2 2 2 2 2 4 2 3 2" xfId="0"/>
    <cellStyle name="Normal 6 2 2 2 2 2 4 2 4" xfId="0"/>
    <cellStyle name="Normal 6 2 2 2 2 2 4 3" xfId="0"/>
    <cellStyle name="Normal 6 2 2 2 2 2 4 3 2" xfId="0"/>
    <cellStyle name="Normal 6 2 2 2 2 2 4 3 2 2" xfId="0"/>
    <cellStyle name="Normal 6 2 2 2 2 2 4 3 3" xfId="0"/>
    <cellStyle name="Normal 6 2 2 2 2 2 4 4" xfId="0"/>
    <cellStyle name="Normal 6 2 2 2 2 2 4 4 2" xfId="0"/>
    <cellStyle name="Normal 6 2 2 2 2 2 4 5" xfId="0"/>
    <cellStyle name="Normal 6 2 2 2 2 2 5" xfId="0"/>
    <cellStyle name="Normal 6 2 2 2 2 2 5 2" xfId="0"/>
    <cellStyle name="Normal 6 2 2 2 2 2 5 2 2" xfId="0"/>
    <cellStyle name="Normal 6 2 2 2 2 2 5 2 2 2" xfId="0"/>
    <cellStyle name="Normal 6 2 2 2 2 2 5 2 3" xfId="0"/>
    <cellStyle name="Normal 6 2 2 2 2 2 5 3" xfId="0"/>
    <cellStyle name="Normal 6 2 2 2 2 2 5 3 2" xfId="0"/>
    <cellStyle name="Normal 6 2 2 2 2 2 5 4" xfId="0"/>
    <cellStyle name="Normal 6 2 2 2 2 2 6" xfId="0"/>
    <cellStyle name="Normal 6 2 2 2 2 2 6 2" xfId="0"/>
    <cellStyle name="Normal 6 2 2 2 2 2 6 2 2" xfId="0"/>
    <cellStyle name="Normal 6 2 2 2 2 2 6 3" xfId="0"/>
    <cellStyle name="Normal 6 2 2 2 2 2 7" xfId="0"/>
    <cellStyle name="Normal 6 2 2 2 2 2 7 2" xfId="0"/>
    <cellStyle name="Normal 6 2 2 2 2 2 8" xfId="0"/>
    <cellStyle name="Normal 6 2 2 2 2 3" xfId="0"/>
    <cellStyle name="Normal 6 2 2 2 2 3 2" xfId="0"/>
    <cellStyle name="Normal 6 2 2 2 2 3 2 2" xfId="0"/>
    <cellStyle name="Normal 6 2 2 2 2 3 2 2 2" xfId="0"/>
    <cellStyle name="Normal 6 2 2 2 2 3 2 2 2 2" xfId="0"/>
    <cellStyle name="Normal 6 2 2 2 2 3 2 2 2 2 2" xfId="0"/>
    <cellStyle name="Normal 6 2 2 2 2 3 2 2 2 2 2 2" xfId="0"/>
    <cellStyle name="Normal 6 2 2 2 2 3 2 2 2 2 2 2 2" xfId="0"/>
    <cellStyle name="Normal 6 2 2 2 2 3 2 2 2 2 2 3" xfId="0"/>
    <cellStyle name="Normal 6 2 2 2 2 3 2 2 2 2 3" xfId="0"/>
    <cellStyle name="Normal 6 2 2 2 2 3 2 2 2 2 3 2" xfId="0"/>
    <cellStyle name="Normal 6 2 2 2 2 3 2 2 2 2 4" xfId="0"/>
    <cellStyle name="Normal 6 2 2 2 2 3 2 2 2 3" xfId="0"/>
    <cellStyle name="Normal 6 2 2 2 2 3 2 2 2 3 2" xfId="0"/>
    <cellStyle name="Normal 6 2 2 2 2 3 2 2 2 3 2 2" xfId="0"/>
    <cellStyle name="Normal 6 2 2 2 2 3 2 2 2 3 3" xfId="0"/>
    <cellStyle name="Normal 6 2 2 2 2 3 2 2 2 4" xfId="0"/>
    <cellStyle name="Normal 6 2 2 2 2 3 2 2 2 4 2" xfId="0"/>
    <cellStyle name="Normal 6 2 2 2 2 3 2 2 2 5" xfId="0"/>
    <cellStyle name="Normal 6 2 2 2 2 3 2 2 3" xfId="0"/>
    <cellStyle name="Normal 6 2 2 2 2 3 2 2 3 2" xfId="0"/>
    <cellStyle name="Normal 6 2 2 2 2 3 2 2 3 2 2" xfId="0"/>
    <cellStyle name="Normal 6 2 2 2 2 3 2 2 3 2 2 2" xfId="0"/>
    <cellStyle name="Normal 6 2 2 2 2 3 2 2 3 2 3" xfId="0"/>
    <cellStyle name="Normal 6 2 2 2 2 3 2 2 3 3" xfId="0"/>
    <cellStyle name="Normal 6 2 2 2 2 3 2 2 3 3 2" xfId="0"/>
    <cellStyle name="Normal 6 2 2 2 2 3 2 2 3 4" xfId="0"/>
    <cellStyle name="Normal 6 2 2 2 2 3 2 2 4" xfId="0"/>
    <cellStyle name="Normal 6 2 2 2 2 3 2 2 4 2" xfId="0"/>
    <cellStyle name="Normal 6 2 2 2 2 3 2 2 4 2 2" xfId="0"/>
    <cellStyle name="Normal 6 2 2 2 2 3 2 2 4 3" xfId="0"/>
    <cellStyle name="Normal 6 2 2 2 2 3 2 2 5" xfId="0"/>
    <cellStyle name="Normal 6 2 2 2 2 3 2 2 5 2" xfId="0"/>
    <cellStyle name="Normal 6 2 2 2 2 3 2 2 6" xfId="0"/>
    <cellStyle name="Normal 6 2 2 2 2 3 2 3" xfId="0"/>
    <cellStyle name="Normal 6 2 2 2 2 3 2 3 2" xfId="0"/>
    <cellStyle name="Normal 6 2 2 2 2 3 2 3 2 2" xfId="0"/>
    <cellStyle name="Normal 6 2 2 2 2 3 2 3 2 2 2" xfId="0"/>
    <cellStyle name="Normal 6 2 2 2 2 3 2 3 2 2 2 2" xfId="0"/>
    <cellStyle name="Normal 6 2 2 2 2 3 2 3 2 2 3" xfId="0"/>
    <cellStyle name="Normal 6 2 2 2 2 3 2 3 2 3" xfId="0"/>
    <cellStyle name="Normal 6 2 2 2 2 3 2 3 2 3 2" xfId="0"/>
    <cellStyle name="Normal 6 2 2 2 2 3 2 3 2 4" xfId="0"/>
    <cellStyle name="Normal 6 2 2 2 2 3 2 3 3" xfId="0"/>
    <cellStyle name="Normal 6 2 2 2 2 3 2 3 3 2" xfId="0"/>
    <cellStyle name="Normal 6 2 2 2 2 3 2 3 3 2 2" xfId="0"/>
    <cellStyle name="Normal 6 2 2 2 2 3 2 3 3 3" xfId="0"/>
    <cellStyle name="Normal 6 2 2 2 2 3 2 3 4" xfId="0"/>
    <cellStyle name="Normal 6 2 2 2 2 3 2 3 4 2" xfId="0"/>
    <cellStyle name="Normal 6 2 2 2 2 3 2 3 5" xfId="0"/>
    <cellStyle name="Normal 6 2 2 2 2 3 2 4" xfId="0"/>
    <cellStyle name="Normal 6 2 2 2 2 3 2 4 2" xfId="0"/>
    <cellStyle name="Normal 6 2 2 2 2 3 2 4 2 2" xfId="0"/>
    <cellStyle name="Normal 6 2 2 2 2 3 2 4 2 2 2" xfId="0"/>
    <cellStyle name="Normal 6 2 2 2 2 3 2 4 2 3" xfId="0"/>
    <cellStyle name="Normal 6 2 2 2 2 3 2 4 3" xfId="0"/>
    <cellStyle name="Normal 6 2 2 2 2 3 2 4 3 2" xfId="0"/>
    <cellStyle name="Normal 6 2 2 2 2 3 2 4 4" xfId="0"/>
    <cellStyle name="Normal 6 2 2 2 2 3 2 5" xfId="0"/>
    <cellStyle name="Normal 6 2 2 2 2 3 2 5 2" xfId="0"/>
    <cellStyle name="Normal 6 2 2 2 2 3 2 5 2 2" xfId="0"/>
    <cellStyle name="Normal 6 2 2 2 2 3 2 5 3" xfId="0"/>
    <cellStyle name="Normal 6 2 2 2 2 3 2 6" xfId="0"/>
    <cellStyle name="Normal 6 2 2 2 2 3 2 6 2" xfId="0"/>
    <cellStyle name="Normal 6 2 2 2 2 3 2 7" xfId="0"/>
    <cellStyle name="Normal 6 2 2 2 2 3 3" xfId="0"/>
    <cellStyle name="Normal 6 2 2 2 2 3 3 2" xfId="0"/>
    <cellStyle name="Normal 6 2 2 2 2 3 3 2 2" xfId="0"/>
    <cellStyle name="Normal 6 2 2 2 2 3 3 2 2 2" xfId="0"/>
    <cellStyle name="Normal 6 2 2 2 2 3 3 2 2 2 2" xfId="0"/>
    <cellStyle name="Normal 6 2 2 2 2 3 3 2 2 2 2 2" xfId="0"/>
    <cellStyle name="Normal 6 2 2 2 2 3 3 2 2 2 3" xfId="0"/>
    <cellStyle name="Normal 6 2 2 2 2 3 3 2 2 3" xfId="0"/>
    <cellStyle name="Normal 6 2 2 2 2 3 3 2 2 3 2" xfId="0"/>
    <cellStyle name="Normal 6 2 2 2 2 3 3 2 2 4" xfId="0"/>
    <cellStyle name="Normal 6 2 2 2 2 3 3 2 3" xfId="0"/>
    <cellStyle name="Normal 6 2 2 2 2 3 3 2 3 2" xfId="0"/>
    <cellStyle name="Normal 6 2 2 2 2 3 3 2 3 2 2" xfId="0"/>
    <cellStyle name="Normal 6 2 2 2 2 3 3 2 3 3" xfId="0"/>
    <cellStyle name="Normal 6 2 2 2 2 3 3 2 4" xfId="0"/>
    <cellStyle name="Normal 6 2 2 2 2 3 3 2 4 2" xfId="0"/>
    <cellStyle name="Normal 6 2 2 2 2 3 3 2 5" xfId="0"/>
    <cellStyle name="Normal 6 2 2 2 2 3 3 3" xfId="0"/>
    <cellStyle name="Normal 6 2 2 2 2 3 3 3 2" xfId="0"/>
    <cellStyle name="Normal 6 2 2 2 2 3 3 3 2 2" xfId="0"/>
    <cellStyle name="Normal 6 2 2 2 2 3 3 3 2 2 2" xfId="0"/>
    <cellStyle name="Normal 6 2 2 2 2 3 3 3 2 3" xfId="0"/>
    <cellStyle name="Normal 6 2 2 2 2 3 3 3 3" xfId="0"/>
    <cellStyle name="Normal 6 2 2 2 2 3 3 3 3 2" xfId="0"/>
    <cellStyle name="Normal 6 2 2 2 2 3 3 3 4" xfId="0"/>
    <cellStyle name="Normal 6 2 2 2 2 3 3 4" xfId="0"/>
    <cellStyle name="Normal 6 2 2 2 2 3 3 4 2" xfId="0"/>
    <cellStyle name="Normal 6 2 2 2 2 3 3 4 2 2" xfId="0"/>
    <cellStyle name="Normal 6 2 2 2 2 3 3 4 3" xfId="0"/>
    <cellStyle name="Normal 6 2 2 2 2 3 3 5" xfId="0"/>
    <cellStyle name="Normal 6 2 2 2 2 3 3 5 2" xfId="0"/>
    <cellStyle name="Normal 6 2 2 2 2 3 3 6" xfId="0"/>
    <cellStyle name="Normal 6 2 2 2 2 3 4" xfId="0"/>
    <cellStyle name="Normal 6 2 2 2 2 3 4 2" xfId="0"/>
    <cellStyle name="Normal 6 2 2 2 2 3 4 2 2" xfId="0"/>
    <cellStyle name="Normal 6 2 2 2 2 3 4 2 2 2" xfId="0"/>
    <cellStyle name="Normal 6 2 2 2 2 3 4 2 2 2 2" xfId="0"/>
    <cellStyle name="Normal 6 2 2 2 2 3 4 2 2 3" xfId="0"/>
    <cellStyle name="Normal 6 2 2 2 2 3 4 2 3" xfId="0"/>
    <cellStyle name="Normal 6 2 2 2 2 3 4 2 3 2" xfId="0"/>
    <cellStyle name="Normal 6 2 2 2 2 3 4 2 4" xfId="0"/>
    <cellStyle name="Normal 6 2 2 2 2 3 4 3" xfId="0"/>
    <cellStyle name="Normal 6 2 2 2 2 3 4 3 2" xfId="0"/>
    <cellStyle name="Normal 6 2 2 2 2 3 4 3 2 2" xfId="0"/>
    <cellStyle name="Normal 6 2 2 2 2 3 4 3 3" xfId="0"/>
    <cellStyle name="Normal 6 2 2 2 2 3 4 4" xfId="0"/>
    <cellStyle name="Normal 6 2 2 2 2 3 4 4 2" xfId="0"/>
    <cellStyle name="Normal 6 2 2 2 2 3 4 5" xfId="0"/>
    <cellStyle name="Normal 6 2 2 2 2 3 5" xfId="0"/>
    <cellStyle name="Normal 6 2 2 2 2 3 5 2" xfId="0"/>
    <cellStyle name="Normal 6 2 2 2 2 3 5 2 2" xfId="0"/>
    <cellStyle name="Normal 6 2 2 2 2 3 5 2 2 2" xfId="0"/>
    <cellStyle name="Normal 6 2 2 2 2 3 5 2 3" xfId="0"/>
    <cellStyle name="Normal 6 2 2 2 2 3 5 3" xfId="0"/>
    <cellStyle name="Normal 6 2 2 2 2 3 5 3 2" xfId="0"/>
    <cellStyle name="Normal 6 2 2 2 2 3 5 4" xfId="0"/>
    <cellStyle name="Normal 6 2 2 2 2 3 6" xfId="0"/>
    <cellStyle name="Normal 6 2 2 2 2 3 6 2" xfId="0"/>
    <cellStyle name="Normal 6 2 2 2 2 3 6 2 2" xfId="0"/>
    <cellStyle name="Normal 6 2 2 2 2 3 6 3" xfId="0"/>
    <cellStyle name="Normal 6 2 2 2 2 3 7" xfId="0"/>
    <cellStyle name="Normal 6 2 2 2 2 3 7 2" xfId="0"/>
    <cellStyle name="Normal 6 2 2 2 2 3 8" xfId="0"/>
    <cellStyle name="Normal 6 2 2 2 2 4" xfId="0"/>
    <cellStyle name="Normal 6 2 2 2 2 4 2" xfId="0"/>
    <cellStyle name="Normal 6 2 2 2 2 4 2 2" xfId="0"/>
    <cellStyle name="Normal 6 2 2 2 2 4 2 2 2" xfId="0"/>
    <cellStyle name="Normal 6 2 2 2 2 4 2 2 2 2" xfId="0"/>
    <cellStyle name="Normal 6 2 2 2 2 4 2 2 2 2 2" xfId="0"/>
    <cellStyle name="Normal 6 2 2 2 2 4 2 2 2 2 2 2" xfId="0"/>
    <cellStyle name="Normal 6 2 2 2 2 4 2 2 2 2 3" xfId="0"/>
    <cellStyle name="Normal 6 2 2 2 2 4 2 2 2 3" xfId="0"/>
    <cellStyle name="Normal 6 2 2 2 2 4 2 2 2 3 2" xfId="0"/>
    <cellStyle name="Normal 6 2 2 2 2 4 2 2 2 4" xfId="0"/>
    <cellStyle name="Normal 6 2 2 2 2 4 2 2 3" xfId="0"/>
    <cellStyle name="Normal 6 2 2 2 2 4 2 2 3 2" xfId="0"/>
    <cellStyle name="Normal 6 2 2 2 2 4 2 2 3 2 2" xfId="0"/>
    <cellStyle name="Normal 6 2 2 2 2 4 2 2 3 3" xfId="0"/>
    <cellStyle name="Normal 6 2 2 2 2 4 2 2 4" xfId="0"/>
    <cellStyle name="Normal 6 2 2 2 2 4 2 2 4 2" xfId="0"/>
    <cellStyle name="Normal 6 2 2 2 2 4 2 2 5" xfId="0"/>
    <cellStyle name="Normal 6 2 2 2 2 4 2 3" xfId="0"/>
    <cellStyle name="Normal 6 2 2 2 2 4 2 3 2" xfId="0"/>
    <cellStyle name="Normal 6 2 2 2 2 4 2 3 2 2" xfId="0"/>
    <cellStyle name="Normal 6 2 2 2 2 4 2 3 2 2 2" xfId="0"/>
    <cellStyle name="Normal 6 2 2 2 2 4 2 3 2 3" xfId="0"/>
    <cellStyle name="Normal 6 2 2 2 2 4 2 3 3" xfId="0"/>
    <cellStyle name="Normal 6 2 2 2 2 4 2 3 3 2" xfId="0"/>
    <cellStyle name="Normal 6 2 2 2 2 4 2 3 4" xfId="0"/>
    <cellStyle name="Normal 6 2 2 2 2 4 2 4" xfId="0"/>
    <cellStyle name="Normal 6 2 2 2 2 4 2 4 2" xfId="0"/>
    <cellStyle name="Normal 6 2 2 2 2 4 2 4 2 2" xfId="0"/>
    <cellStyle name="Normal 6 2 2 2 2 4 2 4 3" xfId="0"/>
    <cellStyle name="Normal 6 2 2 2 2 4 2 5" xfId="0"/>
    <cellStyle name="Normal 6 2 2 2 2 4 2 5 2" xfId="0"/>
    <cellStyle name="Normal 6 2 2 2 2 4 2 6" xfId="0"/>
    <cellStyle name="Normal 6 2 2 2 2 4 3" xfId="0"/>
    <cellStyle name="Normal 6 2 2 2 2 4 3 2" xfId="0"/>
    <cellStyle name="Normal 6 2 2 2 2 4 3 2 2" xfId="0"/>
    <cellStyle name="Normal 6 2 2 2 2 4 3 2 2 2" xfId="0"/>
    <cellStyle name="Normal 6 2 2 2 2 4 3 2 2 2 2" xfId="0"/>
    <cellStyle name="Normal 6 2 2 2 2 4 3 2 2 3" xfId="0"/>
    <cellStyle name="Normal 6 2 2 2 2 4 3 2 3" xfId="0"/>
    <cellStyle name="Normal 6 2 2 2 2 4 3 2 3 2" xfId="0"/>
    <cellStyle name="Normal 6 2 2 2 2 4 3 2 4" xfId="0"/>
    <cellStyle name="Normal 6 2 2 2 2 4 3 3" xfId="0"/>
    <cellStyle name="Normal 6 2 2 2 2 4 3 3 2" xfId="0"/>
    <cellStyle name="Normal 6 2 2 2 2 4 3 3 2 2" xfId="0"/>
    <cellStyle name="Normal 6 2 2 2 2 4 3 3 3" xfId="0"/>
    <cellStyle name="Normal 6 2 2 2 2 4 3 4" xfId="0"/>
    <cellStyle name="Normal 6 2 2 2 2 4 3 4 2" xfId="0"/>
    <cellStyle name="Normal 6 2 2 2 2 4 3 5" xfId="0"/>
    <cellStyle name="Normal 6 2 2 2 2 4 4" xfId="0"/>
    <cellStyle name="Normal 6 2 2 2 2 4 4 2" xfId="0"/>
    <cellStyle name="Normal 6 2 2 2 2 4 4 2 2" xfId="0"/>
    <cellStyle name="Normal 6 2 2 2 2 4 4 2 2 2" xfId="0"/>
    <cellStyle name="Normal 6 2 2 2 2 4 4 2 3" xfId="0"/>
    <cellStyle name="Normal 6 2 2 2 2 4 4 3" xfId="0"/>
    <cellStyle name="Normal 6 2 2 2 2 4 4 3 2" xfId="0"/>
    <cellStyle name="Normal 6 2 2 2 2 4 4 4" xfId="0"/>
    <cellStyle name="Normal 6 2 2 2 2 4 5" xfId="0"/>
    <cellStyle name="Normal 6 2 2 2 2 4 5 2" xfId="0"/>
    <cellStyle name="Normal 6 2 2 2 2 4 5 2 2" xfId="0"/>
    <cellStyle name="Normal 6 2 2 2 2 4 5 3" xfId="0"/>
    <cellStyle name="Normal 6 2 2 2 2 4 6" xfId="0"/>
    <cellStyle name="Normal 6 2 2 2 2 4 6 2" xfId="0"/>
    <cellStyle name="Normal 6 2 2 2 2 4 7" xfId="0"/>
    <cellStyle name="Normal 6 2 2 2 2 5" xfId="0"/>
    <cellStyle name="Normal 6 2 2 2 2 5 2" xfId="0"/>
    <cellStyle name="Normal 6 2 2 2 2 5 2 2" xfId="0"/>
    <cellStyle name="Normal 6 2 2 2 2 5 2 2 2" xfId="0"/>
    <cellStyle name="Normal 6 2 2 2 2 5 2 2 2 2" xfId="0"/>
    <cellStyle name="Normal 6 2 2 2 2 5 2 2 2 2 2" xfId="0"/>
    <cellStyle name="Normal 6 2 2 2 2 5 2 2 2 2 2 2" xfId="0"/>
    <cellStyle name="Normal 6 2 2 2 2 5 2 2 2 2 3" xfId="0"/>
    <cellStyle name="Normal 6 2 2 2 2 5 2 2 2 3" xfId="0"/>
    <cellStyle name="Normal 6 2 2 2 2 5 2 2 2 3 2" xfId="0"/>
    <cellStyle name="Normal 6 2 2 2 2 5 2 2 2 4" xfId="0"/>
    <cellStyle name="Normal 6 2 2 2 2 5 2 2 3" xfId="0"/>
    <cellStyle name="Normal 6 2 2 2 2 5 2 2 3 2" xfId="0"/>
    <cellStyle name="Normal 6 2 2 2 2 5 2 2 3 2 2" xfId="0"/>
    <cellStyle name="Normal 6 2 2 2 2 5 2 2 3 3" xfId="0"/>
    <cellStyle name="Normal 6 2 2 2 2 5 2 2 4" xfId="0"/>
    <cellStyle name="Normal 6 2 2 2 2 5 2 2 4 2" xfId="0"/>
    <cellStyle name="Normal 6 2 2 2 2 5 2 2 5" xfId="0"/>
    <cellStyle name="Normal 6 2 2 2 2 5 2 3" xfId="0"/>
    <cellStyle name="Normal 6 2 2 2 2 5 2 3 2" xfId="0"/>
    <cellStyle name="Normal 6 2 2 2 2 5 2 3 2 2" xfId="0"/>
    <cellStyle name="Normal 6 2 2 2 2 5 2 3 2 2 2" xfId="0"/>
    <cellStyle name="Normal 6 2 2 2 2 5 2 3 2 3" xfId="0"/>
    <cellStyle name="Normal 6 2 2 2 2 5 2 3 3" xfId="0"/>
    <cellStyle name="Normal 6 2 2 2 2 5 2 3 3 2" xfId="0"/>
    <cellStyle name="Normal 6 2 2 2 2 5 2 3 4" xfId="0"/>
    <cellStyle name="Normal 6 2 2 2 2 5 2 4" xfId="0"/>
    <cellStyle name="Normal 6 2 2 2 2 5 2 4 2" xfId="0"/>
    <cellStyle name="Normal 6 2 2 2 2 5 2 4 2 2" xfId="0"/>
    <cellStyle name="Normal 6 2 2 2 2 5 2 4 3" xfId="0"/>
    <cellStyle name="Normal 6 2 2 2 2 5 2 5" xfId="0"/>
    <cellStyle name="Normal 6 2 2 2 2 5 2 5 2" xfId="0"/>
    <cellStyle name="Normal 6 2 2 2 2 5 2 6" xfId="0"/>
    <cellStyle name="Normal 6 2 2 2 2 5 3" xfId="0"/>
    <cellStyle name="Normal 6 2 2 2 2 5 3 2" xfId="0"/>
    <cellStyle name="Normal 6 2 2 2 2 5 3 2 2" xfId="0"/>
    <cellStyle name="Normal 6 2 2 2 2 5 3 2 2 2" xfId="0"/>
    <cellStyle name="Normal 6 2 2 2 2 5 3 2 2 2 2" xfId="0"/>
    <cellStyle name="Normal 6 2 2 2 2 5 3 2 2 3" xfId="0"/>
    <cellStyle name="Normal 6 2 2 2 2 5 3 2 3" xfId="0"/>
    <cellStyle name="Normal 6 2 2 2 2 5 3 2 3 2" xfId="0"/>
    <cellStyle name="Normal 6 2 2 2 2 5 3 2 4" xfId="0"/>
    <cellStyle name="Normal 6 2 2 2 2 5 3 3" xfId="0"/>
    <cellStyle name="Normal 6 2 2 2 2 5 3 3 2" xfId="0"/>
    <cellStyle name="Normal 6 2 2 2 2 5 3 3 2 2" xfId="0"/>
    <cellStyle name="Normal 6 2 2 2 2 5 3 3 3" xfId="0"/>
    <cellStyle name="Normal 6 2 2 2 2 5 3 4" xfId="0"/>
    <cellStyle name="Normal 6 2 2 2 2 5 3 4 2" xfId="0"/>
    <cellStyle name="Normal 6 2 2 2 2 5 3 5" xfId="0"/>
    <cellStyle name="Normal 6 2 2 2 2 5 4" xfId="0"/>
    <cellStyle name="Normal 6 2 2 2 2 5 4 2" xfId="0"/>
    <cellStyle name="Normal 6 2 2 2 2 5 4 2 2" xfId="0"/>
    <cellStyle name="Normal 6 2 2 2 2 5 4 2 2 2" xfId="0"/>
    <cellStyle name="Normal 6 2 2 2 2 5 4 2 3" xfId="0"/>
    <cellStyle name="Normal 6 2 2 2 2 5 4 3" xfId="0"/>
    <cellStyle name="Normal 6 2 2 2 2 5 4 3 2" xfId="0"/>
    <cellStyle name="Normal 6 2 2 2 2 5 4 4" xfId="0"/>
    <cellStyle name="Normal 6 2 2 2 2 5 5" xfId="0"/>
    <cellStyle name="Normal 6 2 2 2 2 5 5 2" xfId="0"/>
    <cellStyle name="Normal 6 2 2 2 2 5 5 2 2" xfId="0"/>
    <cellStyle name="Normal 6 2 2 2 2 5 5 3" xfId="0"/>
    <cellStyle name="Normal 6 2 2 2 2 5 6" xfId="0"/>
    <cellStyle name="Normal 6 2 2 2 2 5 6 2" xfId="0"/>
    <cellStyle name="Normal 6 2 2 2 2 5 7" xfId="0"/>
    <cellStyle name="Normal 6 2 2 2 2 6" xfId="0"/>
    <cellStyle name="Normal 6 2 2 2 2 6 2" xfId="0"/>
    <cellStyle name="Normal 6 2 2 2 2 6 2 2" xfId="0"/>
    <cellStyle name="Normal 6 2 2 2 2 6 2 2 2" xfId="0"/>
    <cellStyle name="Normal 6 2 2 2 2 6 2 2 2 2" xfId="0"/>
    <cellStyle name="Normal 6 2 2 2 2 6 2 2 2 2 2" xfId="0"/>
    <cellStyle name="Normal 6 2 2 2 2 6 2 2 2 3" xfId="0"/>
    <cellStyle name="Normal 6 2 2 2 2 6 2 2 3" xfId="0"/>
    <cellStyle name="Normal 6 2 2 2 2 6 2 2 3 2" xfId="0"/>
    <cellStyle name="Normal 6 2 2 2 2 6 2 2 4" xfId="0"/>
    <cellStyle name="Normal 6 2 2 2 2 6 2 3" xfId="0"/>
    <cellStyle name="Normal 6 2 2 2 2 6 2 3 2" xfId="0"/>
    <cellStyle name="Normal 6 2 2 2 2 6 2 3 2 2" xfId="0"/>
    <cellStyle name="Normal 6 2 2 2 2 6 2 3 3" xfId="0"/>
    <cellStyle name="Normal 6 2 2 2 2 6 2 4" xfId="0"/>
    <cellStyle name="Normal 6 2 2 2 2 6 2 4 2" xfId="0"/>
    <cellStyle name="Normal 6 2 2 2 2 6 2 5" xfId="0"/>
    <cellStyle name="Normal 6 2 2 2 2 6 3" xfId="0"/>
    <cellStyle name="Normal 6 2 2 2 2 6 3 2" xfId="0"/>
    <cellStyle name="Normal 6 2 2 2 2 6 3 2 2" xfId="0"/>
    <cellStyle name="Normal 6 2 2 2 2 6 3 2 2 2" xfId="0"/>
    <cellStyle name="Normal 6 2 2 2 2 6 3 2 3" xfId="0"/>
    <cellStyle name="Normal 6 2 2 2 2 6 3 3" xfId="0"/>
    <cellStyle name="Normal 6 2 2 2 2 6 3 3 2" xfId="0"/>
    <cellStyle name="Normal 6 2 2 2 2 6 3 4" xfId="0"/>
    <cellStyle name="Normal 6 2 2 2 2 6 4" xfId="0"/>
    <cellStyle name="Normal 6 2 2 2 2 6 4 2" xfId="0"/>
    <cellStyle name="Normal 6 2 2 2 2 6 4 2 2" xfId="0"/>
    <cellStyle name="Normal 6 2 2 2 2 6 4 3" xfId="0"/>
    <cellStyle name="Normal 6 2 2 2 2 6 5" xfId="0"/>
    <cellStyle name="Normal 6 2 2 2 2 6 5 2" xfId="0"/>
    <cellStyle name="Normal 6 2 2 2 2 6 6" xfId="0"/>
    <cellStyle name="Normal 6 2 2 2 2 7" xfId="0"/>
    <cellStyle name="Normal 6 2 2 2 2 7 2" xfId="0"/>
    <cellStyle name="Normal 6 2 2 2 2 7 2 2" xfId="0"/>
    <cellStyle name="Normal 6 2 2 2 2 7 2 2 2" xfId="0"/>
    <cellStyle name="Normal 6 2 2 2 2 7 2 2 2 2" xfId="0"/>
    <cellStyle name="Normal 6 2 2 2 2 7 2 2 3" xfId="0"/>
    <cellStyle name="Normal 6 2 2 2 2 7 2 3" xfId="0"/>
    <cellStyle name="Normal 6 2 2 2 2 7 2 3 2" xfId="0"/>
    <cellStyle name="Normal 6 2 2 2 2 7 2 4" xfId="0"/>
    <cellStyle name="Normal 6 2 2 2 2 7 3" xfId="0"/>
    <cellStyle name="Normal 6 2 2 2 2 7 3 2" xfId="0"/>
    <cellStyle name="Normal 6 2 2 2 2 7 3 2 2" xfId="0"/>
    <cellStyle name="Normal 6 2 2 2 2 7 3 3" xfId="0"/>
    <cellStyle name="Normal 6 2 2 2 2 7 4" xfId="0"/>
    <cellStyle name="Normal 6 2 2 2 2 7 4 2" xfId="0"/>
    <cellStyle name="Normal 6 2 2 2 2 7 5" xfId="0"/>
    <cellStyle name="Normal 6 2 2 2 2 8" xfId="0"/>
    <cellStyle name="Normal 6 2 2 2 2 8 2" xfId="0"/>
    <cellStyle name="Normal 6 2 2 2 2 8 2 2" xfId="0"/>
    <cellStyle name="Normal 6 2 2 2 2 8 2 2 2" xfId="0"/>
    <cellStyle name="Normal 6 2 2 2 2 8 2 3" xfId="0"/>
    <cellStyle name="Normal 6 2 2 2 2 8 3" xfId="0"/>
    <cellStyle name="Normal 6 2 2 2 2 8 3 2" xfId="0"/>
    <cellStyle name="Normal 6 2 2 2 2 8 4" xfId="0"/>
    <cellStyle name="Normal 6 2 2 2 2 9" xfId="0"/>
    <cellStyle name="Normal 6 2 2 2 2 9 2" xfId="0"/>
    <cellStyle name="Normal 6 2 2 2 2 9 2 2" xfId="0"/>
    <cellStyle name="Normal 6 2 2 2 2 9 3" xfId="0"/>
    <cellStyle name="Normal 6 2 2 2 3" xfId="0"/>
    <cellStyle name="Normal 6 2 2 2 3 2" xfId="0"/>
    <cellStyle name="Normal 6 2 2 2 3 2 2" xfId="0"/>
    <cellStyle name="Normal 6 2 2 2 3 2 2 2" xfId="0"/>
    <cellStyle name="Normal 6 2 2 2 3 2 2 2 2" xfId="0"/>
    <cellStyle name="Normal 6 2 2 2 3 2 2 2 2 2" xfId="0"/>
    <cellStyle name="Normal 6 2 2 2 3 2 2 2 2 2 2" xfId="0"/>
    <cellStyle name="Normal 6 2 2 2 3 2 2 2 2 2 2 2" xfId="0"/>
    <cellStyle name="Normal 6 2 2 2 3 2 2 2 2 2 3" xfId="0"/>
    <cellStyle name="Normal 6 2 2 2 3 2 2 2 2 3" xfId="0"/>
    <cellStyle name="Normal 6 2 2 2 3 2 2 2 2 3 2" xfId="0"/>
    <cellStyle name="Normal 6 2 2 2 3 2 2 2 2 4" xfId="0"/>
    <cellStyle name="Normal 6 2 2 2 3 2 2 2 3" xfId="0"/>
    <cellStyle name="Normal 6 2 2 2 3 2 2 2 3 2" xfId="0"/>
    <cellStyle name="Normal 6 2 2 2 3 2 2 2 3 2 2" xfId="0"/>
    <cellStyle name="Normal 6 2 2 2 3 2 2 2 3 3" xfId="0"/>
    <cellStyle name="Normal 6 2 2 2 3 2 2 2 4" xfId="0"/>
    <cellStyle name="Normal 6 2 2 2 3 2 2 2 4 2" xfId="0"/>
    <cellStyle name="Normal 6 2 2 2 3 2 2 2 5" xfId="0"/>
    <cellStyle name="Normal 6 2 2 2 3 2 2 3" xfId="0"/>
    <cellStyle name="Normal 6 2 2 2 3 2 2 3 2" xfId="0"/>
    <cellStyle name="Normal 6 2 2 2 3 2 2 3 2 2" xfId="0"/>
    <cellStyle name="Normal 6 2 2 2 3 2 2 3 2 2 2" xfId="0"/>
    <cellStyle name="Normal 6 2 2 2 3 2 2 3 2 3" xfId="0"/>
    <cellStyle name="Normal 6 2 2 2 3 2 2 3 3" xfId="0"/>
    <cellStyle name="Normal 6 2 2 2 3 2 2 3 3 2" xfId="0"/>
    <cellStyle name="Normal 6 2 2 2 3 2 2 3 4" xfId="0"/>
    <cellStyle name="Normal 6 2 2 2 3 2 2 4" xfId="0"/>
    <cellStyle name="Normal 6 2 2 2 3 2 2 4 2" xfId="0"/>
    <cellStyle name="Normal 6 2 2 2 3 2 2 4 2 2" xfId="0"/>
    <cellStyle name="Normal 6 2 2 2 3 2 2 4 3" xfId="0"/>
    <cellStyle name="Normal 6 2 2 2 3 2 2 5" xfId="0"/>
    <cellStyle name="Normal 6 2 2 2 3 2 2 5 2" xfId="0"/>
    <cellStyle name="Normal 6 2 2 2 3 2 2 6" xfId="0"/>
    <cellStyle name="Normal 6 2 2 2 3 2 3" xfId="0"/>
    <cellStyle name="Normal 6 2 2 2 3 2 3 2" xfId="0"/>
    <cellStyle name="Normal 6 2 2 2 3 2 3 2 2" xfId="0"/>
    <cellStyle name="Normal 6 2 2 2 3 2 3 2 2 2" xfId="0"/>
    <cellStyle name="Normal 6 2 2 2 3 2 3 2 2 2 2" xfId="0"/>
    <cellStyle name="Normal 6 2 2 2 3 2 3 2 2 3" xfId="0"/>
    <cellStyle name="Normal 6 2 2 2 3 2 3 2 3" xfId="0"/>
    <cellStyle name="Normal 6 2 2 2 3 2 3 2 3 2" xfId="0"/>
    <cellStyle name="Normal 6 2 2 2 3 2 3 2 4" xfId="0"/>
    <cellStyle name="Normal 6 2 2 2 3 2 3 3" xfId="0"/>
    <cellStyle name="Normal 6 2 2 2 3 2 3 3 2" xfId="0"/>
    <cellStyle name="Normal 6 2 2 2 3 2 3 3 2 2" xfId="0"/>
    <cellStyle name="Normal 6 2 2 2 3 2 3 3 3" xfId="0"/>
    <cellStyle name="Normal 6 2 2 2 3 2 3 4" xfId="0"/>
    <cellStyle name="Normal 6 2 2 2 3 2 3 4 2" xfId="0"/>
    <cellStyle name="Normal 6 2 2 2 3 2 3 5" xfId="0"/>
    <cellStyle name="Normal 6 2 2 2 3 2 4" xfId="0"/>
    <cellStyle name="Normal 6 2 2 2 3 2 4 2" xfId="0"/>
    <cellStyle name="Normal 6 2 2 2 3 2 4 2 2" xfId="0"/>
    <cellStyle name="Normal 6 2 2 2 3 2 4 2 2 2" xfId="0"/>
    <cellStyle name="Normal 6 2 2 2 3 2 4 2 3" xfId="0"/>
    <cellStyle name="Normal 6 2 2 2 3 2 4 3" xfId="0"/>
    <cellStyle name="Normal 6 2 2 2 3 2 4 3 2" xfId="0"/>
    <cellStyle name="Normal 6 2 2 2 3 2 4 4" xfId="0"/>
    <cellStyle name="Normal 6 2 2 2 3 2 5" xfId="0"/>
    <cellStyle name="Normal 6 2 2 2 3 2 5 2" xfId="0"/>
    <cellStyle name="Normal 6 2 2 2 3 2 5 2 2" xfId="0"/>
    <cellStyle name="Normal 6 2 2 2 3 2 5 3" xfId="0"/>
    <cellStyle name="Normal 6 2 2 2 3 2 6" xfId="0"/>
    <cellStyle name="Normal 6 2 2 2 3 2 6 2" xfId="0"/>
    <cellStyle name="Normal 6 2 2 2 3 2 7" xfId="0"/>
    <cellStyle name="Normal 6 2 2 2 3 3" xfId="0"/>
    <cellStyle name="Normal 6 2 2 2 3 3 2" xfId="0"/>
    <cellStyle name="Normal 6 2 2 2 3 3 2 2" xfId="0"/>
    <cellStyle name="Normal 6 2 2 2 3 3 2 2 2" xfId="0"/>
    <cellStyle name="Normal 6 2 2 2 3 3 2 2 2 2" xfId="0"/>
    <cellStyle name="Normal 6 2 2 2 3 3 2 2 2 2 2" xfId="0"/>
    <cellStyle name="Normal 6 2 2 2 3 3 2 2 2 3" xfId="0"/>
    <cellStyle name="Normal 6 2 2 2 3 3 2 2 3" xfId="0"/>
    <cellStyle name="Normal 6 2 2 2 3 3 2 2 3 2" xfId="0"/>
    <cellStyle name="Normal 6 2 2 2 3 3 2 2 4" xfId="0"/>
    <cellStyle name="Normal 6 2 2 2 3 3 2 3" xfId="0"/>
    <cellStyle name="Normal 6 2 2 2 3 3 2 3 2" xfId="0"/>
    <cellStyle name="Normal 6 2 2 2 3 3 2 3 2 2" xfId="0"/>
    <cellStyle name="Normal 6 2 2 2 3 3 2 3 3" xfId="0"/>
    <cellStyle name="Normal 6 2 2 2 3 3 2 4" xfId="0"/>
    <cellStyle name="Normal 6 2 2 2 3 3 2 4 2" xfId="0"/>
    <cellStyle name="Normal 6 2 2 2 3 3 2 5" xfId="0"/>
    <cellStyle name="Normal 6 2 2 2 3 3 3" xfId="0"/>
    <cellStyle name="Normal 6 2 2 2 3 3 3 2" xfId="0"/>
    <cellStyle name="Normal 6 2 2 2 3 3 3 2 2" xfId="0"/>
    <cellStyle name="Normal 6 2 2 2 3 3 3 2 2 2" xfId="0"/>
    <cellStyle name="Normal 6 2 2 2 3 3 3 2 3" xfId="0"/>
    <cellStyle name="Normal 6 2 2 2 3 3 3 3" xfId="0"/>
    <cellStyle name="Normal 6 2 2 2 3 3 3 3 2" xfId="0"/>
    <cellStyle name="Normal 6 2 2 2 3 3 3 4" xfId="0"/>
    <cellStyle name="Normal 6 2 2 2 3 3 4" xfId="0"/>
    <cellStyle name="Normal 6 2 2 2 3 3 4 2" xfId="0"/>
    <cellStyle name="Normal 6 2 2 2 3 3 4 2 2" xfId="0"/>
    <cellStyle name="Normal 6 2 2 2 3 3 4 3" xfId="0"/>
    <cellStyle name="Normal 6 2 2 2 3 3 5" xfId="0"/>
    <cellStyle name="Normal 6 2 2 2 3 3 5 2" xfId="0"/>
    <cellStyle name="Normal 6 2 2 2 3 3 6" xfId="0"/>
    <cellStyle name="Normal 6 2 2 2 3 4" xfId="0"/>
    <cellStyle name="Normal 6 2 2 2 3 4 2" xfId="0"/>
    <cellStyle name="Normal 6 2 2 2 3 4 2 2" xfId="0"/>
    <cellStyle name="Normal 6 2 2 2 3 4 2 2 2" xfId="0"/>
    <cellStyle name="Normal 6 2 2 2 3 4 2 2 2 2" xfId="0"/>
    <cellStyle name="Normal 6 2 2 2 3 4 2 2 3" xfId="0"/>
    <cellStyle name="Normal 6 2 2 2 3 4 2 3" xfId="0"/>
    <cellStyle name="Normal 6 2 2 2 3 4 2 3 2" xfId="0"/>
    <cellStyle name="Normal 6 2 2 2 3 4 2 4" xfId="0"/>
    <cellStyle name="Normal 6 2 2 2 3 4 3" xfId="0"/>
    <cellStyle name="Normal 6 2 2 2 3 4 3 2" xfId="0"/>
    <cellStyle name="Normal 6 2 2 2 3 4 3 2 2" xfId="0"/>
    <cellStyle name="Normal 6 2 2 2 3 4 3 3" xfId="0"/>
    <cellStyle name="Normal 6 2 2 2 3 4 4" xfId="0"/>
    <cellStyle name="Normal 6 2 2 2 3 4 4 2" xfId="0"/>
    <cellStyle name="Normal 6 2 2 2 3 4 5" xfId="0"/>
    <cellStyle name="Normal 6 2 2 2 3 5" xfId="0"/>
    <cellStyle name="Normal 6 2 2 2 3 5 2" xfId="0"/>
    <cellStyle name="Normal 6 2 2 2 3 5 2 2" xfId="0"/>
    <cellStyle name="Normal 6 2 2 2 3 5 2 2 2" xfId="0"/>
    <cellStyle name="Normal 6 2 2 2 3 5 2 3" xfId="0"/>
    <cellStyle name="Normal 6 2 2 2 3 5 3" xfId="0"/>
    <cellStyle name="Normal 6 2 2 2 3 5 3 2" xfId="0"/>
    <cellStyle name="Normal 6 2 2 2 3 5 4" xfId="0"/>
    <cellStyle name="Normal 6 2 2 2 3 6" xfId="0"/>
    <cellStyle name="Normal 6 2 2 2 3 6 2" xfId="0"/>
    <cellStyle name="Normal 6 2 2 2 3 6 2 2" xfId="0"/>
    <cellStyle name="Normal 6 2 2 2 3 6 3" xfId="0"/>
    <cellStyle name="Normal 6 2 2 2 3 7" xfId="0"/>
    <cellStyle name="Normal 6 2 2 2 3 7 2" xfId="0"/>
    <cellStyle name="Normal 6 2 2 2 3 8" xfId="0"/>
    <cellStyle name="Normal 6 2 2 2 4" xfId="0"/>
    <cellStyle name="Normal 6 2 2 2 4 2" xfId="0"/>
    <cellStyle name="Normal 6 2 2 2 4 2 2" xfId="0"/>
    <cellStyle name="Normal 6 2 2 2 4 2 2 2" xfId="0"/>
    <cellStyle name="Normal 6 2 2 2 4 2 2 2 2" xfId="0"/>
    <cellStyle name="Normal 6 2 2 2 4 2 2 2 2 2" xfId="0"/>
    <cellStyle name="Normal 6 2 2 2 4 2 2 2 2 2 2" xfId="0"/>
    <cellStyle name="Normal 6 2 2 2 4 2 2 2 2 2 2 2" xfId="0"/>
    <cellStyle name="Normal 6 2 2 2 4 2 2 2 2 2 3" xfId="0"/>
    <cellStyle name="Normal 6 2 2 2 4 2 2 2 2 3" xfId="0"/>
    <cellStyle name="Normal 6 2 2 2 4 2 2 2 2 3 2" xfId="0"/>
    <cellStyle name="Normal 6 2 2 2 4 2 2 2 2 4" xfId="0"/>
    <cellStyle name="Normal 6 2 2 2 4 2 2 2 3" xfId="0"/>
    <cellStyle name="Normal 6 2 2 2 4 2 2 2 3 2" xfId="0"/>
    <cellStyle name="Normal 6 2 2 2 4 2 2 2 3 2 2" xfId="0"/>
    <cellStyle name="Normal 6 2 2 2 4 2 2 2 3 3" xfId="0"/>
    <cellStyle name="Normal 6 2 2 2 4 2 2 2 4" xfId="0"/>
    <cellStyle name="Normal 6 2 2 2 4 2 2 2 4 2" xfId="0"/>
    <cellStyle name="Normal 6 2 2 2 4 2 2 2 5" xfId="0"/>
    <cellStyle name="Normal 6 2 2 2 4 2 2 3" xfId="0"/>
    <cellStyle name="Normal 6 2 2 2 4 2 2 3 2" xfId="0"/>
    <cellStyle name="Normal 6 2 2 2 4 2 2 3 2 2" xfId="0"/>
    <cellStyle name="Normal 6 2 2 2 4 2 2 3 2 2 2" xfId="0"/>
    <cellStyle name="Normal 6 2 2 2 4 2 2 3 2 3" xfId="0"/>
    <cellStyle name="Normal 6 2 2 2 4 2 2 3 3" xfId="0"/>
    <cellStyle name="Normal 6 2 2 2 4 2 2 3 3 2" xfId="0"/>
    <cellStyle name="Normal 6 2 2 2 4 2 2 3 4" xfId="0"/>
    <cellStyle name="Normal 6 2 2 2 4 2 2 4" xfId="0"/>
    <cellStyle name="Normal 6 2 2 2 4 2 2 4 2" xfId="0"/>
    <cellStyle name="Normal 6 2 2 2 4 2 2 4 2 2" xfId="0"/>
    <cellStyle name="Normal 6 2 2 2 4 2 2 4 3" xfId="0"/>
    <cellStyle name="Normal 6 2 2 2 4 2 2 5" xfId="0"/>
    <cellStyle name="Normal 6 2 2 2 4 2 2 5 2" xfId="0"/>
    <cellStyle name="Normal 6 2 2 2 4 2 2 6" xfId="0"/>
    <cellStyle name="Normal 6 2 2 2 4 2 3" xfId="0"/>
    <cellStyle name="Normal 6 2 2 2 4 2 3 2" xfId="0"/>
    <cellStyle name="Normal 6 2 2 2 4 2 3 2 2" xfId="0"/>
    <cellStyle name="Normal 6 2 2 2 4 2 3 2 2 2" xfId="0"/>
    <cellStyle name="Normal 6 2 2 2 4 2 3 2 2 2 2" xfId="0"/>
    <cellStyle name="Normal 6 2 2 2 4 2 3 2 2 3" xfId="0"/>
    <cellStyle name="Normal 6 2 2 2 4 2 3 2 3" xfId="0"/>
    <cellStyle name="Normal 6 2 2 2 4 2 3 2 3 2" xfId="0"/>
    <cellStyle name="Normal 6 2 2 2 4 2 3 2 4" xfId="0"/>
    <cellStyle name="Normal 6 2 2 2 4 2 3 3" xfId="0"/>
    <cellStyle name="Normal 6 2 2 2 4 2 3 3 2" xfId="0"/>
    <cellStyle name="Normal 6 2 2 2 4 2 3 3 2 2" xfId="0"/>
    <cellStyle name="Normal 6 2 2 2 4 2 3 3 3" xfId="0"/>
    <cellStyle name="Normal 6 2 2 2 4 2 3 4" xfId="0"/>
    <cellStyle name="Normal 6 2 2 2 4 2 3 4 2" xfId="0"/>
    <cellStyle name="Normal 6 2 2 2 4 2 3 5" xfId="0"/>
    <cellStyle name="Normal 6 2 2 2 4 2 4" xfId="0"/>
    <cellStyle name="Normal 6 2 2 2 4 2 4 2" xfId="0"/>
    <cellStyle name="Normal 6 2 2 2 4 2 4 2 2" xfId="0"/>
    <cellStyle name="Normal 6 2 2 2 4 2 4 2 2 2" xfId="0"/>
    <cellStyle name="Normal 6 2 2 2 4 2 4 2 3" xfId="0"/>
    <cellStyle name="Normal 6 2 2 2 4 2 4 3" xfId="0"/>
    <cellStyle name="Normal 6 2 2 2 4 2 4 3 2" xfId="0"/>
    <cellStyle name="Normal 6 2 2 2 4 2 4 4" xfId="0"/>
    <cellStyle name="Normal 6 2 2 2 4 2 5" xfId="0"/>
    <cellStyle name="Normal 6 2 2 2 4 2 5 2" xfId="0"/>
    <cellStyle name="Normal 6 2 2 2 4 2 5 2 2" xfId="0"/>
    <cellStyle name="Normal 6 2 2 2 4 2 5 3" xfId="0"/>
    <cellStyle name="Normal 6 2 2 2 4 2 6" xfId="0"/>
    <cellStyle name="Normal 6 2 2 2 4 2 6 2" xfId="0"/>
    <cellStyle name="Normal 6 2 2 2 4 2 7" xfId="0"/>
    <cellStyle name="Normal 6 2 2 2 4 3" xfId="0"/>
    <cellStyle name="Normal 6 2 2 2 4 3 2" xfId="0"/>
    <cellStyle name="Normal 6 2 2 2 4 3 2 2" xfId="0"/>
    <cellStyle name="Normal 6 2 2 2 4 3 2 2 2" xfId="0"/>
    <cellStyle name="Normal 6 2 2 2 4 3 2 2 2 2" xfId="0"/>
    <cellStyle name="Normal 6 2 2 2 4 3 2 2 2 2 2" xfId="0"/>
    <cellStyle name="Normal 6 2 2 2 4 3 2 2 2 3" xfId="0"/>
    <cellStyle name="Normal 6 2 2 2 4 3 2 2 3" xfId="0"/>
    <cellStyle name="Normal 6 2 2 2 4 3 2 2 3 2" xfId="0"/>
    <cellStyle name="Normal 6 2 2 2 4 3 2 2 4" xfId="0"/>
    <cellStyle name="Normal 6 2 2 2 4 3 2 3" xfId="0"/>
    <cellStyle name="Normal 6 2 2 2 4 3 2 3 2" xfId="0"/>
    <cellStyle name="Normal 6 2 2 2 4 3 2 3 2 2" xfId="0"/>
    <cellStyle name="Normal 6 2 2 2 4 3 2 3 3" xfId="0"/>
    <cellStyle name="Normal 6 2 2 2 4 3 2 4" xfId="0"/>
    <cellStyle name="Normal 6 2 2 2 4 3 2 4 2" xfId="0"/>
    <cellStyle name="Normal 6 2 2 2 4 3 2 5" xfId="0"/>
    <cellStyle name="Normal 6 2 2 2 4 3 3" xfId="0"/>
    <cellStyle name="Normal 6 2 2 2 4 3 3 2" xfId="0"/>
    <cellStyle name="Normal 6 2 2 2 4 3 3 2 2" xfId="0"/>
    <cellStyle name="Normal 6 2 2 2 4 3 3 2 2 2" xfId="0"/>
    <cellStyle name="Normal 6 2 2 2 4 3 3 2 3" xfId="0"/>
    <cellStyle name="Normal 6 2 2 2 4 3 3 3" xfId="0"/>
    <cellStyle name="Normal 6 2 2 2 4 3 3 3 2" xfId="0"/>
    <cellStyle name="Normal 6 2 2 2 4 3 3 4" xfId="0"/>
    <cellStyle name="Normal 6 2 2 2 4 3 4" xfId="0"/>
    <cellStyle name="Normal 6 2 2 2 4 3 4 2" xfId="0"/>
    <cellStyle name="Normal 6 2 2 2 4 3 4 2 2" xfId="0"/>
    <cellStyle name="Normal 6 2 2 2 4 3 4 3" xfId="0"/>
    <cellStyle name="Normal 6 2 2 2 4 3 5" xfId="0"/>
    <cellStyle name="Normal 6 2 2 2 4 3 5 2" xfId="0"/>
    <cellStyle name="Normal 6 2 2 2 4 3 6" xfId="0"/>
    <cellStyle name="Normal 6 2 2 2 4 4" xfId="0"/>
    <cellStyle name="Normal 6 2 2 2 4 4 2" xfId="0"/>
    <cellStyle name="Normal 6 2 2 2 4 4 2 2" xfId="0"/>
    <cellStyle name="Normal 6 2 2 2 4 4 2 2 2" xfId="0"/>
    <cellStyle name="Normal 6 2 2 2 4 4 2 2 2 2" xfId="0"/>
    <cellStyle name="Normal 6 2 2 2 4 4 2 2 3" xfId="0"/>
    <cellStyle name="Normal 6 2 2 2 4 4 2 3" xfId="0"/>
    <cellStyle name="Normal 6 2 2 2 4 4 2 3 2" xfId="0"/>
    <cellStyle name="Normal 6 2 2 2 4 4 2 4" xfId="0"/>
    <cellStyle name="Normal 6 2 2 2 4 4 3" xfId="0"/>
    <cellStyle name="Normal 6 2 2 2 4 4 3 2" xfId="0"/>
    <cellStyle name="Normal 6 2 2 2 4 4 3 2 2" xfId="0"/>
    <cellStyle name="Normal 6 2 2 2 4 4 3 3" xfId="0"/>
    <cellStyle name="Normal 6 2 2 2 4 4 4" xfId="0"/>
    <cellStyle name="Normal 6 2 2 2 4 4 4 2" xfId="0"/>
    <cellStyle name="Normal 6 2 2 2 4 4 5" xfId="0"/>
    <cellStyle name="Normal 6 2 2 2 4 5" xfId="0"/>
    <cellStyle name="Normal 6 2 2 2 4 5 2" xfId="0"/>
    <cellStyle name="Normal 6 2 2 2 4 5 2 2" xfId="0"/>
    <cellStyle name="Normal 6 2 2 2 4 5 2 2 2" xfId="0"/>
    <cellStyle name="Normal 6 2 2 2 4 5 2 3" xfId="0"/>
    <cellStyle name="Normal 6 2 2 2 4 5 3" xfId="0"/>
    <cellStyle name="Normal 6 2 2 2 4 5 3 2" xfId="0"/>
    <cellStyle name="Normal 6 2 2 2 4 5 4" xfId="0"/>
    <cellStyle name="Normal 6 2 2 2 4 6" xfId="0"/>
    <cellStyle name="Normal 6 2 2 2 4 6 2" xfId="0"/>
    <cellStyle name="Normal 6 2 2 2 4 6 2 2" xfId="0"/>
    <cellStyle name="Normal 6 2 2 2 4 6 3" xfId="0"/>
    <cellStyle name="Normal 6 2 2 2 4 7" xfId="0"/>
    <cellStyle name="Normal 6 2 2 2 4 7 2" xfId="0"/>
    <cellStyle name="Normal 6 2 2 2 4 8" xfId="0"/>
    <cellStyle name="Normal 6 2 2 2 5" xfId="0"/>
    <cellStyle name="Normal 6 2 2 2 5 2" xfId="0"/>
    <cellStyle name="Normal 6 2 2 2 5 2 2" xfId="0"/>
    <cellStyle name="Normal 6 2 2 2 5 2 2 2" xfId="0"/>
    <cellStyle name="Normal 6 2 2 2 5 2 2 2 2" xfId="0"/>
    <cellStyle name="Normal 6 2 2 2 5 2 2 2 2 2" xfId="0"/>
    <cellStyle name="Normal 6 2 2 2 5 2 2 2 2 2 2" xfId="0"/>
    <cellStyle name="Normal 6 2 2 2 5 2 2 2 2 3" xfId="0"/>
    <cellStyle name="Normal 6 2 2 2 5 2 2 2 3" xfId="0"/>
    <cellStyle name="Normal 6 2 2 2 5 2 2 2 3 2" xfId="0"/>
    <cellStyle name="Normal 6 2 2 2 5 2 2 2 4" xfId="0"/>
    <cellStyle name="Normal 6 2 2 2 5 2 2 3" xfId="0"/>
    <cellStyle name="Normal 6 2 2 2 5 2 2 3 2" xfId="0"/>
    <cellStyle name="Normal 6 2 2 2 5 2 2 3 2 2" xfId="0"/>
    <cellStyle name="Normal 6 2 2 2 5 2 2 3 3" xfId="0"/>
    <cellStyle name="Normal 6 2 2 2 5 2 2 4" xfId="0"/>
    <cellStyle name="Normal 6 2 2 2 5 2 2 4 2" xfId="0"/>
    <cellStyle name="Normal 6 2 2 2 5 2 2 5" xfId="0"/>
    <cellStyle name="Normal 6 2 2 2 5 2 3" xfId="0"/>
    <cellStyle name="Normal 6 2 2 2 5 2 3 2" xfId="0"/>
    <cellStyle name="Normal 6 2 2 2 5 2 3 2 2" xfId="0"/>
    <cellStyle name="Normal 6 2 2 2 5 2 3 2 2 2" xfId="0"/>
    <cellStyle name="Normal 6 2 2 2 5 2 3 2 3" xfId="0"/>
    <cellStyle name="Normal 6 2 2 2 5 2 3 3" xfId="0"/>
    <cellStyle name="Normal 6 2 2 2 5 2 3 3 2" xfId="0"/>
    <cellStyle name="Normal 6 2 2 2 5 2 3 4" xfId="0"/>
    <cellStyle name="Normal 6 2 2 2 5 2 4" xfId="0"/>
    <cellStyle name="Normal 6 2 2 2 5 2 4 2" xfId="0"/>
    <cellStyle name="Normal 6 2 2 2 5 2 4 2 2" xfId="0"/>
    <cellStyle name="Normal 6 2 2 2 5 2 4 3" xfId="0"/>
    <cellStyle name="Normal 6 2 2 2 5 2 5" xfId="0"/>
    <cellStyle name="Normal 6 2 2 2 5 2 5 2" xfId="0"/>
    <cellStyle name="Normal 6 2 2 2 5 2 6" xfId="0"/>
    <cellStyle name="Normal 6 2 2 2 5 3" xfId="0"/>
    <cellStyle name="Normal 6 2 2 2 5 3 2" xfId="0"/>
    <cellStyle name="Normal 6 2 2 2 5 3 2 2" xfId="0"/>
    <cellStyle name="Normal 6 2 2 2 5 3 2 2 2" xfId="0"/>
    <cellStyle name="Normal 6 2 2 2 5 3 2 2 2 2" xfId="0"/>
    <cellStyle name="Normal 6 2 2 2 5 3 2 2 3" xfId="0"/>
    <cellStyle name="Normal 6 2 2 2 5 3 2 3" xfId="0"/>
    <cellStyle name="Normal 6 2 2 2 5 3 2 3 2" xfId="0"/>
    <cellStyle name="Normal 6 2 2 2 5 3 2 4" xfId="0"/>
    <cellStyle name="Normal 6 2 2 2 5 3 3" xfId="0"/>
    <cellStyle name="Normal 6 2 2 2 5 3 3 2" xfId="0"/>
    <cellStyle name="Normal 6 2 2 2 5 3 3 2 2" xfId="0"/>
    <cellStyle name="Normal 6 2 2 2 5 3 3 3" xfId="0"/>
    <cellStyle name="Normal 6 2 2 2 5 3 4" xfId="0"/>
    <cellStyle name="Normal 6 2 2 2 5 3 4 2" xfId="0"/>
    <cellStyle name="Normal 6 2 2 2 5 3 5" xfId="0"/>
    <cellStyle name="Normal 6 2 2 2 5 4" xfId="0"/>
    <cellStyle name="Normal 6 2 2 2 5 4 2" xfId="0"/>
    <cellStyle name="Normal 6 2 2 2 5 4 2 2" xfId="0"/>
    <cellStyle name="Normal 6 2 2 2 5 4 2 2 2" xfId="0"/>
    <cellStyle name="Normal 6 2 2 2 5 4 2 3" xfId="0"/>
    <cellStyle name="Normal 6 2 2 2 5 4 3" xfId="0"/>
    <cellStyle name="Normal 6 2 2 2 5 4 3 2" xfId="0"/>
    <cellStyle name="Normal 6 2 2 2 5 4 4" xfId="0"/>
    <cellStyle name="Normal 6 2 2 2 5 5" xfId="0"/>
    <cellStyle name="Normal 6 2 2 2 5 5 2" xfId="0"/>
    <cellStyle name="Normal 6 2 2 2 5 5 2 2" xfId="0"/>
    <cellStyle name="Normal 6 2 2 2 5 5 3" xfId="0"/>
    <cellStyle name="Normal 6 2 2 2 5 6" xfId="0"/>
    <cellStyle name="Normal 6 2 2 2 5 6 2" xfId="0"/>
    <cellStyle name="Normal 6 2 2 2 5 7" xfId="0"/>
    <cellStyle name="Normal 6 2 2 2 6" xfId="0"/>
    <cellStyle name="Normal 6 2 2 2 6 2" xfId="0"/>
    <cellStyle name="Normal 6 2 2 2 6 2 2" xfId="0"/>
    <cellStyle name="Normal 6 2 2 2 6 2 2 2" xfId="0"/>
    <cellStyle name="Normal 6 2 2 2 6 2 2 2 2" xfId="0"/>
    <cellStyle name="Normal 6 2 2 2 6 2 2 2 2 2" xfId="0"/>
    <cellStyle name="Normal 6 2 2 2 6 2 2 2 2 2 2" xfId="0"/>
    <cellStyle name="Normal 6 2 2 2 6 2 2 2 2 3" xfId="0"/>
    <cellStyle name="Normal 6 2 2 2 6 2 2 2 3" xfId="0"/>
    <cellStyle name="Normal 6 2 2 2 6 2 2 2 3 2" xfId="0"/>
    <cellStyle name="Normal 6 2 2 2 6 2 2 2 4" xfId="0"/>
    <cellStyle name="Normal 6 2 2 2 6 2 2 3" xfId="0"/>
    <cellStyle name="Normal 6 2 2 2 6 2 2 3 2" xfId="0"/>
    <cellStyle name="Normal 6 2 2 2 6 2 2 3 2 2" xfId="0"/>
    <cellStyle name="Normal 6 2 2 2 6 2 2 3 3" xfId="0"/>
    <cellStyle name="Normal 6 2 2 2 6 2 2 4" xfId="0"/>
    <cellStyle name="Normal 6 2 2 2 6 2 2 4 2" xfId="0"/>
    <cellStyle name="Normal 6 2 2 2 6 2 2 5" xfId="0"/>
    <cellStyle name="Normal 6 2 2 2 6 2 3" xfId="0"/>
    <cellStyle name="Normal 6 2 2 2 6 2 3 2" xfId="0"/>
    <cellStyle name="Normal 6 2 2 2 6 2 3 2 2" xfId="0"/>
    <cellStyle name="Normal 6 2 2 2 6 2 3 2 2 2" xfId="0"/>
    <cellStyle name="Normal 6 2 2 2 6 2 3 2 3" xfId="0"/>
    <cellStyle name="Normal 6 2 2 2 6 2 3 3" xfId="0"/>
    <cellStyle name="Normal 6 2 2 2 6 2 3 3 2" xfId="0"/>
    <cellStyle name="Normal 6 2 2 2 6 2 3 4" xfId="0"/>
    <cellStyle name="Normal 6 2 2 2 6 2 4" xfId="0"/>
    <cellStyle name="Normal 6 2 2 2 6 2 4 2" xfId="0"/>
    <cellStyle name="Normal 6 2 2 2 6 2 4 2 2" xfId="0"/>
    <cellStyle name="Normal 6 2 2 2 6 2 4 3" xfId="0"/>
    <cellStyle name="Normal 6 2 2 2 6 2 5" xfId="0"/>
    <cellStyle name="Normal 6 2 2 2 6 2 5 2" xfId="0"/>
    <cellStyle name="Normal 6 2 2 2 6 2 6" xfId="0"/>
    <cellStyle name="Normal 6 2 2 2 6 3" xfId="0"/>
    <cellStyle name="Normal 6 2 2 2 6 3 2" xfId="0"/>
    <cellStyle name="Normal 6 2 2 2 6 3 2 2" xfId="0"/>
    <cellStyle name="Normal 6 2 2 2 6 3 2 2 2" xfId="0"/>
    <cellStyle name="Normal 6 2 2 2 6 3 2 2 2 2" xfId="0"/>
    <cellStyle name="Normal 6 2 2 2 6 3 2 2 3" xfId="0"/>
    <cellStyle name="Normal 6 2 2 2 6 3 2 3" xfId="0"/>
    <cellStyle name="Normal 6 2 2 2 6 3 2 3 2" xfId="0"/>
    <cellStyle name="Normal 6 2 2 2 6 3 2 4" xfId="0"/>
    <cellStyle name="Normal 6 2 2 2 6 3 3" xfId="0"/>
    <cellStyle name="Normal 6 2 2 2 6 3 3 2" xfId="0"/>
    <cellStyle name="Normal 6 2 2 2 6 3 3 2 2" xfId="0"/>
    <cellStyle name="Normal 6 2 2 2 6 3 3 3" xfId="0"/>
    <cellStyle name="Normal 6 2 2 2 6 3 4" xfId="0"/>
    <cellStyle name="Normal 6 2 2 2 6 3 4 2" xfId="0"/>
    <cellStyle name="Normal 6 2 2 2 6 3 5" xfId="0"/>
    <cellStyle name="Normal 6 2 2 2 6 4" xfId="0"/>
    <cellStyle name="Normal 6 2 2 2 6 4 2" xfId="0"/>
    <cellStyle name="Normal 6 2 2 2 6 4 2 2" xfId="0"/>
    <cellStyle name="Normal 6 2 2 2 6 4 2 2 2" xfId="0"/>
    <cellStyle name="Normal 6 2 2 2 6 4 2 3" xfId="0"/>
    <cellStyle name="Normal 6 2 2 2 6 4 3" xfId="0"/>
    <cellStyle name="Normal 6 2 2 2 6 4 3 2" xfId="0"/>
    <cellStyle name="Normal 6 2 2 2 6 4 4" xfId="0"/>
    <cellStyle name="Normal 6 2 2 2 6 5" xfId="0"/>
    <cellStyle name="Normal 6 2 2 2 6 5 2" xfId="0"/>
    <cellStyle name="Normal 6 2 2 2 6 5 2 2" xfId="0"/>
    <cellStyle name="Normal 6 2 2 2 6 5 3" xfId="0"/>
    <cellStyle name="Normal 6 2 2 2 6 6" xfId="0"/>
    <cellStyle name="Normal 6 2 2 2 6 6 2" xfId="0"/>
    <cellStyle name="Normal 6 2 2 2 6 7" xfId="0"/>
    <cellStyle name="Normal 6 2 2 2 7" xfId="0"/>
    <cellStyle name="Normal 6 2 2 2 7 2" xfId="0"/>
    <cellStyle name="Normal 6 2 2 2 7 2 2" xfId="0"/>
    <cellStyle name="Normal 6 2 2 2 7 2 2 2" xfId="0"/>
    <cellStyle name="Normal 6 2 2 2 7 2 2 2 2" xfId="0"/>
    <cellStyle name="Normal 6 2 2 2 7 2 2 2 2 2" xfId="0"/>
    <cellStyle name="Normal 6 2 2 2 7 2 2 2 3" xfId="0"/>
    <cellStyle name="Normal 6 2 2 2 7 2 2 3" xfId="0"/>
    <cellStyle name="Normal 6 2 2 2 7 2 2 3 2" xfId="0"/>
    <cellStyle name="Normal 6 2 2 2 7 2 2 4" xfId="0"/>
    <cellStyle name="Normal 6 2 2 2 7 2 3" xfId="0"/>
    <cellStyle name="Normal 6 2 2 2 7 2 3 2" xfId="0"/>
    <cellStyle name="Normal 6 2 2 2 7 2 3 2 2" xfId="0"/>
    <cellStyle name="Normal 6 2 2 2 7 2 3 3" xfId="0"/>
    <cellStyle name="Normal 6 2 2 2 7 2 4" xfId="0"/>
    <cellStyle name="Normal 6 2 2 2 7 2 4 2" xfId="0"/>
    <cellStyle name="Normal 6 2 2 2 7 2 5" xfId="0"/>
    <cellStyle name="Normal 6 2 2 2 7 3" xfId="0"/>
    <cellStyle name="Normal 6 2 2 2 7 3 2" xfId="0"/>
    <cellStyle name="Normal 6 2 2 2 7 3 2 2" xfId="0"/>
    <cellStyle name="Normal 6 2 2 2 7 3 2 2 2" xfId="0"/>
    <cellStyle name="Normal 6 2 2 2 7 3 2 3" xfId="0"/>
    <cellStyle name="Normal 6 2 2 2 7 3 3" xfId="0"/>
    <cellStyle name="Normal 6 2 2 2 7 3 3 2" xfId="0"/>
    <cellStyle name="Normal 6 2 2 2 7 3 4" xfId="0"/>
    <cellStyle name="Normal 6 2 2 2 7 4" xfId="0"/>
    <cellStyle name="Normal 6 2 2 2 7 4 2" xfId="0"/>
    <cellStyle name="Normal 6 2 2 2 7 4 2 2" xfId="0"/>
    <cellStyle name="Normal 6 2 2 2 7 4 3" xfId="0"/>
    <cellStyle name="Normal 6 2 2 2 7 5" xfId="0"/>
    <cellStyle name="Normal 6 2 2 2 7 5 2" xfId="0"/>
    <cellStyle name="Normal 6 2 2 2 7 6" xfId="0"/>
    <cellStyle name="Normal 6 2 2 2 8" xfId="0"/>
    <cellStyle name="Normal 6 2 2 2 8 2" xfId="0"/>
    <cellStyle name="Normal 6 2 2 2 8 2 2" xfId="0"/>
    <cellStyle name="Normal 6 2 2 2 8 2 2 2" xfId="0"/>
    <cellStyle name="Normal 6 2 2 2 8 2 2 2 2" xfId="0"/>
    <cellStyle name="Normal 6 2 2 2 8 2 2 3" xfId="0"/>
    <cellStyle name="Normal 6 2 2 2 8 2 3" xfId="0"/>
    <cellStyle name="Normal 6 2 2 2 8 2 3 2" xfId="0"/>
    <cellStyle name="Normal 6 2 2 2 8 2 4" xfId="0"/>
    <cellStyle name="Normal 6 2 2 2 8 3" xfId="0"/>
    <cellStyle name="Normal 6 2 2 2 8 3 2" xfId="0"/>
    <cellStyle name="Normal 6 2 2 2 8 3 2 2" xfId="0"/>
    <cellStyle name="Normal 6 2 2 2 8 3 3" xfId="0"/>
    <cellStyle name="Normal 6 2 2 2 8 4" xfId="0"/>
    <cellStyle name="Normal 6 2 2 2 8 4 2" xfId="0"/>
    <cellStyle name="Normal 6 2 2 2 8 5" xfId="0"/>
    <cellStyle name="Normal 6 2 2 2 9" xfId="0"/>
    <cellStyle name="Normal 6 2 2 2 9 2" xfId="0"/>
    <cellStyle name="Normal 6 2 2 2 9 2 2" xfId="0"/>
    <cellStyle name="Normal 6 2 2 2 9 2 2 2" xfId="0"/>
    <cellStyle name="Normal 6 2 2 2 9 2 3" xfId="0"/>
    <cellStyle name="Normal 6 2 2 2 9 3" xfId="0"/>
    <cellStyle name="Normal 6 2 2 2 9 3 2" xfId="0"/>
    <cellStyle name="Normal 6 2 2 2 9 4" xfId="0"/>
    <cellStyle name="Normal 6 2 2 3" xfId="0"/>
    <cellStyle name="Normal 6 2 2 3 10" xfId="0"/>
    <cellStyle name="Normal 6 2 2 3 10 2" xfId="0"/>
    <cellStyle name="Normal 6 2 2 3 10 2 2" xfId="0"/>
    <cellStyle name="Normal 6 2 2 3 10 3" xfId="0"/>
    <cellStyle name="Normal 6 2 2 3 11" xfId="0"/>
    <cellStyle name="Normal 6 2 2 3 11 2" xfId="0"/>
    <cellStyle name="Normal 6 2 2 3 12" xfId="0"/>
    <cellStyle name="Normal 6 2 2 3 2" xfId="0"/>
    <cellStyle name="Normal 6 2 2 3 2 10" xfId="0"/>
    <cellStyle name="Normal 6 2 2 3 2 10 2" xfId="0"/>
    <cellStyle name="Normal 6 2 2 3 2 11" xfId="0"/>
    <cellStyle name="Normal 6 2 2 3 2 2" xfId="0"/>
    <cellStyle name="Normal 6 2 2 3 2 2 2" xfId="0"/>
    <cellStyle name="Normal 6 2 2 3 2 2 2 2" xfId="0"/>
    <cellStyle name="Normal 6 2 2 3 2 2 2 2 2" xfId="0"/>
    <cellStyle name="Normal 6 2 2 3 2 2 2 2 2 2" xfId="0"/>
    <cellStyle name="Normal 6 2 2 3 2 2 2 2 2 2 2" xfId="0"/>
    <cellStyle name="Normal 6 2 2 3 2 2 2 2 2 2 2 2" xfId="0"/>
    <cellStyle name="Normal 6 2 2 3 2 2 2 2 2 2 2 2 2" xfId="0"/>
    <cellStyle name="Normal 6 2 2 3 2 2 2 2 2 2 2 3" xfId="0"/>
    <cellStyle name="Normal 6 2 2 3 2 2 2 2 2 2 3" xfId="0"/>
    <cellStyle name="Normal 6 2 2 3 2 2 2 2 2 2 3 2" xfId="0"/>
    <cellStyle name="Normal 6 2 2 3 2 2 2 2 2 2 4" xfId="0"/>
    <cellStyle name="Normal 6 2 2 3 2 2 2 2 2 3" xfId="0"/>
    <cellStyle name="Normal 6 2 2 3 2 2 2 2 2 3 2" xfId="0"/>
    <cellStyle name="Normal 6 2 2 3 2 2 2 2 2 3 2 2" xfId="0"/>
    <cellStyle name="Normal 6 2 2 3 2 2 2 2 2 3 3" xfId="0"/>
    <cellStyle name="Normal 6 2 2 3 2 2 2 2 2 4" xfId="0"/>
    <cellStyle name="Normal 6 2 2 3 2 2 2 2 2 4 2" xfId="0"/>
    <cellStyle name="Normal 6 2 2 3 2 2 2 2 2 5" xfId="0"/>
    <cellStyle name="Normal 6 2 2 3 2 2 2 2 3" xfId="0"/>
    <cellStyle name="Normal 6 2 2 3 2 2 2 2 3 2" xfId="0"/>
    <cellStyle name="Normal 6 2 2 3 2 2 2 2 3 2 2" xfId="0"/>
    <cellStyle name="Normal 6 2 2 3 2 2 2 2 3 2 2 2" xfId="0"/>
    <cellStyle name="Normal 6 2 2 3 2 2 2 2 3 2 3" xfId="0"/>
    <cellStyle name="Normal 6 2 2 3 2 2 2 2 3 3" xfId="0"/>
    <cellStyle name="Normal 6 2 2 3 2 2 2 2 3 3 2" xfId="0"/>
    <cellStyle name="Normal 6 2 2 3 2 2 2 2 3 4" xfId="0"/>
    <cellStyle name="Normal 6 2 2 3 2 2 2 2 4" xfId="0"/>
    <cellStyle name="Normal 6 2 2 3 2 2 2 2 4 2" xfId="0"/>
    <cellStyle name="Normal 6 2 2 3 2 2 2 2 4 2 2" xfId="0"/>
    <cellStyle name="Normal 6 2 2 3 2 2 2 2 4 3" xfId="0"/>
    <cellStyle name="Normal 6 2 2 3 2 2 2 2 5" xfId="0"/>
    <cellStyle name="Normal 6 2 2 3 2 2 2 2 5 2" xfId="0"/>
    <cellStyle name="Normal 6 2 2 3 2 2 2 2 6" xfId="0"/>
    <cellStyle name="Normal 6 2 2 3 2 2 2 3" xfId="0"/>
    <cellStyle name="Normal 6 2 2 3 2 2 2 3 2" xfId="0"/>
    <cellStyle name="Normal 6 2 2 3 2 2 2 3 2 2" xfId="0"/>
    <cellStyle name="Normal 6 2 2 3 2 2 2 3 2 2 2" xfId="0"/>
    <cellStyle name="Normal 6 2 2 3 2 2 2 3 2 2 2 2" xfId="0"/>
    <cellStyle name="Normal 6 2 2 3 2 2 2 3 2 2 3" xfId="0"/>
    <cellStyle name="Normal 6 2 2 3 2 2 2 3 2 3" xfId="0"/>
    <cellStyle name="Normal 6 2 2 3 2 2 2 3 2 3 2" xfId="0"/>
    <cellStyle name="Normal 6 2 2 3 2 2 2 3 2 4" xfId="0"/>
    <cellStyle name="Normal 6 2 2 3 2 2 2 3 3" xfId="0"/>
    <cellStyle name="Normal 6 2 2 3 2 2 2 3 3 2" xfId="0"/>
    <cellStyle name="Normal 6 2 2 3 2 2 2 3 3 2 2" xfId="0"/>
    <cellStyle name="Normal 6 2 2 3 2 2 2 3 3 3" xfId="0"/>
    <cellStyle name="Normal 6 2 2 3 2 2 2 3 4" xfId="0"/>
    <cellStyle name="Normal 6 2 2 3 2 2 2 3 4 2" xfId="0"/>
    <cellStyle name="Normal 6 2 2 3 2 2 2 3 5" xfId="0"/>
    <cellStyle name="Normal 6 2 2 3 2 2 2 4" xfId="0"/>
    <cellStyle name="Normal 6 2 2 3 2 2 2 4 2" xfId="0"/>
    <cellStyle name="Normal 6 2 2 3 2 2 2 4 2 2" xfId="0"/>
    <cellStyle name="Normal 6 2 2 3 2 2 2 4 2 2 2" xfId="0"/>
    <cellStyle name="Normal 6 2 2 3 2 2 2 4 2 3" xfId="0"/>
    <cellStyle name="Normal 6 2 2 3 2 2 2 4 3" xfId="0"/>
    <cellStyle name="Normal 6 2 2 3 2 2 2 4 3 2" xfId="0"/>
    <cellStyle name="Normal 6 2 2 3 2 2 2 4 4" xfId="0"/>
    <cellStyle name="Normal 6 2 2 3 2 2 2 5" xfId="0"/>
    <cellStyle name="Normal 6 2 2 3 2 2 2 5 2" xfId="0"/>
    <cellStyle name="Normal 6 2 2 3 2 2 2 5 2 2" xfId="0"/>
    <cellStyle name="Normal 6 2 2 3 2 2 2 5 3" xfId="0"/>
    <cellStyle name="Normal 6 2 2 3 2 2 2 6" xfId="0"/>
    <cellStyle name="Normal 6 2 2 3 2 2 2 6 2" xfId="0"/>
    <cellStyle name="Normal 6 2 2 3 2 2 2 7" xfId="0"/>
    <cellStyle name="Normal 6 2 2 3 2 2 3" xfId="0"/>
    <cellStyle name="Normal 6 2 2 3 2 2 3 2" xfId="0"/>
    <cellStyle name="Normal 6 2 2 3 2 2 3 2 2" xfId="0"/>
    <cellStyle name="Normal 6 2 2 3 2 2 3 2 2 2" xfId="0"/>
    <cellStyle name="Normal 6 2 2 3 2 2 3 2 2 2 2" xfId="0"/>
    <cellStyle name="Normal 6 2 2 3 2 2 3 2 2 2 2 2" xfId="0"/>
    <cellStyle name="Normal 6 2 2 3 2 2 3 2 2 2 3" xfId="0"/>
    <cellStyle name="Normal 6 2 2 3 2 2 3 2 2 3" xfId="0"/>
    <cellStyle name="Normal 6 2 2 3 2 2 3 2 2 3 2" xfId="0"/>
    <cellStyle name="Normal 6 2 2 3 2 2 3 2 2 4" xfId="0"/>
    <cellStyle name="Normal 6 2 2 3 2 2 3 2 3" xfId="0"/>
    <cellStyle name="Normal 6 2 2 3 2 2 3 2 3 2" xfId="0"/>
    <cellStyle name="Normal 6 2 2 3 2 2 3 2 3 2 2" xfId="0"/>
    <cellStyle name="Normal 6 2 2 3 2 2 3 2 3 3" xfId="0"/>
    <cellStyle name="Normal 6 2 2 3 2 2 3 2 4" xfId="0"/>
    <cellStyle name="Normal 6 2 2 3 2 2 3 2 4 2" xfId="0"/>
    <cellStyle name="Normal 6 2 2 3 2 2 3 2 5" xfId="0"/>
    <cellStyle name="Normal 6 2 2 3 2 2 3 3" xfId="0"/>
    <cellStyle name="Normal 6 2 2 3 2 2 3 3 2" xfId="0"/>
    <cellStyle name="Normal 6 2 2 3 2 2 3 3 2 2" xfId="0"/>
    <cellStyle name="Normal 6 2 2 3 2 2 3 3 2 2 2" xfId="0"/>
    <cellStyle name="Normal 6 2 2 3 2 2 3 3 2 3" xfId="0"/>
    <cellStyle name="Normal 6 2 2 3 2 2 3 3 3" xfId="0"/>
    <cellStyle name="Normal 6 2 2 3 2 2 3 3 3 2" xfId="0"/>
    <cellStyle name="Normal 6 2 2 3 2 2 3 3 4" xfId="0"/>
    <cellStyle name="Normal 6 2 2 3 2 2 3 4" xfId="0"/>
    <cellStyle name="Normal 6 2 2 3 2 2 3 4 2" xfId="0"/>
    <cellStyle name="Normal 6 2 2 3 2 2 3 4 2 2" xfId="0"/>
    <cellStyle name="Normal 6 2 2 3 2 2 3 4 3" xfId="0"/>
    <cellStyle name="Normal 6 2 2 3 2 2 3 5" xfId="0"/>
    <cellStyle name="Normal 6 2 2 3 2 2 3 5 2" xfId="0"/>
    <cellStyle name="Normal 6 2 2 3 2 2 3 6" xfId="0"/>
    <cellStyle name="Normal 6 2 2 3 2 2 4" xfId="0"/>
    <cellStyle name="Normal 6 2 2 3 2 2 4 2" xfId="0"/>
    <cellStyle name="Normal 6 2 2 3 2 2 4 2 2" xfId="0"/>
    <cellStyle name="Normal 6 2 2 3 2 2 4 2 2 2" xfId="0"/>
    <cellStyle name="Normal 6 2 2 3 2 2 4 2 2 2 2" xfId="0"/>
    <cellStyle name="Normal 6 2 2 3 2 2 4 2 2 3" xfId="0"/>
    <cellStyle name="Normal 6 2 2 3 2 2 4 2 3" xfId="0"/>
    <cellStyle name="Normal 6 2 2 3 2 2 4 2 3 2" xfId="0"/>
    <cellStyle name="Normal 6 2 2 3 2 2 4 2 4" xfId="0"/>
    <cellStyle name="Normal 6 2 2 3 2 2 4 3" xfId="0"/>
    <cellStyle name="Normal 6 2 2 3 2 2 4 3 2" xfId="0"/>
    <cellStyle name="Normal 6 2 2 3 2 2 4 3 2 2" xfId="0"/>
    <cellStyle name="Normal 6 2 2 3 2 2 4 3 3" xfId="0"/>
    <cellStyle name="Normal 6 2 2 3 2 2 4 4" xfId="0"/>
    <cellStyle name="Normal 6 2 2 3 2 2 4 4 2" xfId="0"/>
    <cellStyle name="Normal 6 2 2 3 2 2 4 5" xfId="0"/>
    <cellStyle name="Normal 6 2 2 3 2 2 5" xfId="0"/>
    <cellStyle name="Normal 6 2 2 3 2 2 5 2" xfId="0"/>
    <cellStyle name="Normal 6 2 2 3 2 2 5 2 2" xfId="0"/>
    <cellStyle name="Normal 6 2 2 3 2 2 5 2 2 2" xfId="0"/>
    <cellStyle name="Normal 6 2 2 3 2 2 5 2 3" xfId="0"/>
    <cellStyle name="Normal 6 2 2 3 2 2 5 3" xfId="0"/>
    <cellStyle name="Normal 6 2 2 3 2 2 5 3 2" xfId="0"/>
    <cellStyle name="Normal 6 2 2 3 2 2 5 4" xfId="0"/>
    <cellStyle name="Normal 6 2 2 3 2 2 6" xfId="0"/>
    <cellStyle name="Normal 6 2 2 3 2 2 6 2" xfId="0"/>
    <cellStyle name="Normal 6 2 2 3 2 2 6 2 2" xfId="0"/>
    <cellStyle name="Normal 6 2 2 3 2 2 6 3" xfId="0"/>
    <cellStyle name="Normal 6 2 2 3 2 2 7" xfId="0"/>
    <cellStyle name="Normal 6 2 2 3 2 2 7 2" xfId="0"/>
    <cellStyle name="Normal 6 2 2 3 2 2 8" xfId="0"/>
    <cellStyle name="Normal 6 2 2 3 2 3" xfId="0"/>
    <cellStyle name="Normal 6 2 2 3 2 3 2" xfId="0"/>
    <cellStyle name="Normal 6 2 2 3 2 3 2 2" xfId="0"/>
    <cellStyle name="Normal 6 2 2 3 2 3 2 2 2" xfId="0"/>
    <cellStyle name="Normal 6 2 2 3 2 3 2 2 2 2" xfId="0"/>
    <cellStyle name="Normal 6 2 2 3 2 3 2 2 2 2 2" xfId="0"/>
    <cellStyle name="Normal 6 2 2 3 2 3 2 2 2 2 2 2" xfId="0"/>
    <cellStyle name="Normal 6 2 2 3 2 3 2 2 2 2 2 2 2" xfId="0"/>
    <cellStyle name="Normal 6 2 2 3 2 3 2 2 2 2 2 3" xfId="0"/>
    <cellStyle name="Normal 6 2 2 3 2 3 2 2 2 2 3" xfId="0"/>
    <cellStyle name="Normal 6 2 2 3 2 3 2 2 2 2 3 2" xfId="0"/>
    <cellStyle name="Normal 6 2 2 3 2 3 2 2 2 2 4" xfId="0"/>
    <cellStyle name="Normal 6 2 2 3 2 3 2 2 2 3" xfId="0"/>
    <cellStyle name="Normal 6 2 2 3 2 3 2 2 2 3 2" xfId="0"/>
    <cellStyle name="Normal 6 2 2 3 2 3 2 2 2 3 2 2" xfId="0"/>
    <cellStyle name="Normal 6 2 2 3 2 3 2 2 2 3 3" xfId="0"/>
    <cellStyle name="Normal 6 2 2 3 2 3 2 2 2 4" xfId="0"/>
    <cellStyle name="Normal 6 2 2 3 2 3 2 2 2 4 2" xfId="0"/>
    <cellStyle name="Normal 6 2 2 3 2 3 2 2 2 5" xfId="0"/>
    <cellStyle name="Normal 6 2 2 3 2 3 2 2 3" xfId="0"/>
    <cellStyle name="Normal 6 2 2 3 2 3 2 2 3 2" xfId="0"/>
    <cellStyle name="Normal 6 2 2 3 2 3 2 2 3 2 2" xfId="0"/>
    <cellStyle name="Normal 6 2 2 3 2 3 2 2 3 2 2 2" xfId="0"/>
    <cellStyle name="Normal 6 2 2 3 2 3 2 2 3 2 3" xfId="0"/>
    <cellStyle name="Normal 6 2 2 3 2 3 2 2 3 3" xfId="0"/>
    <cellStyle name="Normal 6 2 2 3 2 3 2 2 3 3 2" xfId="0"/>
    <cellStyle name="Normal 6 2 2 3 2 3 2 2 3 4" xfId="0"/>
    <cellStyle name="Normal 6 2 2 3 2 3 2 2 4" xfId="0"/>
    <cellStyle name="Normal 6 2 2 3 2 3 2 2 4 2" xfId="0"/>
    <cellStyle name="Normal 6 2 2 3 2 3 2 2 4 2 2" xfId="0"/>
    <cellStyle name="Normal 6 2 2 3 2 3 2 2 4 3" xfId="0"/>
    <cellStyle name="Normal 6 2 2 3 2 3 2 2 5" xfId="0"/>
    <cellStyle name="Normal 6 2 2 3 2 3 2 2 5 2" xfId="0"/>
    <cellStyle name="Normal 6 2 2 3 2 3 2 2 6" xfId="0"/>
    <cellStyle name="Normal 6 2 2 3 2 3 2 3" xfId="0"/>
    <cellStyle name="Normal 6 2 2 3 2 3 2 3 2" xfId="0"/>
    <cellStyle name="Normal 6 2 2 3 2 3 2 3 2 2" xfId="0"/>
    <cellStyle name="Normal 6 2 2 3 2 3 2 3 2 2 2" xfId="0"/>
    <cellStyle name="Normal 6 2 2 3 2 3 2 3 2 2 2 2" xfId="0"/>
    <cellStyle name="Normal 6 2 2 3 2 3 2 3 2 2 3" xfId="0"/>
    <cellStyle name="Normal 6 2 2 3 2 3 2 3 2 3" xfId="0"/>
    <cellStyle name="Normal 6 2 2 3 2 3 2 3 2 3 2" xfId="0"/>
    <cellStyle name="Normal 6 2 2 3 2 3 2 3 2 4" xfId="0"/>
    <cellStyle name="Normal 6 2 2 3 2 3 2 3 3" xfId="0"/>
    <cellStyle name="Normal 6 2 2 3 2 3 2 3 3 2" xfId="0"/>
    <cellStyle name="Normal 6 2 2 3 2 3 2 3 3 2 2" xfId="0"/>
    <cellStyle name="Normal 6 2 2 3 2 3 2 3 3 3" xfId="0"/>
    <cellStyle name="Normal 6 2 2 3 2 3 2 3 4" xfId="0"/>
    <cellStyle name="Normal 6 2 2 3 2 3 2 3 4 2" xfId="0"/>
    <cellStyle name="Normal 6 2 2 3 2 3 2 3 5" xfId="0"/>
    <cellStyle name="Normal 6 2 2 3 2 3 2 4" xfId="0"/>
    <cellStyle name="Normal 6 2 2 3 2 3 2 4 2" xfId="0"/>
    <cellStyle name="Normal 6 2 2 3 2 3 2 4 2 2" xfId="0"/>
    <cellStyle name="Normal 6 2 2 3 2 3 2 4 2 2 2" xfId="0"/>
    <cellStyle name="Normal 6 2 2 3 2 3 2 4 2 3" xfId="0"/>
    <cellStyle name="Normal 6 2 2 3 2 3 2 4 3" xfId="0"/>
    <cellStyle name="Normal 6 2 2 3 2 3 2 4 3 2" xfId="0"/>
    <cellStyle name="Normal 6 2 2 3 2 3 2 4 4" xfId="0"/>
    <cellStyle name="Normal 6 2 2 3 2 3 2 5" xfId="0"/>
    <cellStyle name="Normal 6 2 2 3 2 3 2 5 2" xfId="0"/>
    <cellStyle name="Normal 6 2 2 3 2 3 2 5 2 2" xfId="0"/>
    <cellStyle name="Normal 6 2 2 3 2 3 2 5 3" xfId="0"/>
    <cellStyle name="Normal 6 2 2 3 2 3 2 6" xfId="0"/>
    <cellStyle name="Normal 6 2 2 3 2 3 2 6 2" xfId="0"/>
    <cellStyle name="Normal 6 2 2 3 2 3 2 7" xfId="0"/>
    <cellStyle name="Normal 6 2 2 3 2 3 3" xfId="0"/>
    <cellStyle name="Normal 6 2 2 3 2 3 3 2" xfId="0"/>
    <cellStyle name="Normal 6 2 2 3 2 3 3 2 2" xfId="0"/>
    <cellStyle name="Normal 6 2 2 3 2 3 3 2 2 2" xfId="0"/>
    <cellStyle name="Normal 6 2 2 3 2 3 3 2 2 2 2" xfId="0"/>
    <cellStyle name="Normal 6 2 2 3 2 3 3 2 2 2 2 2" xfId="0"/>
    <cellStyle name="Normal 6 2 2 3 2 3 3 2 2 2 3" xfId="0"/>
    <cellStyle name="Normal 6 2 2 3 2 3 3 2 2 3" xfId="0"/>
    <cellStyle name="Normal 6 2 2 3 2 3 3 2 2 3 2" xfId="0"/>
    <cellStyle name="Normal 6 2 2 3 2 3 3 2 2 4" xfId="0"/>
    <cellStyle name="Normal 6 2 2 3 2 3 3 2 3" xfId="0"/>
    <cellStyle name="Normal 6 2 2 3 2 3 3 2 3 2" xfId="0"/>
    <cellStyle name="Normal 6 2 2 3 2 3 3 2 3 2 2" xfId="0"/>
    <cellStyle name="Normal 6 2 2 3 2 3 3 2 3 3" xfId="0"/>
    <cellStyle name="Normal 6 2 2 3 2 3 3 2 4" xfId="0"/>
    <cellStyle name="Normal 6 2 2 3 2 3 3 2 4 2" xfId="0"/>
    <cellStyle name="Normal 6 2 2 3 2 3 3 2 5" xfId="0"/>
    <cellStyle name="Normal 6 2 2 3 2 3 3 3" xfId="0"/>
    <cellStyle name="Normal 6 2 2 3 2 3 3 3 2" xfId="0"/>
    <cellStyle name="Normal 6 2 2 3 2 3 3 3 2 2" xfId="0"/>
    <cellStyle name="Normal 6 2 2 3 2 3 3 3 2 2 2" xfId="0"/>
    <cellStyle name="Normal 6 2 2 3 2 3 3 3 2 3" xfId="0"/>
    <cellStyle name="Normal 6 2 2 3 2 3 3 3 3" xfId="0"/>
    <cellStyle name="Normal 6 2 2 3 2 3 3 3 3 2" xfId="0"/>
    <cellStyle name="Normal 6 2 2 3 2 3 3 3 4" xfId="0"/>
    <cellStyle name="Normal 6 2 2 3 2 3 3 4" xfId="0"/>
    <cellStyle name="Normal 6 2 2 3 2 3 3 4 2" xfId="0"/>
    <cellStyle name="Normal 6 2 2 3 2 3 3 4 2 2" xfId="0"/>
    <cellStyle name="Normal 6 2 2 3 2 3 3 4 3" xfId="0"/>
    <cellStyle name="Normal 6 2 2 3 2 3 3 5" xfId="0"/>
    <cellStyle name="Normal 6 2 2 3 2 3 3 5 2" xfId="0"/>
    <cellStyle name="Normal 6 2 2 3 2 3 3 6" xfId="0"/>
    <cellStyle name="Normal 6 2 2 3 2 3 4" xfId="0"/>
    <cellStyle name="Normal 6 2 2 3 2 3 4 2" xfId="0"/>
    <cellStyle name="Normal 6 2 2 3 2 3 4 2 2" xfId="0"/>
    <cellStyle name="Normal 6 2 2 3 2 3 4 2 2 2" xfId="0"/>
    <cellStyle name="Normal 6 2 2 3 2 3 4 2 2 2 2" xfId="0"/>
    <cellStyle name="Normal 6 2 2 3 2 3 4 2 2 3" xfId="0"/>
    <cellStyle name="Normal 6 2 2 3 2 3 4 2 3" xfId="0"/>
    <cellStyle name="Normal 6 2 2 3 2 3 4 2 3 2" xfId="0"/>
    <cellStyle name="Normal 6 2 2 3 2 3 4 2 4" xfId="0"/>
    <cellStyle name="Normal 6 2 2 3 2 3 4 3" xfId="0"/>
    <cellStyle name="Normal 6 2 2 3 2 3 4 3 2" xfId="0"/>
    <cellStyle name="Normal 6 2 2 3 2 3 4 3 2 2" xfId="0"/>
    <cellStyle name="Normal 6 2 2 3 2 3 4 3 3" xfId="0"/>
    <cellStyle name="Normal 6 2 2 3 2 3 4 4" xfId="0"/>
    <cellStyle name="Normal 6 2 2 3 2 3 4 4 2" xfId="0"/>
    <cellStyle name="Normal 6 2 2 3 2 3 4 5" xfId="0"/>
    <cellStyle name="Normal 6 2 2 3 2 3 5" xfId="0"/>
    <cellStyle name="Normal 6 2 2 3 2 3 5 2" xfId="0"/>
    <cellStyle name="Normal 6 2 2 3 2 3 5 2 2" xfId="0"/>
    <cellStyle name="Normal 6 2 2 3 2 3 5 2 2 2" xfId="0"/>
    <cellStyle name="Normal 6 2 2 3 2 3 5 2 3" xfId="0"/>
    <cellStyle name="Normal 6 2 2 3 2 3 5 3" xfId="0"/>
    <cellStyle name="Normal 6 2 2 3 2 3 5 3 2" xfId="0"/>
    <cellStyle name="Normal 6 2 2 3 2 3 5 4" xfId="0"/>
    <cellStyle name="Normal 6 2 2 3 2 3 6" xfId="0"/>
    <cellStyle name="Normal 6 2 2 3 2 3 6 2" xfId="0"/>
    <cellStyle name="Normal 6 2 2 3 2 3 6 2 2" xfId="0"/>
    <cellStyle name="Normal 6 2 2 3 2 3 6 3" xfId="0"/>
    <cellStyle name="Normal 6 2 2 3 2 3 7" xfId="0"/>
    <cellStyle name="Normal 6 2 2 3 2 3 7 2" xfId="0"/>
    <cellStyle name="Normal 6 2 2 3 2 3 8" xfId="0"/>
    <cellStyle name="Normal 6 2 2 3 2 4" xfId="0"/>
    <cellStyle name="Normal 6 2 2 3 2 4 2" xfId="0"/>
    <cellStyle name="Normal 6 2 2 3 2 4 2 2" xfId="0"/>
    <cellStyle name="Normal 6 2 2 3 2 4 2 2 2" xfId="0"/>
    <cellStyle name="Normal 6 2 2 3 2 4 2 2 2 2" xfId="0"/>
    <cellStyle name="Normal 6 2 2 3 2 4 2 2 2 2 2" xfId="0"/>
    <cellStyle name="Normal 6 2 2 3 2 4 2 2 2 2 2 2" xfId="0"/>
    <cellStyle name="Normal 6 2 2 3 2 4 2 2 2 2 3" xfId="0"/>
    <cellStyle name="Normal 6 2 2 3 2 4 2 2 2 3" xfId="0"/>
    <cellStyle name="Normal 6 2 2 3 2 4 2 2 2 3 2" xfId="0"/>
    <cellStyle name="Normal 6 2 2 3 2 4 2 2 2 4" xfId="0"/>
    <cellStyle name="Normal 6 2 2 3 2 4 2 2 3" xfId="0"/>
    <cellStyle name="Normal 6 2 2 3 2 4 2 2 3 2" xfId="0"/>
    <cellStyle name="Normal 6 2 2 3 2 4 2 2 3 2 2" xfId="0"/>
    <cellStyle name="Normal 6 2 2 3 2 4 2 2 3 3" xfId="0"/>
    <cellStyle name="Normal 6 2 2 3 2 4 2 2 4" xfId="0"/>
    <cellStyle name="Normal 6 2 2 3 2 4 2 2 4 2" xfId="0"/>
    <cellStyle name="Normal 6 2 2 3 2 4 2 2 5" xfId="0"/>
    <cellStyle name="Normal 6 2 2 3 2 4 2 3" xfId="0"/>
    <cellStyle name="Normal 6 2 2 3 2 4 2 3 2" xfId="0"/>
    <cellStyle name="Normal 6 2 2 3 2 4 2 3 2 2" xfId="0"/>
    <cellStyle name="Normal 6 2 2 3 2 4 2 3 2 2 2" xfId="0"/>
    <cellStyle name="Normal 6 2 2 3 2 4 2 3 2 3" xfId="0"/>
    <cellStyle name="Normal 6 2 2 3 2 4 2 3 3" xfId="0"/>
    <cellStyle name="Normal 6 2 2 3 2 4 2 3 3 2" xfId="0"/>
    <cellStyle name="Normal 6 2 2 3 2 4 2 3 4" xfId="0"/>
    <cellStyle name="Normal 6 2 2 3 2 4 2 4" xfId="0"/>
    <cellStyle name="Normal 6 2 2 3 2 4 2 4 2" xfId="0"/>
    <cellStyle name="Normal 6 2 2 3 2 4 2 4 2 2" xfId="0"/>
    <cellStyle name="Normal 6 2 2 3 2 4 2 4 3" xfId="0"/>
    <cellStyle name="Normal 6 2 2 3 2 4 2 5" xfId="0"/>
    <cellStyle name="Normal 6 2 2 3 2 4 2 5 2" xfId="0"/>
    <cellStyle name="Normal 6 2 2 3 2 4 2 6" xfId="0"/>
    <cellStyle name="Normal 6 2 2 3 2 4 3" xfId="0"/>
    <cellStyle name="Normal 6 2 2 3 2 4 3 2" xfId="0"/>
    <cellStyle name="Normal 6 2 2 3 2 4 3 2 2" xfId="0"/>
    <cellStyle name="Normal 6 2 2 3 2 4 3 2 2 2" xfId="0"/>
    <cellStyle name="Normal 6 2 2 3 2 4 3 2 2 2 2" xfId="0"/>
    <cellStyle name="Normal 6 2 2 3 2 4 3 2 2 3" xfId="0"/>
    <cellStyle name="Normal 6 2 2 3 2 4 3 2 3" xfId="0"/>
    <cellStyle name="Normal 6 2 2 3 2 4 3 2 3 2" xfId="0"/>
    <cellStyle name="Normal 6 2 2 3 2 4 3 2 4" xfId="0"/>
    <cellStyle name="Normal 6 2 2 3 2 4 3 3" xfId="0"/>
    <cellStyle name="Normal 6 2 2 3 2 4 3 3 2" xfId="0"/>
    <cellStyle name="Normal 6 2 2 3 2 4 3 3 2 2" xfId="0"/>
    <cellStyle name="Normal 6 2 2 3 2 4 3 3 3" xfId="0"/>
    <cellStyle name="Normal 6 2 2 3 2 4 3 4" xfId="0"/>
    <cellStyle name="Normal 6 2 2 3 2 4 3 4 2" xfId="0"/>
    <cellStyle name="Normal 6 2 2 3 2 4 3 5" xfId="0"/>
    <cellStyle name="Normal 6 2 2 3 2 4 4" xfId="0"/>
    <cellStyle name="Normal 6 2 2 3 2 4 4 2" xfId="0"/>
    <cellStyle name="Normal 6 2 2 3 2 4 4 2 2" xfId="0"/>
    <cellStyle name="Normal 6 2 2 3 2 4 4 2 2 2" xfId="0"/>
    <cellStyle name="Normal 6 2 2 3 2 4 4 2 3" xfId="0"/>
    <cellStyle name="Normal 6 2 2 3 2 4 4 3" xfId="0"/>
    <cellStyle name="Normal 6 2 2 3 2 4 4 3 2" xfId="0"/>
    <cellStyle name="Normal 6 2 2 3 2 4 4 4" xfId="0"/>
    <cellStyle name="Normal 6 2 2 3 2 4 5" xfId="0"/>
    <cellStyle name="Normal 6 2 2 3 2 4 5 2" xfId="0"/>
    <cellStyle name="Normal 6 2 2 3 2 4 5 2 2" xfId="0"/>
    <cellStyle name="Normal 6 2 2 3 2 4 5 3" xfId="0"/>
    <cellStyle name="Normal 6 2 2 3 2 4 6" xfId="0"/>
    <cellStyle name="Normal 6 2 2 3 2 4 6 2" xfId="0"/>
    <cellStyle name="Normal 6 2 2 3 2 4 7" xfId="0"/>
    <cellStyle name="Normal 6 2 2 3 2 5" xfId="0"/>
    <cellStyle name="Normal 6 2 2 3 2 5 2" xfId="0"/>
    <cellStyle name="Normal 6 2 2 3 2 5 2 2" xfId="0"/>
    <cellStyle name="Normal 6 2 2 3 2 5 2 2 2" xfId="0"/>
    <cellStyle name="Normal 6 2 2 3 2 5 2 2 2 2" xfId="0"/>
    <cellStyle name="Normal 6 2 2 3 2 5 2 2 2 2 2" xfId="0"/>
    <cellStyle name="Normal 6 2 2 3 2 5 2 2 2 2 2 2" xfId="0"/>
    <cellStyle name="Normal 6 2 2 3 2 5 2 2 2 2 3" xfId="0"/>
    <cellStyle name="Normal 6 2 2 3 2 5 2 2 2 3" xfId="0"/>
    <cellStyle name="Normal 6 2 2 3 2 5 2 2 2 3 2" xfId="0"/>
    <cellStyle name="Normal 6 2 2 3 2 5 2 2 2 4" xfId="0"/>
    <cellStyle name="Normal 6 2 2 3 2 5 2 2 3" xfId="0"/>
    <cellStyle name="Normal 6 2 2 3 2 5 2 2 3 2" xfId="0"/>
    <cellStyle name="Normal 6 2 2 3 2 5 2 2 3 2 2" xfId="0"/>
    <cellStyle name="Normal 6 2 2 3 2 5 2 2 3 3" xfId="0"/>
    <cellStyle name="Normal 6 2 2 3 2 5 2 2 4" xfId="0"/>
    <cellStyle name="Normal 6 2 2 3 2 5 2 2 4 2" xfId="0"/>
    <cellStyle name="Normal 6 2 2 3 2 5 2 2 5" xfId="0"/>
    <cellStyle name="Normal 6 2 2 3 2 5 2 3" xfId="0"/>
    <cellStyle name="Normal 6 2 2 3 2 5 2 3 2" xfId="0"/>
    <cellStyle name="Normal 6 2 2 3 2 5 2 3 2 2" xfId="0"/>
    <cellStyle name="Normal 6 2 2 3 2 5 2 3 2 2 2" xfId="0"/>
    <cellStyle name="Normal 6 2 2 3 2 5 2 3 2 3" xfId="0"/>
    <cellStyle name="Normal 6 2 2 3 2 5 2 3 3" xfId="0"/>
    <cellStyle name="Normal 6 2 2 3 2 5 2 3 3 2" xfId="0"/>
    <cellStyle name="Normal 6 2 2 3 2 5 2 3 4" xfId="0"/>
    <cellStyle name="Normal 6 2 2 3 2 5 2 4" xfId="0"/>
    <cellStyle name="Normal 6 2 2 3 2 5 2 4 2" xfId="0"/>
    <cellStyle name="Normal 6 2 2 3 2 5 2 4 2 2" xfId="0"/>
    <cellStyle name="Normal 6 2 2 3 2 5 2 4 3" xfId="0"/>
    <cellStyle name="Normal 6 2 2 3 2 5 2 5" xfId="0"/>
    <cellStyle name="Normal 6 2 2 3 2 5 2 5 2" xfId="0"/>
    <cellStyle name="Normal 6 2 2 3 2 5 2 6" xfId="0"/>
    <cellStyle name="Normal 6 2 2 3 2 5 3" xfId="0"/>
    <cellStyle name="Normal 6 2 2 3 2 5 3 2" xfId="0"/>
    <cellStyle name="Normal 6 2 2 3 2 5 3 2 2" xfId="0"/>
    <cellStyle name="Normal 6 2 2 3 2 5 3 2 2 2" xfId="0"/>
    <cellStyle name="Normal 6 2 2 3 2 5 3 2 2 2 2" xfId="0"/>
    <cellStyle name="Normal 6 2 2 3 2 5 3 2 2 3" xfId="0"/>
    <cellStyle name="Normal 6 2 2 3 2 5 3 2 3" xfId="0"/>
    <cellStyle name="Normal 6 2 2 3 2 5 3 2 3 2" xfId="0"/>
    <cellStyle name="Normal 6 2 2 3 2 5 3 2 4" xfId="0"/>
    <cellStyle name="Normal 6 2 2 3 2 5 3 3" xfId="0"/>
    <cellStyle name="Normal 6 2 2 3 2 5 3 3 2" xfId="0"/>
    <cellStyle name="Normal 6 2 2 3 2 5 3 3 2 2" xfId="0"/>
    <cellStyle name="Normal 6 2 2 3 2 5 3 3 3" xfId="0"/>
    <cellStyle name="Normal 6 2 2 3 2 5 3 4" xfId="0"/>
    <cellStyle name="Normal 6 2 2 3 2 5 3 4 2" xfId="0"/>
    <cellStyle name="Normal 6 2 2 3 2 5 3 5" xfId="0"/>
    <cellStyle name="Normal 6 2 2 3 2 5 4" xfId="0"/>
    <cellStyle name="Normal 6 2 2 3 2 5 4 2" xfId="0"/>
    <cellStyle name="Normal 6 2 2 3 2 5 4 2 2" xfId="0"/>
    <cellStyle name="Normal 6 2 2 3 2 5 4 2 2 2" xfId="0"/>
    <cellStyle name="Normal 6 2 2 3 2 5 4 2 3" xfId="0"/>
    <cellStyle name="Normal 6 2 2 3 2 5 4 3" xfId="0"/>
    <cellStyle name="Normal 6 2 2 3 2 5 4 3 2" xfId="0"/>
    <cellStyle name="Normal 6 2 2 3 2 5 4 4" xfId="0"/>
    <cellStyle name="Normal 6 2 2 3 2 5 5" xfId="0"/>
    <cellStyle name="Normal 6 2 2 3 2 5 5 2" xfId="0"/>
    <cellStyle name="Normal 6 2 2 3 2 5 5 2 2" xfId="0"/>
    <cellStyle name="Normal 6 2 2 3 2 5 5 3" xfId="0"/>
    <cellStyle name="Normal 6 2 2 3 2 5 6" xfId="0"/>
    <cellStyle name="Normal 6 2 2 3 2 5 6 2" xfId="0"/>
    <cellStyle name="Normal 6 2 2 3 2 5 7" xfId="0"/>
    <cellStyle name="Normal 6 2 2 3 2 6" xfId="0"/>
    <cellStyle name="Normal 6 2 2 3 2 6 2" xfId="0"/>
    <cellStyle name="Normal 6 2 2 3 2 6 2 2" xfId="0"/>
    <cellStyle name="Normal 6 2 2 3 2 6 2 2 2" xfId="0"/>
    <cellStyle name="Normal 6 2 2 3 2 6 2 2 2 2" xfId="0"/>
    <cellStyle name="Normal 6 2 2 3 2 6 2 2 2 2 2" xfId="0"/>
    <cellStyle name="Normal 6 2 2 3 2 6 2 2 2 3" xfId="0"/>
    <cellStyle name="Normal 6 2 2 3 2 6 2 2 3" xfId="0"/>
    <cellStyle name="Normal 6 2 2 3 2 6 2 2 3 2" xfId="0"/>
    <cellStyle name="Normal 6 2 2 3 2 6 2 2 4" xfId="0"/>
    <cellStyle name="Normal 6 2 2 3 2 6 2 3" xfId="0"/>
    <cellStyle name="Normal 6 2 2 3 2 6 2 3 2" xfId="0"/>
    <cellStyle name="Normal 6 2 2 3 2 6 2 3 2 2" xfId="0"/>
    <cellStyle name="Normal 6 2 2 3 2 6 2 3 3" xfId="0"/>
    <cellStyle name="Normal 6 2 2 3 2 6 2 4" xfId="0"/>
    <cellStyle name="Normal 6 2 2 3 2 6 2 4 2" xfId="0"/>
    <cellStyle name="Normal 6 2 2 3 2 6 2 5" xfId="0"/>
    <cellStyle name="Normal 6 2 2 3 2 6 3" xfId="0"/>
    <cellStyle name="Normal 6 2 2 3 2 6 3 2" xfId="0"/>
    <cellStyle name="Normal 6 2 2 3 2 6 3 2 2" xfId="0"/>
    <cellStyle name="Normal 6 2 2 3 2 6 3 2 2 2" xfId="0"/>
    <cellStyle name="Normal 6 2 2 3 2 6 3 2 3" xfId="0"/>
    <cellStyle name="Normal 6 2 2 3 2 6 3 3" xfId="0"/>
    <cellStyle name="Normal 6 2 2 3 2 6 3 3 2" xfId="0"/>
    <cellStyle name="Normal 6 2 2 3 2 6 3 4" xfId="0"/>
    <cellStyle name="Normal 6 2 2 3 2 6 4" xfId="0"/>
    <cellStyle name="Normal 6 2 2 3 2 6 4 2" xfId="0"/>
    <cellStyle name="Normal 6 2 2 3 2 6 4 2 2" xfId="0"/>
    <cellStyle name="Normal 6 2 2 3 2 6 4 3" xfId="0"/>
    <cellStyle name="Normal 6 2 2 3 2 6 5" xfId="0"/>
    <cellStyle name="Normal 6 2 2 3 2 6 5 2" xfId="0"/>
    <cellStyle name="Normal 6 2 2 3 2 6 6" xfId="0"/>
    <cellStyle name="Normal 6 2 2 3 2 7" xfId="0"/>
    <cellStyle name="Normal 6 2 2 3 2 7 2" xfId="0"/>
    <cellStyle name="Normal 6 2 2 3 2 7 2 2" xfId="0"/>
    <cellStyle name="Normal 6 2 2 3 2 7 2 2 2" xfId="0"/>
    <cellStyle name="Normal 6 2 2 3 2 7 2 2 2 2" xfId="0"/>
    <cellStyle name="Normal 6 2 2 3 2 7 2 2 3" xfId="0"/>
    <cellStyle name="Normal 6 2 2 3 2 7 2 3" xfId="0"/>
    <cellStyle name="Normal 6 2 2 3 2 7 2 3 2" xfId="0"/>
    <cellStyle name="Normal 6 2 2 3 2 7 2 4" xfId="0"/>
    <cellStyle name="Normal 6 2 2 3 2 7 3" xfId="0"/>
    <cellStyle name="Normal 6 2 2 3 2 7 3 2" xfId="0"/>
    <cellStyle name="Normal 6 2 2 3 2 7 3 2 2" xfId="0"/>
    <cellStyle name="Normal 6 2 2 3 2 7 3 3" xfId="0"/>
    <cellStyle name="Normal 6 2 2 3 2 7 4" xfId="0"/>
    <cellStyle name="Normal 6 2 2 3 2 7 4 2" xfId="0"/>
    <cellStyle name="Normal 6 2 2 3 2 7 5" xfId="0"/>
    <cellStyle name="Normal 6 2 2 3 2 8" xfId="0"/>
    <cellStyle name="Normal 6 2 2 3 2 8 2" xfId="0"/>
    <cellStyle name="Normal 6 2 2 3 2 8 2 2" xfId="0"/>
    <cellStyle name="Normal 6 2 2 3 2 8 2 2 2" xfId="0"/>
    <cellStyle name="Normal 6 2 2 3 2 8 2 3" xfId="0"/>
    <cellStyle name="Normal 6 2 2 3 2 8 3" xfId="0"/>
    <cellStyle name="Normal 6 2 2 3 2 8 3 2" xfId="0"/>
    <cellStyle name="Normal 6 2 2 3 2 8 4" xfId="0"/>
    <cellStyle name="Normal 6 2 2 3 2 9" xfId="0"/>
    <cellStyle name="Normal 6 2 2 3 2 9 2" xfId="0"/>
    <cellStyle name="Normal 6 2 2 3 2 9 2 2" xfId="0"/>
    <cellStyle name="Normal 6 2 2 3 2 9 3" xfId="0"/>
    <cellStyle name="Normal 6 2 2 3 3" xfId="0"/>
    <cellStyle name="Normal 6 2 2 3 3 2" xfId="0"/>
    <cellStyle name="Normal 6 2 2 3 3 2 2" xfId="0"/>
    <cellStyle name="Normal 6 2 2 3 3 2 2 2" xfId="0"/>
    <cellStyle name="Normal 6 2 2 3 3 2 2 2 2" xfId="0"/>
    <cellStyle name="Normal 6 2 2 3 3 2 2 2 2 2" xfId="0"/>
    <cellStyle name="Normal 6 2 2 3 3 2 2 2 2 2 2" xfId="0"/>
    <cellStyle name="Normal 6 2 2 3 3 2 2 2 2 2 2 2" xfId="0"/>
    <cellStyle name="Normal 6 2 2 3 3 2 2 2 2 2 3" xfId="0"/>
    <cellStyle name="Normal 6 2 2 3 3 2 2 2 2 3" xfId="0"/>
    <cellStyle name="Normal 6 2 2 3 3 2 2 2 2 3 2" xfId="0"/>
    <cellStyle name="Normal 6 2 2 3 3 2 2 2 2 4" xfId="0"/>
    <cellStyle name="Normal 6 2 2 3 3 2 2 2 3" xfId="0"/>
    <cellStyle name="Normal 6 2 2 3 3 2 2 2 3 2" xfId="0"/>
    <cellStyle name="Normal 6 2 2 3 3 2 2 2 3 2 2" xfId="0"/>
    <cellStyle name="Normal 6 2 2 3 3 2 2 2 3 3" xfId="0"/>
    <cellStyle name="Normal 6 2 2 3 3 2 2 2 4" xfId="0"/>
    <cellStyle name="Normal 6 2 2 3 3 2 2 2 4 2" xfId="0"/>
    <cellStyle name="Normal 6 2 2 3 3 2 2 2 5" xfId="0"/>
    <cellStyle name="Normal 6 2 2 3 3 2 2 3" xfId="0"/>
    <cellStyle name="Normal 6 2 2 3 3 2 2 3 2" xfId="0"/>
    <cellStyle name="Normal 6 2 2 3 3 2 2 3 2 2" xfId="0"/>
    <cellStyle name="Normal 6 2 2 3 3 2 2 3 2 2 2" xfId="0"/>
    <cellStyle name="Normal 6 2 2 3 3 2 2 3 2 3" xfId="0"/>
    <cellStyle name="Normal 6 2 2 3 3 2 2 3 3" xfId="0"/>
    <cellStyle name="Normal 6 2 2 3 3 2 2 3 3 2" xfId="0"/>
    <cellStyle name="Normal 6 2 2 3 3 2 2 3 4" xfId="0"/>
    <cellStyle name="Normal 6 2 2 3 3 2 2 4" xfId="0"/>
    <cellStyle name="Normal 6 2 2 3 3 2 2 4 2" xfId="0"/>
    <cellStyle name="Normal 6 2 2 3 3 2 2 4 2 2" xfId="0"/>
    <cellStyle name="Normal 6 2 2 3 3 2 2 4 3" xfId="0"/>
    <cellStyle name="Normal 6 2 2 3 3 2 2 5" xfId="0"/>
    <cellStyle name="Normal 6 2 2 3 3 2 2 5 2" xfId="0"/>
    <cellStyle name="Normal 6 2 2 3 3 2 2 6" xfId="0"/>
    <cellStyle name="Normal 6 2 2 3 3 2 3" xfId="0"/>
    <cellStyle name="Normal 6 2 2 3 3 2 3 2" xfId="0"/>
    <cellStyle name="Normal 6 2 2 3 3 2 3 2 2" xfId="0"/>
    <cellStyle name="Normal 6 2 2 3 3 2 3 2 2 2" xfId="0"/>
    <cellStyle name="Normal 6 2 2 3 3 2 3 2 2 2 2" xfId="0"/>
    <cellStyle name="Normal 6 2 2 3 3 2 3 2 2 3" xfId="0"/>
    <cellStyle name="Normal 6 2 2 3 3 2 3 2 3" xfId="0"/>
    <cellStyle name="Normal 6 2 2 3 3 2 3 2 3 2" xfId="0"/>
    <cellStyle name="Normal 6 2 2 3 3 2 3 2 4" xfId="0"/>
    <cellStyle name="Normal 6 2 2 3 3 2 3 3" xfId="0"/>
    <cellStyle name="Normal 6 2 2 3 3 2 3 3 2" xfId="0"/>
    <cellStyle name="Normal 6 2 2 3 3 2 3 3 2 2" xfId="0"/>
    <cellStyle name="Normal 6 2 2 3 3 2 3 3 3" xfId="0"/>
    <cellStyle name="Normal 6 2 2 3 3 2 3 4" xfId="0"/>
    <cellStyle name="Normal 6 2 2 3 3 2 3 4 2" xfId="0"/>
    <cellStyle name="Normal 6 2 2 3 3 2 3 5" xfId="0"/>
    <cellStyle name="Normal 6 2 2 3 3 2 4" xfId="0"/>
    <cellStyle name="Normal 6 2 2 3 3 2 4 2" xfId="0"/>
    <cellStyle name="Normal 6 2 2 3 3 2 4 2 2" xfId="0"/>
    <cellStyle name="Normal 6 2 2 3 3 2 4 2 2 2" xfId="0"/>
    <cellStyle name="Normal 6 2 2 3 3 2 4 2 3" xfId="0"/>
    <cellStyle name="Normal 6 2 2 3 3 2 4 3" xfId="0"/>
    <cellStyle name="Normal 6 2 2 3 3 2 4 3 2" xfId="0"/>
    <cellStyle name="Normal 6 2 2 3 3 2 4 4" xfId="0"/>
    <cellStyle name="Normal 6 2 2 3 3 2 5" xfId="0"/>
    <cellStyle name="Normal 6 2 2 3 3 2 5 2" xfId="0"/>
    <cellStyle name="Normal 6 2 2 3 3 2 5 2 2" xfId="0"/>
    <cellStyle name="Normal 6 2 2 3 3 2 5 3" xfId="0"/>
    <cellStyle name="Normal 6 2 2 3 3 2 6" xfId="0"/>
    <cellStyle name="Normal 6 2 2 3 3 2 6 2" xfId="0"/>
    <cellStyle name="Normal 6 2 2 3 3 2 7" xfId="0"/>
    <cellStyle name="Normal 6 2 2 3 3 3" xfId="0"/>
    <cellStyle name="Normal 6 2 2 3 3 3 2" xfId="0"/>
    <cellStyle name="Normal 6 2 2 3 3 3 2 2" xfId="0"/>
    <cellStyle name="Normal 6 2 2 3 3 3 2 2 2" xfId="0"/>
    <cellStyle name="Normal 6 2 2 3 3 3 2 2 2 2" xfId="0"/>
    <cellStyle name="Normal 6 2 2 3 3 3 2 2 2 2 2" xfId="0"/>
    <cellStyle name="Normal 6 2 2 3 3 3 2 2 2 3" xfId="0"/>
    <cellStyle name="Normal 6 2 2 3 3 3 2 2 3" xfId="0"/>
    <cellStyle name="Normal 6 2 2 3 3 3 2 2 3 2" xfId="0"/>
    <cellStyle name="Normal 6 2 2 3 3 3 2 2 4" xfId="0"/>
    <cellStyle name="Normal 6 2 2 3 3 3 2 3" xfId="0"/>
    <cellStyle name="Normal 6 2 2 3 3 3 2 3 2" xfId="0"/>
    <cellStyle name="Normal 6 2 2 3 3 3 2 3 2 2" xfId="0"/>
    <cellStyle name="Normal 6 2 2 3 3 3 2 3 3" xfId="0"/>
    <cellStyle name="Normal 6 2 2 3 3 3 2 4" xfId="0"/>
    <cellStyle name="Normal 6 2 2 3 3 3 2 4 2" xfId="0"/>
    <cellStyle name="Normal 6 2 2 3 3 3 2 5" xfId="0"/>
    <cellStyle name="Normal 6 2 2 3 3 3 3" xfId="0"/>
    <cellStyle name="Normal 6 2 2 3 3 3 3 2" xfId="0"/>
    <cellStyle name="Normal 6 2 2 3 3 3 3 2 2" xfId="0"/>
    <cellStyle name="Normal 6 2 2 3 3 3 3 2 2 2" xfId="0"/>
    <cellStyle name="Normal 6 2 2 3 3 3 3 2 3" xfId="0"/>
    <cellStyle name="Normal 6 2 2 3 3 3 3 3" xfId="0"/>
    <cellStyle name="Normal 6 2 2 3 3 3 3 3 2" xfId="0"/>
    <cellStyle name="Normal 6 2 2 3 3 3 3 4" xfId="0"/>
    <cellStyle name="Normal 6 2 2 3 3 3 4" xfId="0"/>
    <cellStyle name="Normal 6 2 2 3 3 3 4 2" xfId="0"/>
    <cellStyle name="Normal 6 2 2 3 3 3 4 2 2" xfId="0"/>
    <cellStyle name="Normal 6 2 2 3 3 3 4 3" xfId="0"/>
    <cellStyle name="Normal 6 2 2 3 3 3 5" xfId="0"/>
    <cellStyle name="Normal 6 2 2 3 3 3 5 2" xfId="0"/>
    <cellStyle name="Normal 6 2 2 3 3 3 6" xfId="0"/>
    <cellStyle name="Normal 6 2 2 3 3 4" xfId="0"/>
    <cellStyle name="Normal 6 2 2 3 3 4 2" xfId="0"/>
    <cellStyle name="Normal 6 2 2 3 3 4 2 2" xfId="0"/>
    <cellStyle name="Normal 6 2 2 3 3 4 2 2 2" xfId="0"/>
    <cellStyle name="Normal 6 2 2 3 3 4 2 2 2 2" xfId="0"/>
    <cellStyle name="Normal 6 2 2 3 3 4 2 2 3" xfId="0"/>
    <cellStyle name="Normal 6 2 2 3 3 4 2 3" xfId="0"/>
    <cellStyle name="Normal 6 2 2 3 3 4 2 3 2" xfId="0"/>
    <cellStyle name="Normal 6 2 2 3 3 4 2 4" xfId="0"/>
    <cellStyle name="Normal 6 2 2 3 3 4 3" xfId="0"/>
    <cellStyle name="Normal 6 2 2 3 3 4 3 2" xfId="0"/>
    <cellStyle name="Normal 6 2 2 3 3 4 3 2 2" xfId="0"/>
    <cellStyle name="Normal 6 2 2 3 3 4 3 3" xfId="0"/>
    <cellStyle name="Normal 6 2 2 3 3 4 4" xfId="0"/>
    <cellStyle name="Normal 6 2 2 3 3 4 4 2" xfId="0"/>
    <cellStyle name="Normal 6 2 2 3 3 4 5" xfId="0"/>
    <cellStyle name="Normal 6 2 2 3 3 5" xfId="0"/>
    <cellStyle name="Normal 6 2 2 3 3 5 2" xfId="0"/>
    <cellStyle name="Normal 6 2 2 3 3 5 2 2" xfId="0"/>
    <cellStyle name="Normal 6 2 2 3 3 5 2 2 2" xfId="0"/>
    <cellStyle name="Normal 6 2 2 3 3 5 2 3" xfId="0"/>
    <cellStyle name="Normal 6 2 2 3 3 5 3" xfId="0"/>
    <cellStyle name="Normal 6 2 2 3 3 5 3 2" xfId="0"/>
    <cellStyle name="Normal 6 2 2 3 3 5 4" xfId="0"/>
    <cellStyle name="Normal 6 2 2 3 3 6" xfId="0"/>
    <cellStyle name="Normal 6 2 2 3 3 6 2" xfId="0"/>
    <cellStyle name="Normal 6 2 2 3 3 6 2 2" xfId="0"/>
    <cellStyle name="Normal 6 2 2 3 3 6 3" xfId="0"/>
    <cellStyle name="Normal 6 2 2 3 3 7" xfId="0"/>
    <cellStyle name="Normal 6 2 2 3 3 7 2" xfId="0"/>
    <cellStyle name="Normal 6 2 2 3 3 8" xfId="0"/>
    <cellStyle name="Normal 6 2 2 3 4" xfId="0"/>
    <cellStyle name="Normal 6 2 2 3 4 2" xfId="0"/>
    <cellStyle name="Normal 6 2 2 3 4 2 2" xfId="0"/>
    <cellStyle name="Normal 6 2 2 3 4 2 2 2" xfId="0"/>
    <cellStyle name="Normal 6 2 2 3 4 2 2 2 2" xfId="0"/>
    <cellStyle name="Normal 6 2 2 3 4 2 2 2 2 2" xfId="0"/>
    <cellStyle name="Normal 6 2 2 3 4 2 2 2 2 2 2" xfId="0"/>
    <cellStyle name="Normal 6 2 2 3 4 2 2 2 2 2 2 2" xfId="0"/>
    <cellStyle name="Normal 6 2 2 3 4 2 2 2 2 2 3" xfId="0"/>
    <cellStyle name="Normal 6 2 2 3 4 2 2 2 2 3" xfId="0"/>
    <cellStyle name="Normal 6 2 2 3 4 2 2 2 2 3 2" xfId="0"/>
    <cellStyle name="Normal 6 2 2 3 4 2 2 2 2 4" xfId="0"/>
    <cellStyle name="Normal 6 2 2 3 4 2 2 2 3" xfId="0"/>
    <cellStyle name="Normal 6 2 2 3 4 2 2 2 3 2" xfId="0"/>
    <cellStyle name="Normal 6 2 2 3 4 2 2 2 3 2 2" xfId="0"/>
    <cellStyle name="Normal 6 2 2 3 4 2 2 2 3 3" xfId="0"/>
    <cellStyle name="Normal 6 2 2 3 4 2 2 2 4" xfId="0"/>
    <cellStyle name="Normal 6 2 2 3 4 2 2 2 4 2" xfId="0"/>
    <cellStyle name="Normal 6 2 2 3 4 2 2 2 5" xfId="0"/>
    <cellStyle name="Normal 6 2 2 3 4 2 2 3" xfId="0"/>
    <cellStyle name="Normal 6 2 2 3 4 2 2 3 2" xfId="0"/>
    <cellStyle name="Normal 6 2 2 3 4 2 2 3 2 2" xfId="0"/>
    <cellStyle name="Normal 6 2 2 3 4 2 2 3 2 2 2" xfId="0"/>
    <cellStyle name="Normal 6 2 2 3 4 2 2 3 2 3" xfId="0"/>
    <cellStyle name="Normal 6 2 2 3 4 2 2 3 3" xfId="0"/>
    <cellStyle name="Normal 6 2 2 3 4 2 2 3 3 2" xfId="0"/>
    <cellStyle name="Normal 6 2 2 3 4 2 2 3 4" xfId="0"/>
    <cellStyle name="Normal 6 2 2 3 4 2 2 4" xfId="0"/>
    <cellStyle name="Normal 6 2 2 3 4 2 2 4 2" xfId="0"/>
    <cellStyle name="Normal 6 2 2 3 4 2 2 4 2 2" xfId="0"/>
    <cellStyle name="Normal 6 2 2 3 4 2 2 4 3" xfId="0"/>
    <cellStyle name="Normal 6 2 2 3 4 2 2 5" xfId="0"/>
    <cellStyle name="Normal 6 2 2 3 4 2 2 5 2" xfId="0"/>
    <cellStyle name="Normal 6 2 2 3 4 2 2 6" xfId="0"/>
    <cellStyle name="Normal 6 2 2 3 4 2 3" xfId="0"/>
    <cellStyle name="Normal 6 2 2 3 4 2 3 2" xfId="0"/>
    <cellStyle name="Normal 6 2 2 3 4 2 3 2 2" xfId="0"/>
    <cellStyle name="Normal 6 2 2 3 4 2 3 2 2 2" xfId="0"/>
    <cellStyle name="Normal 6 2 2 3 4 2 3 2 2 2 2" xfId="0"/>
    <cellStyle name="Normal 6 2 2 3 4 2 3 2 2 3" xfId="0"/>
    <cellStyle name="Normal 6 2 2 3 4 2 3 2 3" xfId="0"/>
    <cellStyle name="Normal 6 2 2 3 4 2 3 2 3 2" xfId="0"/>
    <cellStyle name="Normal 6 2 2 3 4 2 3 2 4" xfId="0"/>
    <cellStyle name="Normal 6 2 2 3 4 2 3 3" xfId="0"/>
    <cellStyle name="Normal 6 2 2 3 4 2 3 3 2" xfId="0"/>
    <cellStyle name="Normal 6 2 2 3 4 2 3 3 2 2" xfId="0"/>
    <cellStyle name="Normal 6 2 2 3 4 2 3 3 3" xfId="0"/>
    <cellStyle name="Normal 6 2 2 3 4 2 3 4" xfId="0"/>
    <cellStyle name="Normal 6 2 2 3 4 2 3 4 2" xfId="0"/>
    <cellStyle name="Normal 6 2 2 3 4 2 3 5" xfId="0"/>
    <cellStyle name="Normal 6 2 2 3 4 2 4" xfId="0"/>
    <cellStyle name="Normal 6 2 2 3 4 2 4 2" xfId="0"/>
    <cellStyle name="Normal 6 2 2 3 4 2 4 2 2" xfId="0"/>
    <cellStyle name="Normal 6 2 2 3 4 2 4 2 2 2" xfId="0"/>
    <cellStyle name="Normal 6 2 2 3 4 2 4 2 3" xfId="0"/>
    <cellStyle name="Normal 6 2 2 3 4 2 4 3" xfId="0"/>
    <cellStyle name="Normal 6 2 2 3 4 2 4 3 2" xfId="0"/>
    <cellStyle name="Normal 6 2 2 3 4 2 4 4" xfId="0"/>
    <cellStyle name="Normal 6 2 2 3 4 2 5" xfId="0"/>
    <cellStyle name="Normal 6 2 2 3 4 2 5 2" xfId="0"/>
    <cellStyle name="Normal 6 2 2 3 4 2 5 2 2" xfId="0"/>
    <cellStyle name="Normal 6 2 2 3 4 2 5 3" xfId="0"/>
    <cellStyle name="Normal 6 2 2 3 4 2 6" xfId="0"/>
    <cellStyle name="Normal 6 2 2 3 4 2 6 2" xfId="0"/>
    <cellStyle name="Normal 6 2 2 3 4 2 7" xfId="0"/>
    <cellStyle name="Normal 6 2 2 3 4 3" xfId="0"/>
    <cellStyle name="Normal 6 2 2 3 4 3 2" xfId="0"/>
    <cellStyle name="Normal 6 2 2 3 4 3 2 2" xfId="0"/>
    <cellStyle name="Normal 6 2 2 3 4 3 2 2 2" xfId="0"/>
    <cellStyle name="Normal 6 2 2 3 4 3 2 2 2 2" xfId="0"/>
    <cellStyle name="Normal 6 2 2 3 4 3 2 2 2 2 2" xfId="0"/>
    <cellStyle name="Normal 6 2 2 3 4 3 2 2 2 3" xfId="0"/>
    <cellStyle name="Normal 6 2 2 3 4 3 2 2 3" xfId="0"/>
    <cellStyle name="Normal 6 2 2 3 4 3 2 2 3 2" xfId="0"/>
    <cellStyle name="Normal 6 2 2 3 4 3 2 2 4" xfId="0"/>
    <cellStyle name="Normal 6 2 2 3 4 3 2 3" xfId="0"/>
    <cellStyle name="Normal 6 2 2 3 4 3 2 3 2" xfId="0"/>
    <cellStyle name="Normal 6 2 2 3 4 3 2 3 2 2" xfId="0"/>
    <cellStyle name="Normal 6 2 2 3 4 3 2 3 3" xfId="0"/>
    <cellStyle name="Normal 6 2 2 3 4 3 2 4" xfId="0"/>
    <cellStyle name="Normal 6 2 2 3 4 3 2 4 2" xfId="0"/>
    <cellStyle name="Normal 6 2 2 3 4 3 2 5" xfId="0"/>
    <cellStyle name="Normal 6 2 2 3 4 3 3" xfId="0"/>
    <cellStyle name="Normal 6 2 2 3 4 3 3 2" xfId="0"/>
    <cellStyle name="Normal 6 2 2 3 4 3 3 2 2" xfId="0"/>
    <cellStyle name="Normal 6 2 2 3 4 3 3 2 2 2" xfId="0"/>
    <cellStyle name="Normal 6 2 2 3 4 3 3 2 3" xfId="0"/>
    <cellStyle name="Normal 6 2 2 3 4 3 3 3" xfId="0"/>
    <cellStyle name="Normal 6 2 2 3 4 3 3 3 2" xfId="0"/>
    <cellStyle name="Normal 6 2 2 3 4 3 3 4" xfId="0"/>
    <cellStyle name="Normal 6 2 2 3 4 3 4" xfId="0"/>
    <cellStyle name="Normal 6 2 2 3 4 3 4 2" xfId="0"/>
    <cellStyle name="Normal 6 2 2 3 4 3 4 2 2" xfId="0"/>
    <cellStyle name="Normal 6 2 2 3 4 3 4 3" xfId="0"/>
    <cellStyle name="Normal 6 2 2 3 4 3 5" xfId="0"/>
    <cellStyle name="Normal 6 2 2 3 4 3 5 2" xfId="0"/>
    <cellStyle name="Normal 6 2 2 3 4 3 6" xfId="0"/>
    <cellStyle name="Normal 6 2 2 3 4 4" xfId="0"/>
    <cellStyle name="Normal 6 2 2 3 4 4 2" xfId="0"/>
    <cellStyle name="Normal 6 2 2 3 4 4 2 2" xfId="0"/>
    <cellStyle name="Normal 6 2 2 3 4 4 2 2 2" xfId="0"/>
    <cellStyle name="Normal 6 2 2 3 4 4 2 2 2 2" xfId="0"/>
    <cellStyle name="Normal 6 2 2 3 4 4 2 2 3" xfId="0"/>
    <cellStyle name="Normal 6 2 2 3 4 4 2 3" xfId="0"/>
    <cellStyle name="Normal 6 2 2 3 4 4 2 3 2" xfId="0"/>
    <cellStyle name="Normal 6 2 2 3 4 4 2 4" xfId="0"/>
    <cellStyle name="Normal 6 2 2 3 4 4 3" xfId="0"/>
    <cellStyle name="Normal 6 2 2 3 4 4 3 2" xfId="0"/>
    <cellStyle name="Normal 6 2 2 3 4 4 3 2 2" xfId="0"/>
    <cellStyle name="Normal 6 2 2 3 4 4 3 3" xfId="0"/>
    <cellStyle name="Normal 6 2 2 3 4 4 4" xfId="0"/>
    <cellStyle name="Normal 6 2 2 3 4 4 4 2" xfId="0"/>
    <cellStyle name="Normal 6 2 2 3 4 4 5" xfId="0"/>
    <cellStyle name="Normal 6 2 2 3 4 5" xfId="0"/>
    <cellStyle name="Normal 6 2 2 3 4 5 2" xfId="0"/>
    <cellStyle name="Normal 6 2 2 3 4 5 2 2" xfId="0"/>
    <cellStyle name="Normal 6 2 2 3 4 5 2 2 2" xfId="0"/>
    <cellStyle name="Normal 6 2 2 3 4 5 2 3" xfId="0"/>
    <cellStyle name="Normal 6 2 2 3 4 5 3" xfId="0"/>
    <cellStyle name="Normal 6 2 2 3 4 5 3 2" xfId="0"/>
    <cellStyle name="Normal 6 2 2 3 4 5 4" xfId="0"/>
    <cellStyle name="Normal 6 2 2 3 4 6" xfId="0"/>
    <cellStyle name="Normal 6 2 2 3 4 6 2" xfId="0"/>
    <cellStyle name="Normal 6 2 2 3 4 6 2 2" xfId="0"/>
    <cellStyle name="Normal 6 2 2 3 4 6 3" xfId="0"/>
    <cellStyle name="Normal 6 2 2 3 4 7" xfId="0"/>
    <cellStyle name="Normal 6 2 2 3 4 7 2" xfId="0"/>
    <cellStyle name="Normal 6 2 2 3 4 8" xfId="0"/>
    <cellStyle name="Normal 6 2 2 3 5" xfId="0"/>
    <cellStyle name="Normal 6 2 2 3 5 2" xfId="0"/>
    <cellStyle name="Normal 6 2 2 3 5 2 2" xfId="0"/>
    <cellStyle name="Normal 6 2 2 3 5 2 2 2" xfId="0"/>
    <cellStyle name="Normal 6 2 2 3 5 2 2 2 2" xfId="0"/>
    <cellStyle name="Normal 6 2 2 3 5 2 2 2 2 2" xfId="0"/>
    <cellStyle name="Normal 6 2 2 3 5 2 2 2 2 2 2" xfId="0"/>
    <cellStyle name="Normal 6 2 2 3 5 2 2 2 2 3" xfId="0"/>
    <cellStyle name="Normal 6 2 2 3 5 2 2 2 3" xfId="0"/>
    <cellStyle name="Normal 6 2 2 3 5 2 2 2 3 2" xfId="0"/>
    <cellStyle name="Normal 6 2 2 3 5 2 2 2 4" xfId="0"/>
    <cellStyle name="Normal 6 2 2 3 5 2 2 3" xfId="0"/>
    <cellStyle name="Normal 6 2 2 3 5 2 2 3 2" xfId="0"/>
    <cellStyle name="Normal 6 2 2 3 5 2 2 3 2 2" xfId="0"/>
    <cellStyle name="Normal 6 2 2 3 5 2 2 3 3" xfId="0"/>
    <cellStyle name="Normal 6 2 2 3 5 2 2 4" xfId="0"/>
    <cellStyle name="Normal 6 2 2 3 5 2 2 4 2" xfId="0"/>
    <cellStyle name="Normal 6 2 2 3 5 2 2 5" xfId="0"/>
    <cellStyle name="Normal 6 2 2 3 5 2 3" xfId="0"/>
    <cellStyle name="Normal 6 2 2 3 5 2 3 2" xfId="0"/>
    <cellStyle name="Normal 6 2 2 3 5 2 3 2 2" xfId="0"/>
    <cellStyle name="Normal 6 2 2 3 5 2 3 2 2 2" xfId="0"/>
    <cellStyle name="Normal 6 2 2 3 5 2 3 2 3" xfId="0"/>
    <cellStyle name="Normal 6 2 2 3 5 2 3 3" xfId="0"/>
    <cellStyle name="Normal 6 2 2 3 5 2 3 3 2" xfId="0"/>
    <cellStyle name="Normal 6 2 2 3 5 2 3 4" xfId="0"/>
    <cellStyle name="Normal 6 2 2 3 5 2 4" xfId="0"/>
    <cellStyle name="Normal 6 2 2 3 5 2 4 2" xfId="0"/>
    <cellStyle name="Normal 6 2 2 3 5 2 4 2 2" xfId="0"/>
    <cellStyle name="Normal 6 2 2 3 5 2 4 3" xfId="0"/>
    <cellStyle name="Normal 6 2 2 3 5 2 5" xfId="0"/>
    <cellStyle name="Normal 6 2 2 3 5 2 5 2" xfId="0"/>
    <cellStyle name="Normal 6 2 2 3 5 2 6" xfId="0"/>
    <cellStyle name="Normal 6 2 2 3 5 3" xfId="0"/>
    <cellStyle name="Normal 6 2 2 3 5 3 2" xfId="0"/>
    <cellStyle name="Normal 6 2 2 3 5 3 2 2" xfId="0"/>
    <cellStyle name="Normal 6 2 2 3 5 3 2 2 2" xfId="0"/>
    <cellStyle name="Normal 6 2 2 3 5 3 2 2 2 2" xfId="0"/>
    <cellStyle name="Normal 6 2 2 3 5 3 2 2 3" xfId="0"/>
    <cellStyle name="Normal 6 2 2 3 5 3 2 3" xfId="0"/>
    <cellStyle name="Normal 6 2 2 3 5 3 2 3 2" xfId="0"/>
    <cellStyle name="Normal 6 2 2 3 5 3 2 4" xfId="0"/>
    <cellStyle name="Normal 6 2 2 3 5 3 3" xfId="0"/>
    <cellStyle name="Normal 6 2 2 3 5 3 3 2" xfId="0"/>
    <cellStyle name="Normal 6 2 2 3 5 3 3 2 2" xfId="0"/>
    <cellStyle name="Normal 6 2 2 3 5 3 3 3" xfId="0"/>
    <cellStyle name="Normal 6 2 2 3 5 3 4" xfId="0"/>
    <cellStyle name="Normal 6 2 2 3 5 3 4 2" xfId="0"/>
    <cellStyle name="Normal 6 2 2 3 5 3 5" xfId="0"/>
    <cellStyle name="Normal 6 2 2 3 5 4" xfId="0"/>
    <cellStyle name="Normal 6 2 2 3 5 4 2" xfId="0"/>
    <cellStyle name="Normal 6 2 2 3 5 4 2 2" xfId="0"/>
    <cellStyle name="Normal 6 2 2 3 5 4 2 2 2" xfId="0"/>
    <cellStyle name="Normal 6 2 2 3 5 4 2 3" xfId="0"/>
    <cellStyle name="Normal 6 2 2 3 5 4 3" xfId="0"/>
    <cellStyle name="Normal 6 2 2 3 5 4 3 2" xfId="0"/>
    <cellStyle name="Normal 6 2 2 3 5 4 4" xfId="0"/>
    <cellStyle name="Normal 6 2 2 3 5 5" xfId="0"/>
    <cellStyle name="Normal 6 2 2 3 5 5 2" xfId="0"/>
    <cellStyle name="Normal 6 2 2 3 5 5 2 2" xfId="0"/>
    <cellStyle name="Normal 6 2 2 3 5 5 3" xfId="0"/>
    <cellStyle name="Normal 6 2 2 3 5 6" xfId="0"/>
    <cellStyle name="Normal 6 2 2 3 5 6 2" xfId="0"/>
    <cellStyle name="Normal 6 2 2 3 5 7" xfId="0"/>
    <cellStyle name="Normal 6 2 2 3 6" xfId="0"/>
    <cellStyle name="Normal 6 2 2 3 6 2" xfId="0"/>
    <cellStyle name="Normal 6 2 2 3 6 2 2" xfId="0"/>
    <cellStyle name="Normal 6 2 2 3 6 2 2 2" xfId="0"/>
    <cellStyle name="Normal 6 2 2 3 6 2 2 2 2" xfId="0"/>
    <cellStyle name="Normal 6 2 2 3 6 2 2 2 2 2" xfId="0"/>
    <cellStyle name="Normal 6 2 2 3 6 2 2 2 2 2 2" xfId="0"/>
    <cellStyle name="Normal 6 2 2 3 6 2 2 2 2 3" xfId="0"/>
    <cellStyle name="Normal 6 2 2 3 6 2 2 2 3" xfId="0"/>
    <cellStyle name="Normal 6 2 2 3 6 2 2 2 3 2" xfId="0"/>
    <cellStyle name="Normal 6 2 2 3 6 2 2 2 4" xfId="0"/>
    <cellStyle name="Normal 6 2 2 3 6 2 2 3" xfId="0"/>
    <cellStyle name="Normal 6 2 2 3 6 2 2 3 2" xfId="0"/>
    <cellStyle name="Normal 6 2 2 3 6 2 2 3 2 2" xfId="0"/>
    <cellStyle name="Normal 6 2 2 3 6 2 2 3 3" xfId="0"/>
    <cellStyle name="Normal 6 2 2 3 6 2 2 4" xfId="0"/>
    <cellStyle name="Normal 6 2 2 3 6 2 2 4 2" xfId="0"/>
    <cellStyle name="Normal 6 2 2 3 6 2 2 5" xfId="0"/>
    <cellStyle name="Normal 6 2 2 3 6 2 3" xfId="0"/>
    <cellStyle name="Normal 6 2 2 3 6 2 3 2" xfId="0"/>
    <cellStyle name="Normal 6 2 2 3 6 2 3 2 2" xfId="0"/>
    <cellStyle name="Normal 6 2 2 3 6 2 3 2 2 2" xfId="0"/>
    <cellStyle name="Normal 6 2 2 3 6 2 3 2 3" xfId="0"/>
    <cellStyle name="Normal 6 2 2 3 6 2 3 3" xfId="0"/>
    <cellStyle name="Normal 6 2 2 3 6 2 3 3 2" xfId="0"/>
    <cellStyle name="Normal 6 2 2 3 6 2 3 4" xfId="0"/>
    <cellStyle name="Normal 6 2 2 3 6 2 4" xfId="0"/>
    <cellStyle name="Normal 6 2 2 3 6 2 4 2" xfId="0"/>
    <cellStyle name="Normal 6 2 2 3 6 2 4 2 2" xfId="0"/>
    <cellStyle name="Normal 6 2 2 3 6 2 4 3" xfId="0"/>
    <cellStyle name="Normal 6 2 2 3 6 2 5" xfId="0"/>
    <cellStyle name="Normal 6 2 2 3 6 2 5 2" xfId="0"/>
    <cellStyle name="Normal 6 2 2 3 6 2 6" xfId="0"/>
    <cellStyle name="Normal 6 2 2 3 6 3" xfId="0"/>
    <cellStyle name="Normal 6 2 2 3 6 3 2" xfId="0"/>
    <cellStyle name="Normal 6 2 2 3 6 3 2 2" xfId="0"/>
    <cellStyle name="Normal 6 2 2 3 6 3 2 2 2" xfId="0"/>
    <cellStyle name="Normal 6 2 2 3 6 3 2 2 2 2" xfId="0"/>
    <cellStyle name="Normal 6 2 2 3 6 3 2 2 3" xfId="0"/>
    <cellStyle name="Normal 6 2 2 3 6 3 2 3" xfId="0"/>
    <cellStyle name="Normal 6 2 2 3 6 3 2 3 2" xfId="0"/>
    <cellStyle name="Normal 6 2 2 3 6 3 2 4" xfId="0"/>
    <cellStyle name="Normal 6 2 2 3 6 3 3" xfId="0"/>
    <cellStyle name="Normal 6 2 2 3 6 3 3 2" xfId="0"/>
    <cellStyle name="Normal 6 2 2 3 6 3 3 2 2" xfId="0"/>
    <cellStyle name="Normal 6 2 2 3 6 3 3 3" xfId="0"/>
    <cellStyle name="Normal 6 2 2 3 6 3 4" xfId="0"/>
    <cellStyle name="Normal 6 2 2 3 6 3 4 2" xfId="0"/>
    <cellStyle name="Normal 6 2 2 3 6 3 5" xfId="0"/>
    <cellStyle name="Normal 6 2 2 3 6 4" xfId="0"/>
    <cellStyle name="Normal 6 2 2 3 6 4 2" xfId="0"/>
    <cellStyle name="Normal 6 2 2 3 6 4 2 2" xfId="0"/>
    <cellStyle name="Normal 6 2 2 3 6 4 2 2 2" xfId="0"/>
    <cellStyle name="Normal 6 2 2 3 6 4 2 3" xfId="0"/>
    <cellStyle name="Normal 6 2 2 3 6 4 3" xfId="0"/>
    <cellStyle name="Normal 6 2 2 3 6 4 3 2" xfId="0"/>
    <cellStyle name="Normal 6 2 2 3 6 4 4" xfId="0"/>
    <cellStyle name="Normal 6 2 2 3 6 5" xfId="0"/>
    <cellStyle name="Normal 6 2 2 3 6 5 2" xfId="0"/>
    <cellStyle name="Normal 6 2 2 3 6 5 2 2" xfId="0"/>
    <cellStyle name="Normal 6 2 2 3 6 5 3" xfId="0"/>
    <cellStyle name="Normal 6 2 2 3 6 6" xfId="0"/>
    <cellStyle name="Normal 6 2 2 3 6 6 2" xfId="0"/>
    <cellStyle name="Normal 6 2 2 3 6 7" xfId="0"/>
    <cellStyle name="Normal 6 2 2 3 7" xfId="0"/>
    <cellStyle name="Normal 6 2 2 3 7 2" xfId="0"/>
    <cellStyle name="Normal 6 2 2 3 7 2 2" xfId="0"/>
    <cellStyle name="Normal 6 2 2 3 7 2 2 2" xfId="0"/>
    <cellStyle name="Normal 6 2 2 3 7 2 2 2 2" xfId="0"/>
    <cellStyle name="Normal 6 2 2 3 7 2 2 2 2 2" xfId="0"/>
    <cellStyle name="Normal 6 2 2 3 7 2 2 2 3" xfId="0"/>
    <cellStyle name="Normal 6 2 2 3 7 2 2 3" xfId="0"/>
    <cellStyle name="Normal 6 2 2 3 7 2 2 3 2" xfId="0"/>
    <cellStyle name="Normal 6 2 2 3 7 2 2 4" xfId="0"/>
    <cellStyle name="Normal 6 2 2 3 7 2 3" xfId="0"/>
    <cellStyle name="Normal 6 2 2 3 7 2 3 2" xfId="0"/>
    <cellStyle name="Normal 6 2 2 3 7 2 3 2 2" xfId="0"/>
    <cellStyle name="Normal 6 2 2 3 7 2 3 3" xfId="0"/>
    <cellStyle name="Normal 6 2 2 3 7 2 4" xfId="0"/>
    <cellStyle name="Normal 6 2 2 3 7 2 4 2" xfId="0"/>
    <cellStyle name="Normal 6 2 2 3 7 2 5" xfId="0"/>
    <cellStyle name="Normal 6 2 2 3 7 3" xfId="0"/>
    <cellStyle name="Normal 6 2 2 3 7 3 2" xfId="0"/>
    <cellStyle name="Normal 6 2 2 3 7 3 2 2" xfId="0"/>
    <cellStyle name="Normal 6 2 2 3 7 3 2 2 2" xfId="0"/>
    <cellStyle name="Normal 6 2 2 3 7 3 2 3" xfId="0"/>
    <cellStyle name="Normal 6 2 2 3 7 3 3" xfId="0"/>
    <cellStyle name="Normal 6 2 2 3 7 3 3 2" xfId="0"/>
    <cellStyle name="Normal 6 2 2 3 7 3 4" xfId="0"/>
    <cellStyle name="Normal 6 2 2 3 7 4" xfId="0"/>
    <cellStyle name="Normal 6 2 2 3 7 4 2" xfId="0"/>
    <cellStyle name="Normal 6 2 2 3 7 4 2 2" xfId="0"/>
    <cellStyle name="Normal 6 2 2 3 7 4 3" xfId="0"/>
    <cellStyle name="Normal 6 2 2 3 7 5" xfId="0"/>
    <cellStyle name="Normal 6 2 2 3 7 5 2" xfId="0"/>
    <cellStyle name="Normal 6 2 2 3 7 6" xfId="0"/>
    <cellStyle name="Normal 6 2 2 3 8" xfId="0"/>
    <cellStyle name="Normal 6 2 2 3 8 2" xfId="0"/>
    <cellStyle name="Normal 6 2 2 3 8 2 2" xfId="0"/>
    <cellStyle name="Normal 6 2 2 3 8 2 2 2" xfId="0"/>
    <cellStyle name="Normal 6 2 2 3 8 2 2 2 2" xfId="0"/>
    <cellStyle name="Normal 6 2 2 3 8 2 2 3" xfId="0"/>
    <cellStyle name="Normal 6 2 2 3 8 2 3" xfId="0"/>
    <cellStyle name="Normal 6 2 2 3 8 2 3 2" xfId="0"/>
    <cellStyle name="Normal 6 2 2 3 8 2 4" xfId="0"/>
    <cellStyle name="Normal 6 2 2 3 8 3" xfId="0"/>
    <cellStyle name="Normal 6 2 2 3 8 3 2" xfId="0"/>
    <cellStyle name="Normal 6 2 2 3 8 3 2 2" xfId="0"/>
    <cellStyle name="Normal 6 2 2 3 8 3 3" xfId="0"/>
    <cellStyle name="Normal 6 2 2 3 8 4" xfId="0"/>
    <cellStyle name="Normal 6 2 2 3 8 4 2" xfId="0"/>
    <cellStyle name="Normal 6 2 2 3 8 5" xfId="0"/>
    <cellStyle name="Normal 6 2 2 3 9" xfId="0"/>
    <cellStyle name="Normal 6 2 2 3 9 2" xfId="0"/>
    <cellStyle name="Normal 6 2 2 3 9 2 2" xfId="0"/>
    <cellStyle name="Normal 6 2 2 3 9 2 2 2" xfId="0"/>
    <cellStyle name="Normal 6 2 2 3 9 2 3" xfId="0"/>
    <cellStyle name="Normal 6 2 2 3 9 3" xfId="0"/>
    <cellStyle name="Normal 6 2 2 3 9 3 2" xfId="0"/>
    <cellStyle name="Normal 6 2 2 3 9 4" xfId="0"/>
    <cellStyle name="Normal 6 2 2 4" xfId="0"/>
    <cellStyle name="Normal 6 2 2 4 10" xfId="0"/>
    <cellStyle name="Normal 6 2 2 4 10 2" xfId="0"/>
    <cellStyle name="Normal 6 2 2 4 11" xfId="0"/>
    <cellStyle name="Normal 6 2 2 4 2" xfId="0"/>
    <cellStyle name="Normal 6 2 2 4 2 2" xfId="0"/>
    <cellStyle name="Normal 6 2 2 4 2 2 2" xfId="0"/>
    <cellStyle name="Normal 6 2 2 4 2 2 2 2" xfId="0"/>
    <cellStyle name="Normal 6 2 2 4 2 2 2 2 2" xfId="0"/>
    <cellStyle name="Normal 6 2 2 4 2 2 2 2 2 2" xfId="0"/>
    <cellStyle name="Normal 6 2 2 4 2 2 2 2 2 2 2" xfId="0"/>
    <cellStyle name="Normal 6 2 2 4 2 2 2 2 2 2 2 2" xfId="0"/>
    <cellStyle name="Normal 6 2 2 4 2 2 2 2 2 2 3" xfId="0"/>
    <cellStyle name="Normal 6 2 2 4 2 2 2 2 2 3" xfId="0"/>
    <cellStyle name="Normal 6 2 2 4 2 2 2 2 2 3 2" xfId="0"/>
    <cellStyle name="Normal 6 2 2 4 2 2 2 2 2 4" xfId="0"/>
    <cellStyle name="Normal 6 2 2 4 2 2 2 2 3" xfId="0"/>
    <cellStyle name="Normal 6 2 2 4 2 2 2 2 3 2" xfId="0"/>
    <cellStyle name="Normal 6 2 2 4 2 2 2 2 3 2 2" xfId="0"/>
    <cellStyle name="Normal 6 2 2 4 2 2 2 2 3 3" xfId="0"/>
    <cellStyle name="Normal 6 2 2 4 2 2 2 2 4" xfId="0"/>
    <cellStyle name="Normal 6 2 2 4 2 2 2 2 4 2" xfId="0"/>
    <cellStyle name="Normal 6 2 2 4 2 2 2 2 5" xfId="0"/>
    <cellStyle name="Normal 6 2 2 4 2 2 2 3" xfId="0"/>
    <cellStyle name="Normal 6 2 2 4 2 2 2 3 2" xfId="0"/>
    <cellStyle name="Normal 6 2 2 4 2 2 2 3 2 2" xfId="0"/>
    <cellStyle name="Normal 6 2 2 4 2 2 2 3 2 2 2" xfId="0"/>
    <cellStyle name="Normal 6 2 2 4 2 2 2 3 2 3" xfId="0"/>
    <cellStyle name="Normal 6 2 2 4 2 2 2 3 3" xfId="0"/>
    <cellStyle name="Normal 6 2 2 4 2 2 2 3 3 2" xfId="0"/>
    <cellStyle name="Normal 6 2 2 4 2 2 2 3 4" xfId="0"/>
    <cellStyle name="Normal 6 2 2 4 2 2 2 4" xfId="0"/>
    <cellStyle name="Normal 6 2 2 4 2 2 2 4 2" xfId="0"/>
    <cellStyle name="Normal 6 2 2 4 2 2 2 4 2 2" xfId="0"/>
    <cellStyle name="Normal 6 2 2 4 2 2 2 4 3" xfId="0"/>
    <cellStyle name="Normal 6 2 2 4 2 2 2 5" xfId="0"/>
    <cellStyle name="Normal 6 2 2 4 2 2 2 5 2" xfId="0"/>
    <cellStyle name="Normal 6 2 2 4 2 2 2 6" xfId="0"/>
    <cellStyle name="Normal 6 2 2 4 2 2 3" xfId="0"/>
    <cellStyle name="Normal 6 2 2 4 2 2 3 2" xfId="0"/>
    <cellStyle name="Normal 6 2 2 4 2 2 3 2 2" xfId="0"/>
    <cellStyle name="Normal 6 2 2 4 2 2 3 2 2 2" xfId="0"/>
    <cellStyle name="Normal 6 2 2 4 2 2 3 2 2 2 2" xfId="0"/>
    <cellStyle name="Normal 6 2 2 4 2 2 3 2 2 3" xfId="0"/>
    <cellStyle name="Normal 6 2 2 4 2 2 3 2 3" xfId="0"/>
    <cellStyle name="Normal 6 2 2 4 2 2 3 2 3 2" xfId="0"/>
    <cellStyle name="Normal 6 2 2 4 2 2 3 2 4" xfId="0"/>
    <cellStyle name="Normal 6 2 2 4 2 2 3 3" xfId="0"/>
    <cellStyle name="Normal 6 2 2 4 2 2 3 3 2" xfId="0"/>
    <cellStyle name="Normal 6 2 2 4 2 2 3 3 2 2" xfId="0"/>
    <cellStyle name="Normal 6 2 2 4 2 2 3 3 3" xfId="0"/>
    <cellStyle name="Normal 6 2 2 4 2 2 3 4" xfId="0"/>
    <cellStyle name="Normal 6 2 2 4 2 2 3 4 2" xfId="0"/>
    <cellStyle name="Normal 6 2 2 4 2 2 3 5" xfId="0"/>
    <cellStyle name="Normal 6 2 2 4 2 2 4" xfId="0"/>
    <cellStyle name="Normal 6 2 2 4 2 2 4 2" xfId="0"/>
    <cellStyle name="Normal 6 2 2 4 2 2 4 2 2" xfId="0"/>
    <cellStyle name="Normal 6 2 2 4 2 2 4 2 2 2" xfId="0"/>
    <cellStyle name="Normal 6 2 2 4 2 2 4 2 3" xfId="0"/>
    <cellStyle name="Normal 6 2 2 4 2 2 4 3" xfId="0"/>
    <cellStyle name="Normal 6 2 2 4 2 2 4 3 2" xfId="0"/>
    <cellStyle name="Normal 6 2 2 4 2 2 4 4" xfId="0"/>
    <cellStyle name="Normal 6 2 2 4 2 2 5" xfId="0"/>
    <cellStyle name="Normal 6 2 2 4 2 2 5 2" xfId="0"/>
    <cellStyle name="Normal 6 2 2 4 2 2 5 2 2" xfId="0"/>
    <cellStyle name="Normal 6 2 2 4 2 2 5 3" xfId="0"/>
    <cellStyle name="Normal 6 2 2 4 2 2 6" xfId="0"/>
    <cellStyle name="Normal 6 2 2 4 2 2 6 2" xfId="0"/>
    <cellStyle name="Normal 6 2 2 4 2 2 7" xfId="0"/>
    <cellStyle name="Normal 6 2 2 4 2 3" xfId="0"/>
    <cellStyle name="Normal 6 2 2 4 2 3 2" xfId="0"/>
    <cellStyle name="Normal 6 2 2 4 2 3 2 2" xfId="0"/>
    <cellStyle name="Normal 6 2 2 4 2 3 2 2 2" xfId="0"/>
    <cellStyle name="Normal 6 2 2 4 2 3 2 2 2 2" xfId="0"/>
    <cellStyle name="Normal 6 2 2 4 2 3 2 2 2 2 2" xfId="0"/>
    <cellStyle name="Normal 6 2 2 4 2 3 2 2 2 3" xfId="0"/>
    <cellStyle name="Normal 6 2 2 4 2 3 2 2 3" xfId="0"/>
    <cellStyle name="Normal 6 2 2 4 2 3 2 2 3 2" xfId="0"/>
    <cellStyle name="Normal 6 2 2 4 2 3 2 2 4" xfId="0"/>
    <cellStyle name="Normal 6 2 2 4 2 3 2 3" xfId="0"/>
    <cellStyle name="Normal 6 2 2 4 2 3 2 3 2" xfId="0"/>
    <cellStyle name="Normal 6 2 2 4 2 3 2 3 2 2" xfId="0"/>
    <cellStyle name="Normal 6 2 2 4 2 3 2 3 3" xfId="0"/>
    <cellStyle name="Normal 6 2 2 4 2 3 2 4" xfId="0"/>
    <cellStyle name="Normal 6 2 2 4 2 3 2 4 2" xfId="0"/>
    <cellStyle name="Normal 6 2 2 4 2 3 2 5" xfId="0"/>
    <cellStyle name="Normal 6 2 2 4 2 3 3" xfId="0"/>
    <cellStyle name="Normal 6 2 2 4 2 3 3 2" xfId="0"/>
    <cellStyle name="Normal 6 2 2 4 2 3 3 2 2" xfId="0"/>
    <cellStyle name="Normal 6 2 2 4 2 3 3 2 2 2" xfId="0"/>
    <cellStyle name="Normal 6 2 2 4 2 3 3 2 3" xfId="0"/>
    <cellStyle name="Normal 6 2 2 4 2 3 3 3" xfId="0"/>
    <cellStyle name="Normal 6 2 2 4 2 3 3 3 2" xfId="0"/>
    <cellStyle name="Normal 6 2 2 4 2 3 3 4" xfId="0"/>
    <cellStyle name="Normal 6 2 2 4 2 3 4" xfId="0"/>
    <cellStyle name="Normal 6 2 2 4 2 3 4 2" xfId="0"/>
    <cellStyle name="Normal 6 2 2 4 2 3 4 2 2" xfId="0"/>
    <cellStyle name="Normal 6 2 2 4 2 3 4 3" xfId="0"/>
    <cellStyle name="Normal 6 2 2 4 2 3 5" xfId="0"/>
    <cellStyle name="Normal 6 2 2 4 2 3 5 2" xfId="0"/>
    <cellStyle name="Normal 6 2 2 4 2 3 6" xfId="0"/>
    <cellStyle name="Normal 6 2 2 4 2 4" xfId="0"/>
    <cellStyle name="Normal 6 2 2 4 2 4 2" xfId="0"/>
    <cellStyle name="Normal 6 2 2 4 2 4 2 2" xfId="0"/>
    <cellStyle name="Normal 6 2 2 4 2 4 2 2 2" xfId="0"/>
    <cellStyle name="Normal 6 2 2 4 2 4 2 2 2 2" xfId="0"/>
    <cellStyle name="Normal 6 2 2 4 2 4 2 2 3" xfId="0"/>
    <cellStyle name="Normal 6 2 2 4 2 4 2 3" xfId="0"/>
    <cellStyle name="Normal 6 2 2 4 2 4 2 3 2" xfId="0"/>
    <cellStyle name="Normal 6 2 2 4 2 4 2 4" xfId="0"/>
    <cellStyle name="Normal 6 2 2 4 2 4 3" xfId="0"/>
    <cellStyle name="Normal 6 2 2 4 2 4 3 2" xfId="0"/>
    <cellStyle name="Normal 6 2 2 4 2 4 3 2 2" xfId="0"/>
    <cellStyle name="Normal 6 2 2 4 2 4 3 3" xfId="0"/>
    <cellStyle name="Normal 6 2 2 4 2 4 4" xfId="0"/>
    <cellStyle name="Normal 6 2 2 4 2 4 4 2" xfId="0"/>
    <cellStyle name="Normal 6 2 2 4 2 4 5" xfId="0"/>
    <cellStyle name="Normal 6 2 2 4 2 5" xfId="0"/>
    <cellStyle name="Normal 6 2 2 4 2 5 2" xfId="0"/>
    <cellStyle name="Normal 6 2 2 4 2 5 2 2" xfId="0"/>
    <cellStyle name="Normal 6 2 2 4 2 5 2 2 2" xfId="0"/>
    <cellStyle name="Normal 6 2 2 4 2 5 2 3" xfId="0"/>
    <cellStyle name="Normal 6 2 2 4 2 5 3" xfId="0"/>
    <cellStyle name="Normal 6 2 2 4 2 5 3 2" xfId="0"/>
    <cellStyle name="Normal 6 2 2 4 2 5 4" xfId="0"/>
    <cellStyle name="Normal 6 2 2 4 2 6" xfId="0"/>
    <cellStyle name="Normal 6 2 2 4 2 6 2" xfId="0"/>
    <cellStyle name="Normal 6 2 2 4 2 6 2 2" xfId="0"/>
    <cellStyle name="Normal 6 2 2 4 2 6 3" xfId="0"/>
    <cellStyle name="Normal 6 2 2 4 2 7" xfId="0"/>
    <cellStyle name="Normal 6 2 2 4 2 7 2" xfId="0"/>
    <cellStyle name="Normal 6 2 2 4 2 8" xfId="0"/>
    <cellStyle name="Normal 6 2 2 4 3" xfId="0"/>
    <cellStyle name="Normal 6 2 2 4 3 2" xfId="0"/>
    <cellStyle name="Normal 6 2 2 4 3 2 2" xfId="0"/>
    <cellStyle name="Normal 6 2 2 4 3 2 2 2" xfId="0"/>
    <cellStyle name="Normal 6 2 2 4 3 2 2 2 2" xfId="0"/>
    <cellStyle name="Normal 6 2 2 4 3 2 2 2 2 2" xfId="0"/>
    <cellStyle name="Normal 6 2 2 4 3 2 2 2 2 2 2" xfId="0"/>
    <cellStyle name="Normal 6 2 2 4 3 2 2 2 2 2 2 2" xfId="0"/>
    <cellStyle name="Normal 6 2 2 4 3 2 2 2 2 2 3" xfId="0"/>
    <cellStyle name="Normal 6 2 2 4 3 2 2 2 2 3" xfId="0"/>
    <cellStyle name="Normal 6 2 2 4 3 2 2 2 2 3 2" xfId="0"/>
    <cellStyle name="Normal 6 2 2 4 3 2 2 2 2 4" xfId="0"/>
    <cellStyle name="Normal 6 2 2 4 3 2 2 2 3" xfId="0"/>
    <cellStyle name="Normal 6 2 2 4 3 2 2 2 3 2" xfId="0"/>
    <cellStyle name="Normal 6 2 2 4 3 2 2 2 3 2 2" xfId="0"/>
    <cellStyle name="Normal 6 2 2 4 3 2 2 2 3 3" xfId="0"/>
    <cellStyle name="Normal 6 2 2 4 3 2 2 2 4" xfId="0"/>
    <cellStyle name="Normal 6 2 2 4 3 2 2 2 4 2" xfId="0"/>
    <cellStyle name="Normal 6 2 2 4 3 2 2 2 5" xfId="0"/>
    <cellStyle name="Normal 6 2 2 4 3 2 2 3" xfId="0"/>
    <cellStyle name="Normal 6 2 2 4 3 2 2 3 2" xfId="0"/>
    <cellStyle name="Normal 6 2 2 4 3 2 2 3 2 2" xfId="0"/>
    <cellStyle name="Normal 6 2 2 4 3 2 2 3 2 2 2" xfId="0"/>
    <cellStyle name="Normal 6 2 2 4 3 2 2 3 2 3" xfId="0"/>
    <cellStyle name="Normal 6 2 2 4 3 2 2 3 3" xfId="0"/>
    <cellStyle name="Normal 6 2 2 4 3 2 2 3 3 2" xfId="0"/>
    <cellStyle name="Normal 6 2 2 4 3 2 2 3 4" xfId="0"/>
    <cellStyle name="Normal 6 2 2 4 3 2 2 4" xfId="0"/>
    <cellStyle name="Normal 6 2 2 4 3 2 2 4 2" xfId="0"/>
    <cellStyle name="Normal 6 2 2 4 3 2 2 4 2 2" xfId="0"/>
    <cellStyle name="Normal 6 2 2 4 3 2 2 4 3" xfId="0"/>
    <cellStyle name="Normal 6 2 2 4 3 2 2 5" xfId="0"/>
    <cellStyle name="Normal 6 2 2 4 3 2 2 5 2" xfId="0"/>
    <cellStyle name="Normal 6 2 2 4 3 2 2 6" xfId="0"/>
    <cellStyle name="Normal 6 2 2 4 3 2 3" xfId="0"/>
    <cellStyle name="Normal 6 2 2 4 3 2 3 2" xfId="0"/>
    <cellStyle name="Normal 6 2 2 4 3 2 3 2 2" xfId="0"/>
    <cellStyle name="Normal 6 2 2 4 3 2 3 2 2 2" xfId="0"/>
    <cellStyle name="Normal 6 2 2 4 3 2 3 2 2 2 2" xfId="0"/>
    <cellStyle name="Normal 6 2 2 4 3 2 3 2 2 3" xfId="0"/>
    <cellStyle name="Normal 6 2 2 4 3 2 3 2 3" xfId="0"/>
    <cellStyle name="Normal 6 2 2 4 3 2 3 2 3 2" xfId="0"/>
    <cellStyle name="Normal 6 2 2 4 3 2 3 2 4" xfId="0"/>
    <cellStyle name="Normal 6 2 2 4 3 2 3 3" xfId="0"/>
    <cellStyle name="Normal 6 2 2 4 3 2 3 3 2" xfId="0"/>
    <cellStyle name="Normal 6 2 2 4 3 2 3 3 2 2" xfId="0"/>
    <cellStyle name="Normal 6 2 2 4 3 2 3 3 3" xfId="0"/>
    <cellStyle name="Normal 6 2 2 4 3 2 3 4" xfId="0"/>
    <cellStyle name="Normal 6 2 2 4 3 2 3 4 2" xfId="0"/>
    <cellStyle name="Normal 6 2 2 4 3 2 3 5" xfId="0"/>
    <cellStyle name="Normal 6 2 2 4 3 2 4" xfId="0"/>
    <cellStyle name="Normal 6 2 2 4 3 2 4 2" xfId="0"/>
    <cellStyle name="Normal 6 2 2 4 3 2 4 2 2" xfId="0"/>
    <cellStyle name="Normal 6 2 2 4 3 2 4 2 2 2" xfId="0"/>
    <cellStyle name="Normal 6 2 2 4 3 2 4 2 3" xfId="0"/>
    <cellStyle name="Normal 6 2 2 4 3 2 4 3" xfId="0"/>
    <cellStyle name="Normal 6 2 2 4 3 2 4 3 2" xfId="0"/>
    <cellStyle name="Normal 6 2 2 4 3 2 4 4" xfId="0"/>
    <cellStyle name="Normal 6 2 2 4 3 2 5" xfId="0"/>
    <cellStyle name="Normal 6 2 2 4 3 2 5 2" xfId="0"/>
    <cellStyle name="Normal 6 2 2 4 3 2 5 2 2" xfId="0"/>
    <cellStyle name="Normal 6 2 2 4 3 2 5 3" xfId="0"/>
    <cellStyle name="Normal 6 2 2 4 3 2 6" xfId="0"/>
    <cellStyle name="Normal 6 2 2 4 3 2 6 2" xfId="0"/>
    <cellStyle name="Normal 6 2 2 4 3 2 7" xfId="0"/>
    <cellStyle name="Normal 6 2 2 4 3 3" xfId="0"/>
    <cellStyle name="Normal 6 2 2 4 3 3 2" xfId="0"/>
    <cellStyle name="Normal 6 2 2 4 3 3 2 2" xfId="0"/>
    <cellStyle name="Normal 6 2 2 4 3 3 2 2 2" xfId="0"/>
    <cellStyle name="Normal 6 2 2 4 3 3 2 2 2 2" xfId="0"/>
    <cellStyle name="Normal 6 2 2 4 3 3 2 2 2 2 2" xfId="0"/>
    <cellStyle name="Normal 6 2 2 4 3 3 2 2 2 3" xfId="0"/>
    <cellStyle name="Normal 6 2 2 4 3 3 2 2 3" xfId="0"/>
    <cellStyle name="Normal 6 2 2 4 3 3 2 2 3 2" xfId="0"/>
    <cellStyle name="Normal 6 2 2 4 3 3 2 2 4" xfId="0"/>
    <cellStyle name="Normal 6 2 2 4 3 3 2 3" xfId="0"/>
    <cellStyle name="Normal 6 2 2 4 3 3 2 3 2" xfId="0"/>
    <cellStyle name="Normal 6 2 2 4 3 3 2 3 2 2" xfId="0"/>
    <cellStyle name="Normal 6 2 2 4 3 3 2 3 3" xfId="0"/>
    <cellStyle name="Normal 6 2 2 4 3 3 2 4" xfId="0"/>
    <cellStyle name="Normal 6 2 2 4 3 3 2 4 2" xfId="0"/>
    <cellStyle name="Normal 6 2 2 4 3 3 2 5" xfId="0"/>
    <cellStyle name="Normal 6 2 2 4 3 3 3" xfId="0"/>
    <cellStyle name="Normal 6 2 2 4 3 3 3 2" xfId="0"/>
    <cellStyle name="Normal 6 2 2 4 3 3 3 2 2" xfId="0"/>
    <cellStyle name="Normal 6 2 2 4 3 3 3 2 2 2" xfId="0"/>
    <cellStyle name="Normal 6 2 2 4 3 3 3 2 3" xfId="0"/>
    <cellStyle name="Normal 6 2 2 4 3 3 3 3" xfId="0"/>
    <cellStyle name="Normal 6 2 2 4 3 3 3 3 2" xfId="0"/>
    <cellStyle name="Normal 6 2 2 4 3 3 3 4" xfId="0"/>
    <cellStyle name="Normal 6 2 2 4 3 3 4" xfId="0"/>
    <cellStyle name="Normal 6 2 2 4 3 3 4 2" xfId="0"/>
    <cellStyle name="Normal 6 2 2 4 3 3 4 2 2" xfId="0"/>
    <cellStyle name="Normal 6 2 2 4 3 3 4 3" xfId="0"/>
    <cellStyle name="Normal 6 2 2 4 3 3 5" xfId="0"/>
    <cellStyle name="Normal 6 2 2 4 3 3 5 2" xfId="0"/>
    <cellStyle name="Normal 6 2 2 4 3 3 6" xfId="0"/>
    <cellStyle name="Normal 6 2 2 4 3 4" xfId="0"/>
    <cellStyle name="Normal 6 2 2 4 3 4 2" xfId="0"/>
    <cellStyle name="Normal 6 2 2 4 3 4 2 2" xfId="0"/>
    <cellStyle name="Normal 6 2 2 4 3 4 2 2 2" xfId="0"/>
    <cellStyle name="Normal 6 2 2 4 3 4 2 2 2 2" xfId="0"/>
    <cellStyle name="Normal 6 2 2 4 3 4 2 2 3" xfId="0"/>
    <cellStyle name="Normal 6 2 2 4 3 4 2 3" xfId="0"/>
    <cellStyle name="Normal 6 2 2 4 3 4 2 3 2" xfId="0"/>
    <cellStyle name="Normal 6 2 2 4 3 4 2 4" xfId="0"/>
    <cellStyle name="Normal 6 2 2 4 3 4 3" xfId="0"/>
    <cellStyle name="Normal 6 2 2 4 3 4 3 2" xfId="0"/>
    <cellStyle name="Normal 6 2 2 4 3 4 3 2 2" xfId="0"/>
    <cellStyle name="Normal 6 2 2 4 3 4 3 3" xfId="0"/>
    <cellStyle name="Normal 6 2 2 4 3 4 4" xfId="0"/>
    <cellStyle name="Normal 6 2 2 4 3 4 4 2" xfId="0"/>
    <cellStyle name="Normal 6 2 2 4 3 4 5" xfId="0"/>
    <cellStyle name="Normal 6 2 2 4 3 5" xfId="0"/>
    <cellStyle name="Normal 6 2 2 4 3 5 2" xfId="0"/>
    <cellStyle name="Normal 6 2 2 4 3 5 2 2" xfId="0"/>
    <cellStyle name="Normal 6 2 2 4 3 5 2 2 2" xfId="0"/>
    <cellStyle name="Normal 6 2 2 4 3 5 2 3" xfId="0"/>
    <cellStyle name="Normal 6 2 2 4 3 5 3" xfId="0"/>
    <cellStyle name="Normal 6 2 2 4 3 5 3 2" xfId="0"/>
    <cellStyle name="Normal 6 2 2 4 3 5 4" xfId="0"/>
    <cellStyle name="Normal 6 2 2 4 3 6" xfId="0"/>
    <cellStyle name="Normal 6 2 2 4 3 6 2" xfId="0"/>
    <cellStyle name="Normal 6 2 2 4 3 6 2 2" xfId="0"/>
    <cellStyle name="Normal 6 2 2 4 3 6 3" xfId="0"/>
    <cellStyle name="Normal 6 2 2 4 3 7" xfId="0"/>
    <cellStyle name="Normal 6 2 2 4 3 7 2" xfId="0"/>
    <cellStyle name="Normal 6 2 2 4 3 8" xfId="0"/>
    <cellStyle name="Normal 6 2 2 4 4" xfId="0"/>
    <cellStyle name="Normal 6 2 2 4 4 2" xfId="0"/>
    <cellStyle name="Normal 6 2 2 4 4 2 2" xfId="0"/>
    <cellStyle name="Normal 6 2 2 4 4 2 2 2" xfId="0"/>
    <cellStyle name="Normal 6 2 2 4 4 2 2 2 2" xfId="0"/>
    <cellStyle name="Normal 6 2 2 4 4 2 2 2 2 2" xfId="0"/>
    <cellStyle name="Normal 6 2 2 4 4 2 2 2 2 2 2" xfId="0"/>
    <cellStyle name="Normal 6 2 2 4 4 2 2 2 2 3" xfId="0"/>
    <cellStyle name="Normal 6 2 2 4 4 2 2 2 3" xfId="0"/>
    <cellStyle name="Normal 6 2 2 4 4 2 2 2 3 2" xfId="0"/>
    <cellStyle name="Normal 6 2 2 4 4 2 2 2 4" xfId="0"/>
    <cellStyle name="Normal 6 2 2 4 4 2 2 3" xfId="0"/>
    <cellStyle name="Normal 6 2 2 4 4 2 2 3 2" xfId="0"/>
    <cellStyle name="Normal 6 2 2 4 4 2 2 3 2 2" xfId="0"/>
    <cellStyle name="Normal 6 2 2 4 4 2 2 3 3" xfId="0"/>
    <cellStyle name="Normal 6 2 2 4 4 2 2 4" xfId="0"/>
    <cellStyle name="Normal 6 2 2 4 4 2 2 4 2" xfId="0"/>
    <cellStyle name="Normal 6 2 2 4 4 2 2 5" xfId="0"/>
    <cellStyle name="Normal 6 2 2 4 4 2 3" xfId="0"/>
    <cellStyle name="Normal 6 2 2 4 4 2 3 2" xfId="0"/>
    <cellStyle name="Normal 6 2 2 4 4 2 3 2 2" xfId="0"/>
    <cellStyle name="Normal 6 2 2 4 4 2 3 2 2 2" xfId="0"/>
    <cellStyle name="Normal 6 2 2 4 4 2 3 2 3" xfId="0"/>
    <cellStyle name="Normal 6 2 2 4 4 2 3 3" xfId="0"/>
    <cellStyle name="Normal 6 2 2 4 4 2 3 3 2" xfId="0"/>
    <cellStyle name="Normal 6 2 2 4 4 2 3 4" xfId="0"/>
    <cellStyle name="Normal 6 2 2 4 4 2 4" xfId="0"/>
    <cellStyle name="Normal 6 2 2 4 4 2 4 2" xfId="0"/>
    <cellStyle name="Normal 6 2 2 4 4 2 4 2 2" xfId="0"/>
    <cellStyle name="Normal 6 2 2 4 4 2 4 3" xfId="0"/>
    <cellStyle name="Normal 6 2 2 4 4 2 5" xfId="0"/>
    <cellStyle name="Normal 6 2 2 4 4 2 5 2" xfId="0"/>
    <cellStyle name="Normal 6 2 2 4 4 2 6" xfId="0"/>
    <cellStyle name="Normal 6 2 2 4 4 3" xfId="0"/>
    <cellStyle name="Normal 6 2 2 4 4 3 2" xfId="0"/>
    <cellStyle name="Normal 6 2 2 4 4 3 2 2" xfId="0"/>
    <cellStyle name="Normal 6 2 2 4 4 3 2 2 2" xfId="0"/>
    <cellStyle name="Normal 6 2 2 4 4 3 2 2 2 2" xfId="0"/>
    <cellStyle name="Normal 6 2 2 4 4 3 2 2 3" xfId="0"/>
    <cellStyle name="Normal 6 2 2 4 4 3 2 3" xfId="0"/>
    <cellStyle name="Normal 6 2 2 4 4 3 2 3 2" xfId="0"/>
    <cellStyle name="Normal 6 2 2 4 4 3 2 4" xfId="0"/>
    <cellStyle name="Normal 6 2 2 4 4 3 3" xfId="0"/>
    <cellStyle name="Normal 6 2 2 4 4 3 3 2" xfId="0"/>
    <cellStyle name="Normal 6 2 2 4 4 3 3 2 2" xfId="0"/>
    <cellStyle name="Normal 6 2 2 4 4 3 3 3" xfId="0"/>
    <cellStyle name="Normal 6 2 2 4 4 3 4" xfId="0"/>
    <cellStyle name="Normal 6 2 2 4 4 3 4 2" xfId="0"/>
    <cellStyle name="Normal 6 2 2 4 4 3 5" xfId="0"/>
    <cellStyle name="Normal 6 2 2 4 4 4" xfId="0"/>
    <cellStyle name="Normal 6 2 2 4 4 4 2" xfId="0"/>
    <cellStyle name="Normal 6 2 2 4 4 4 2 2" xfId="0"/>
    <cellStyle name="Normal 6 2 2 4 4 4 2 2 2" xfId="0"/>
    <cellStyle name="Normal 6 2 2 4 4 4 2 3" xfId="0"/>
    <cellStyle name="Normal 6 2 2 4 4 4 3" xfId="0"/>
    <cellStyle name="Normal 6 2 2 4 4 4 3 2" xfId="0"/>
    <cellStyle name="Normal 6 2 2 4 4 4 4" xfId="0"/>
    <cellStyle name="Normal 6 2 2 4 4 5" xfId="0"/>
    <cellStyle name="Normal 6 2 2 4 4 5 2" xfId="0"/>
    <cellStyle name="Normal 6 2 2 4 4 5 2 2" xfId="0"/>
    <cellStyle name="Normal 6 2 2 4 4 5 3" xfId="0"/>
    <cellStyle name="Normal 6 2 2 4 4 6" xfId="0"/>
    <cellStyle name="Normal 6 2 2 4 4 6 2" xfId="0"/>
    <cellStyle name="Normal 6 2 2 4 4 7" xfId="0"/>
    <cellStyle name="Normal 6 2 2 4 5" xfId="0"/>
    <cellStyle name="Normal 6 2 2 4 5 2" xfId="0"/>
    <cellStyle name="Normal 6 2 2 4 5 2 2" xfId="0"/>
    <cellStyle name="Normal 6 2 2 4 5 2 2 2" xfId="0"/>
    <cellStyle name="Normal 6 2 2 4 5 2 2 2 2" xfId="0"/>
    <cellStyle name="Normal 6 2 2 4 5 2 2 2 2 2" xfId="0"/>
    <cellStyle name="Normal 6 2 2 4 5 2 2 2 2 2 2" xfId="0"/>
    <cellStyle name="Normal 6 2 2 4 5 2 2 2 2 3" xfId="0"/>
    <cellStyle name="Normal 6 2 2 4 5 2 2 2 3" xfId="0"/>
    <cellStyle name="Normal 6 2 2 4 5 2 2 2 3 2" xfId="0"/>
    <cellStyle name="Normal 6 2 2 4 5 2 2 2 4" xfId="0"/>
    <cellStyle name="Normal 6 2 2 4 5 2 2 3" xfId="0"/>
    <cellStyle name="Normal 6 2 2 4 5 2 2 3 2" xfId="0"/>
    <cellStyle name="Normal 6 2 2 4 5 2 2 3 2 2" xfId="0"/>
    <cellStyle name="Normal 6 2 2 4 5 2 2 3 3" xfId="0"/>
    <cellStyle name="Normal 6 2 2 4 5 2 2 4" xfId="0"/>
    <cellStyle name="Normal 6 2 2 4 5 2 2 4 2" xfId="0"/>
    <cellStyle name="Normal 6 2 2 4 5 2 2 5" xfId="0"/>
    <cellStyle name="Normal 6 2 2 4 5 2 3" xfId="0"/>
    <cellStyle name="Normal 6 2 2 4 5 2 3 2" xfId="0"/>
    <cellStyle name="Normal 6 2 2 4 5 2 3 2 2" xfId="0"/>
    <cellStyle name="Normal 6 2 2 4 5 2 3 2 2 2" xfId="0"/>
    <cellStyle name="Normal 6 2 2 4 5 2 3 2 3" xfId="0"/>
    <cellStyle name="Normal 6 2 2 4 5 2 3 3" xfId="0"/>
    <cellStyle name="Normal 6 2 2 4 5 2 3 3 2" xfId="0"/>
    <cellStyle name="Normal 6 2 2 4 5 2 3 4" xfId="0"/>
    <cellStyle name="Normal 6 2 2 4 5 2 4" xfId="0"/>
    <cellStyle name="Normal 6 2 2 4 5 2 4 2" xfId="0"/>
    <cellStyle name="Normal 6 2 2 4 5 2 4 2 2" xfId="0"/>
    <cellStyle name="Normal 6 2 2 4 5 2 4 3" xfId="0"/>
    <cellStyle name="Normal 6 2 2 4 5 2 5" xfId="0"/>
    <cellStyle name="Normal 6 2 2 4 5 2 5 2" xfId="0"/>
    <cellStyle name="Normal 6 2 2 4 5 2 6" xfId="0"/>
    <cellStyle name="Normal 6 2 2 4 5 3" xfId="0"/>
    <cellStyle name="Normal 6 2 2 4 5 3 2" xfId="0"/>
    <cellStyle name="Normal 6 2 2 4 5 3 2 2" xfId="0"/>
    <cellStyle name="Normal 6 2 2 4 5 3 2 2 2" xfId="0"/>
    <cellStyle name="Normal 6 2 2 4 5 3 2 2 2 2" xfId="0"/>
    <cellStyle name="Normal 6 2 2 4 5 3 2 2 3" xfId="0"/>
    <cellStyle name="Normal 6 2 2 4 5 3 2 3" xfId="0"/>
    <cellStyle name="Normal 6 2 2 4 5 3 2 3 2" xfId="0"/>
    <cellStyle name="Normal 6 2 2 4 5 3 2 4" xfId="0"/>
    <cellStyle name="Normal 6 2 2 4 5 3 3" xfId="0"/>
    <cellStyle name="Normal 6 2 2 4 5 3 3 2" xfId="0"/>
    <cellStyle name="Normal 6 2 2 4 5 3 3 2 2" xfId="0"/>
    <cellStyle name="Normal 6 2 2 4 5 3 3 3" xfId="0"/>
    <cellStyle name="Normal 6 2 2 4 5 3 4" xfId="0"/>
    <cellStyle name="Normal 6 2 2 4 5 3 4 2" xfId="0"/>
    <cellStyle name="Normal 6 2 2 4 5 3 5" xfId="0"/>
    <cellStyle name="Normal 6 2 2 4 5 4" xfId="0"/>
    <cellStyle name="Normal 6 2 2 4 5 4 2" xfId="0"/>
    <cellStyle name="Normal 6 2 2 4 5 4 2 2" xfId="0"/>
    <cellStyle name="Normal 6 2 2 4 5 4 2 2 2" xfId="0"/>
    <cellStyle name="Normal 6 2 2 4 5 4 2 3" xfId="0"/>
    <cellStyle name="Normal 6 2 2 4 5 4 3" xfId="0"/>
    <cellStyle name="Normal 6 2 2 4 5 4 3 2" xfId="0"/>
    <cellStyle name="Normal 6 2 2 4 5 4 4" xfId="0"/>
    <cellStyle name="Normal 6 2 2 4 5 5" xfId="0"/>
    <cellStyle name="Normal 6 2 2 4 5 5 2" xfId="0"/>
    <cellStyle name="Normal 6 2 2 4 5 5 2 2" xfId="0"/>
    <cellStyle name="Normal 6 2 2 4 5 5 3" xfId="0"/>
    <cellStyle name="Normal 6 2 2 4 5 6" xfId="0"/>
    <cellStyle name="Normal 6 2 2 4 5 6 2" xfId="0"/>
    <cellStyle name="Normal 6 2 2 4 5 7" xfId="0"/>
    <cellStyle name="Normal 6 2 2 4 6" xfId="0"/>
    <cellStyle name="Normal 6 2 2 4 6 2" xfId="0"/>
    <cellStyle name="Normal 6 2 2 4 6 2 2" xfId="0"/>
    <cellStyle name="Normal 6 2 2 4 6 2 2 2" xfId="0"/>
    <cellStyle name="Normal 6 2 2 4 6 2 2 2 2" xfId="0"/>
    <cellStyle name="Normal 6 2 2 4 6 2 2 2 2 2" xfId="0"/>
    <cellStyle name="Normal 6 2 2 4 6 2 2 2 3" xfId="0"/>
    <cellStyle name="Normal 6 2 2 4 6 2 2 3" xfId="0"/>
    <cellStyle name="Normal 6 2 2 4 6 2 2 3 2" xfId="0"/>
    <cellStyle name="Normal 6 2 2 4 6 2 2 4" xfId="0"/>
    <cellStyle name="Normal 6 2 2 4 6 2 3" xfId="0"/>
    <cellStyle name="Normal 6 2 2 4 6 2 3 2" xfId="0"/>
    <cellStyle name="Normal 6 2 2 4 6 2 3 2 2" xfId="0"/>
    <cellStyle name="Normal 6 2 2 4 6 2 3 3" xfId="0"/>
    <cellStyle name="Normal 6 2 2 4 6 2 4" xfId="0"/>
    <cellStyle name="Normal 6 2 2 4 6 2 4 2" xfId="0"/>
    <cellStyle name="Normal 6 2 2 4 6 2 5" xfId="0"/>
    <cellStyle name="Normal 6 2 2 4 6 3" xfId="0"/>
    <cellStyle name="Normal 6 2 2 4 6 3 2" xfId="0"/>
    <cellStyle name="Normal 6 2 2 4 6 3 2 2" xfId="0"/>
    <cellStyle name="Normal 6 2 2 4 6 3 2 2 2" xfId="0"/>
    <cellStyle name="Normal 6 2 2 4 6 3 2 3" xfId="0"/>
    <cellStyle name="Normal 6 2 2 4 6 3 3" xfId="0"/>
    <cellStyle name="Normal 6 2 2 4 6 3 3 2" xfId="0"/>
    <cellStyle name="Normal 6 2 2 4 6 3 4" xfId="0"/>
    <cellStyle name="Normal 6 2 2 4 6 4" xfId="0"/>
    <cellStyle name="Normal 6 2 2 4 6 4 2" xfId="0"/>
    <cellStyle name="Normal 6 2 2 4 6 4 2 2" xfId="0"/>
    <cellStyle name="Normal 6 2 2 4 6 4 3" xfId="0"/>
    <cellStyle name="Normal 6 2 2 4 6 5" xfId="0"/>
    <cellStyle name="Normal 6 2 2 4 6 5 2" xfId="0"/>
    <cellStyle name="Normal 6 2 2 4 6 6" xfId="0"/>
    <cellStyle name="Normal 6 2 2 4 7" xfId="0"/>
    <cellStyle name="Normal 6 2 2 4 7 2" xfId="0"/>
    <cellStyle name="Normal 6 2 2 4 7 2 2" xfId="0"/>
    <cellStyle name="Normal 6 2 2 4 7 2 2 2" xfId="0"/>
    <cellStyle name="Normal 6 2 2 4 7 2 2 2 2" xfId="0"/>
    <cellStyle name="Normal 6 2 2 4 7 2 2 3" xfId="0"/>
    <cellStyle name="Normal 6 2 2 4 7 2 3" xfId="0"/>
    <cellStyle name="Normal 6 2 2 4 7 2 3 2" xfId="0"/>
    <cellStyle name="Normal 6 2 2 4 7 2 4" xfId="0"/>
    <cellStyle name="Normal 6 2 2 4 7 3" xfId="0"/>
    <cellStyle name="Normal 6 2 2 4 7 3 2" xfId="0"/>
    <cellStyle name="Normal 6 2 2 4 7 3 2 2" xfId="0"/>
    <cellStyle name="Normal 6 2 2 4 7 3 3" xfId="0"/>
    <cellStyle name="Normal 6 2 2 4 7 4" xfId="0"/>
    <cellStyle name="Normal 6 2 2 4 7 4 2" xfId="0"/>
    <cellStyle name="Normal 6 2 2 4 7 5" xfId="0"/>
    <cellStyle name="Normal 6 2 2 4 8" xfId="0"/>
    <cellStyle name="Normal 6 2 2 4 8 2" xfId="0"/>
    <cellStyle name="Normal 6 2 2 4 8 2 2" xfId="0"/>
    <cellStyle name="Normal 6 2 2 4 8 2 2 2" xfId="0"/>
    <cellStyle name="Normal 6 2 2 4 8 2 3" xfId="0"/>
    <cellStyle name="Normal 6 2 2 4 8 3" xfId="0"/>
    <cellStyle name="Normal 6 2 2 4 8 3 2" xfId="0"/>
    <cellStyle name="Normal 6 2 2 4 8 4" xfId="0"/>
    <cellStyle name="Normal 6 2 2 4 9" xfId="0"/>
    <cellStyle name="Normal 6 2 2 4 9 2" xfId="0"/>
    <cellStyle name="Normal 6 2 2 4 9 2 2" xfId="0"/>
    <cellStyle name="Normal 6 2 2 4 9 3" xfId="0"/>
    <cellStyle name="Normal 6 2 2 5" xfId="0"/>
    <cellStyle name="Normal 6 2 2 5 2" xfId="0"/>
    <cellStyle name="Normal 6 2 2 5 2 2" xfId="0"/>
    <cellStyle name="Normal 6 2 2 5 2 2 2" xfId="0"/>
    <cellStyle name="Normal 6 2 2 5 2 2 2 2" xfId="0"/>
    <cellStyle name="Normal 6 2 2 5 2 2 2 2 2" xfId="0"/>
    <cellStyle name="Normal 6 2 2 5 2 2 2 2 2 2" xfId="0"/>
    <cellStyle name="Normal 6 2 2 5 2 2 2 2 2 2 2" xfId="0"/>
    <cellStyle name="Normal 6 2 2 5 2 2 2 2 2 3" xfId="0"/>
    <cellStyle name="Normal 6 2 2 5 2 2 2 2 3" xfId="0"/>
    <cellStyle name="Normal 6 2 2 5 2 2 2 2 3 2" xfId="0"/>
    <cellStyle name="Normal 6 2 2 5 2 2 2 2 4" xfId="0"/>
    <cellStyle name="Normal 6 2 2 5 2 2 2 3" xfId="0"/>
    <cellStyle name="Normal 6 2 2 5 2 2 2 3 2" xfId="0"/>
    <cellStyle name="Normal 6 2 2 5 2 2 2 3 2 2" xfId="0"/>
    <cellStyle name="Normal 6 2 2 5 2 2 2 3 3" xfId="0"/>
    <cellStyle name="Normal 6 2 2 5 2 2 2 4" xfId="0"/>
    <cellStyle name="Normal 6 2 2 5 2 2 2 4 2" xfId="0"/>
    <cellStyle name="Normal 6 2 2 5 2 2 2 5" xfId="0"/>
    <cellStyle name="Normal 6 2 2 5 2 2 3" xfId="0"/>
    <cellStyle name="Normal 6 2 2 5 2 2 3 2" xfId="0"/>
    <cellStyle name="Normal 6 2 2 5 2 2 3 2 2" xfId="0"/>
    <cellStyle name="Normal 6 2 2 5 2 2 3 2 2 2" xfId="0"/>
    <cellStyle name="Normal 6 2 2 5 2 2 3 2 3" xfId="0"/>
    <cellStyle name="Normal 6 2 2 5 2 2 3 3" xfId="0"/>
    <cellStyle name="Normal 6 2 2 5 2 2 3 3 2" xfId="0"/>
    <cellStyle name="Normal 6 2 2 5 2 2 3 4" xfId="0"/>
    <cellStyle name="Normal 6 2 2 5 2 2 4" xfId="0"/>
    <cellStyle name="Normal 6 2 2 5 2 2 4 2" xfId="0"/>
    <cellStyle name="Normal 6 2 2 5 2 2 4 2 2" xfId="0"/>
    <cellStyle name="Normal 6 2 2 5 2 2 4 3" xfId="0"/>
    <cellStyle name="Normal 6 2 2 5 2 2 5" xfId="0"/>
    <cellStyle name="Normal 6 2 2 5 2 2 5 2" xfId="0"/>
    <cellStyle name="Normal 6 2 2 5 2 2 6" xfId="0"/>
    <cellStyle name="Normal 6 2 2 5 2 3" xfId="0"/>
    <cellStyle name="Normal 6 2 2 5 2 3 2" xfId="0"/>
    <cellStyle name="Normal 6 2 2 5 2 3 2 2" xfId="0"/>
    <cellStyle name="Normal 6 2 2 5 2 3 2 2 2" xfId="0"/>
    <cellStyle name="Normal 6 2 2 5 2 3 2 2 2 2" xfId="0"/>
    <cellStyle name="Normal 6 2 2 5 2 3 2 2 3" xfId="0"/>
    <cellStyle name="Normal 6 2 2 5 2 3 2 3" xfId="0"/>
    <cellStyle name="Normal 6 2 2 5 2 3 2 3 2" xfId="0"/>
    <cellStyle name="Normal 6 2 2 5 2 3 2 4" xfId="0"/>
    <cellStyle name="Normal 6 2 2 5 2 3 3" xfId="0"/>
    <cellStyle name="Normal 6 2 2 5 2 3 3 2" xfId="0"/>
    <cellStyle name="Normal 6 2 2 5 2 3 3 2 2" xfId="0"/>
    <cellStyle name="Normal 6 2 2 5 2 3 3 3" xfId="0"/>
    <cellStyle name="Normal 6 2 2 5 2 3 4" xfId="0"/>
    <cellStyle name="Normal 6 2 2 5 2 3 4 2" xfId="0"/>
    <cellStyle name="Normal 6 2 2 5 2 3 5" xfId="0"/>
    <cellStyle name="Normal 6 2 2 5 2 4" xfId="0"/>
    <cellStyle name="Normal 6 2 2 5 2 4 2" xfId="0"/>
    <cellStyle name="Normal 6 2 2 5 2 4 2 2" xfId="0"/>
    <cellStyle name="Normal 6 2 2 5 2 4 2 2 2" xfId="0"/>
    <cellStyle name="Normal 6 2 2 5 2 4 2 3" xfId="0"/>
    <cellStyle name="Normal 6 2 2 5 2 4 3" xfId="0"/>
    <cellStyle name="Normal 6 2 2 5 2 4 3 2" xfId="0"/>
    <cellStyle name="Normal 6 2 2 5 2 4 4" xfId="0"/>
    <cellStyle name="Normal 6 2 2 5 2 5" xfId="0"/>
    <cellStyle name="Normal 6 2 2 5 2 5 2" xfId="0"/>
    <cellStyle name="Normal 6 2 2 5 2 5 2 2" xfId="0"/>
    <cellStyle name="Normal 6 2 2 5 2 5 3" xfId="0"/>
    <cellStyle name="Normal 6 2 2 5 2 6" xfId="0"/>
    <cellStyle name="Normal 6 2 2 5 2 6 2" xfId="0"/>
    <cellStyle name="Normal 6 2 2 5 2 7" xfId="0"/>
    <cellStyle name="Normal 6 2 2 5 3" xfId="0"/>
    <cellStyle name="Normal 6 2 2 5 3 2" xfId="0"/>
    <cellStyle name="Normal 6 2 2 5 3 2 2" xfId="0"/>
    <cellStyle name="Normal 6 2 2 5 3 2 2 2" xfId="0"/>
    <cellStyle name="Normal 6 2 2 5 3 2 2 2 2" xfId="0"/>
    <cellStyle name="Normal 6 2 2 5 3 2 2 2 2 2" xfId="0"/>
    <cellStyle name="Normal 6 2 2 5 3 2 2 2 3" xfId="0"/>
    <cellStyle name="Normal 6 2 2 5 3 2 2 3" xfId="0"/>
    <cellStyle name="Normal 6 2 2 5 3 2 2 3 2" xfId="0"/>
    <cellStyle name="Normal 6 2 2 5 3 2 2 4" xfId="0"/>
    <cellStyle name="Normal 6 2 2 5 3 2 3" xfId="0"/>
    <cellStyle name="Normal 6 2 2 5 3 2 3 2" xfId="0"/>
    <cellStyle name="Normal 6 2 2 5 3 2 3 2 2" xfId="0"/>
    <cellStyle name="Normal 6 2 2 5 3 2 3 3" xfId="0"/>
    <cellStyle name="Normal 6 2 2 5 3 2 4" xfId="0"/>
    <cellStyle name="Normal 6 2 2 5 3 2 4 2" xfId="0"/>
    <cellStyle name="Normal 6 2 2 5 3 2 5" xfId="0"/>
    <cellStyle name="Normal 6 2 2 5 3 3" xfId="0"/>
    <cellStyle name="Normal 6 2 2 5 3 3 2" xfId="0"/>
    <cellStyle name="Normal 6 2 2 5 3 3 2 2" xfId="0"/>
    <cellStyle name="Normal 6 2 2 5 3 3 2 2 2" xfId="0"/>
    <cellStyle name="Normal 6 2 2 5 3 3 2 3" xfId="0"/>
    <cellStyle name="Normal 6 2 2 5 3 3 3" xfId="0"/>
    <cellStyle name="Normal 6 2 2 5 3 3 3 2" xfId="0"/>
    <cellStyle name="Normal 6 2 2 5 3 3 4" xfId="0"/>
    <cellStyle name="Normal 6 2 2 5 3 4" xfId="0"/>
    <cellStyle name="Normal 6 2 2 5 3 4 2" xfId="0"/>
    <cellStyle name="Normal 6 2 2 5 3 4 2 2" xfId="0"/>
    <cellStyle name="Normal 6 2 2 5 3 4 3" xfId="0"/>
    <cellStyle name="Normal 6 2 2 5 3 5" xfId="0"/>
    <cellStyle name="Normal 6 2 2 5 3 5 2" xfId="0"/>
    <cellStyle name="Normal 6 2 2 5 3 6" xfId="0"/>
    <cellStyle name="Normal 6 2 2 5 4" xfId="0"/>
    <cellStyle name="Normal 6 2 2 5 4 2" xfId="0"/>
    <cellStyle name="Normal 6 2 2 5 4 2 2" xfId="0"/>
    <cellStyle name="Normal 6 2 2 5 4 2 2 2" xfId="0"/>
    <cellStyle name="Normal 6 2 2 5 4 2 2 2 2" xfId="0"/>
    <cellStyle name="Normal 6 2 2 5 4 2 2 3" xfId="0"/>
    <cellStyle name="Normal 6 2 2 5 4 2 3" xfId="0"/>
    <cellStyle name="Normal 6 2 2 5 4 2 3 2" xfId="0"/>
    <cellStyle name="Normal 6 2 2 5 4 2 4" xfId="0"/>
    <cellStyle name="Normal 6 2 2 5 4 3" xfId="0"/>
    <cellStyle name="Normal 6 2 2 5 4 3 2" xfId="0"/>
    <cellStyle name="Normal 6 2 2 5 4 3 2 2" xfId="0"/>
    <cellStyle name="Normal 6 2 2 5 4 3 3" xfId="0"/>
    <cellStyle name="Normal 6 2 2 5 4 4" xfId="0"/>
    <cellStyle name="Normal 6 2 2 5 4 4 2" xfId="0"/>
    <cellStyle name="Normal 6 2 2 5 4 5" xfId="0"/>
    <cellStyle name="Normal 6 2 2 5 5" xfId="0"/>
    <cellStyle name="Normal 6 2 2 5 5 2" xfId="0"/>
    <cellStyle name="Normal 6 2 2 5 5 2 2" xfId="0"/>
    <cellStyle name="Normal 6 2 2 5 5 2 2 2" xfId="0"/>
    <cellStyle name="Normal 6 2 2 5 5 2 3" xfId="0"/>
    <cellStyle name="Normal 6 2 2 5 5 3" xfId="0"/>
    <cellStyle name="Normal 6 2 2 5 5 3 2" xfId="0"/>
    <cellStyle name="Normal 6 2 2 5 5 4" xfId="0"/>
    <cellStyle name="Normal 6 2 2 5 6" xfId="0"/>
    <cellStyle name="Normal 6 2 2 5 6 2" xfId="0"/>
    <cellStyle name="Normal 6 2 2 5 6 2 2" xfId="0"/>
    <cellStyle name="Normal 6 2 2 5 6 3" xfId="0"/>
    <cellStyle name="Normal 6 2 2 5 7" xfId="0"/>
    <cellStyle name="Normal 6 2 2 5 7 2" xfId="0"/>
    <cellStyle name="Normal 6 2 2 5 8" xfId="0"/>
    <cellStyle name="Normal 6 2 2 6" xfId="0"/>
    <cellStyle name="Normal 6 2 2 6 2" xfId="0"/>
    <cellStyle name="Normal 6 2 2 6 2 2" xfId="0"/>
    <cellStyle name="Normal 6 2 2 6 2 2 2" xfId="0"/>
    <cellStyle name="Normal 6 2 2 6 2 2 2 2" xfId="0"/>
    <cellStyle name="Normal 6 2 2 6 2 2 2 2 2" xfId="0"/>
    <cellStyle name="Normal 6 2 2 6 2 2 2 2 2 2" xfId="0"/>
    <cellStyle name="Normal 6 2 2 6 2 2 2 2 2 2 2" xfId="0"/>
    <cellStyle name="Normal 6 2 2 6 2 2 2 2 2 3" xfId="0"/>
    <cellStyle name="Normal 6 2 2 6 2 2 2 2 3" xfId="0"/>
    <cellStyle name="Normal 6 2 2 6 2 2 2 2 3 2" xfId="0"/>
    <cellStyle name="Normal 6 2 2 6 2 2 2 2 4" xfId="0"/>
    <cellStyle name="Normal 6 2 2 6 2 2 2 3" xfId="0"/>
    <cellStyle name="Normal 6 2 2 6 2 2 2 3 2" xfId="0"/>
    <cellStyle name="Normal 6 2 2 6 2 2 2 3 2 2" xfId="0"/>
    <cellStyle name="Normal 6 2 2 6 2 2 2 3 3" xfId="0"/>
    <cellStyle name="Normal 6 2 2 6 2 2 2 4" xfId="0"/>
    <cellStyle name="Normal 6 2 2 6 2 2 2 4 2" xfId="0"/>
    <cellStyle name="Normal 6 2 2 6 2 2 2 5" xfId="0"/>
    <cellStyle name="Normal 6 2 2 6 2 2 3" xfId="0"/>
    <cellStyle name="Normal 6 2 2 6 2 2 3 2" xfId="0"/>
    <cellStyle name="Normal 6 2 2 6 2 2 3 2 2" xfId="0"/>
    <cellStyle name="Normal 6 2 2 6 2 2 3 2 2 2" xfId="0"/>
    <cellStyle name="Normal 6 2 2 6 2 2 3 2 3" xfId="0"/>
    <cellStyle name="Normal 6 2 2 6 2 2 3 3" xfId="0"/>
    <cellStyle name="Normal 6 2 2 6 2 2 3 3 2" xfId="0"/>
    <cellStyle name="Normal 6 2 2 6 2 2 3 4" xfId="0"/>
    <cellStyle name="Normal 6 2 2 6 2 2 4" xfId="0"/>
    <cellStyle name="Normal 6 2 2 6 2 2 4 2" xfId="0"/>
    <cellStyle name="Normal 6 2 2 6 2 2 4 2 2" xfId="0"/>
    <cellStyle name="Normal 6 2 2 6 2 2 4 3" xfId="0"/>
    <cellStyle name="Normal 6 2 2 6 2 2 5" xfId="0"/>
    <cellStyle name="Normal 6 2 2 6 2 2 5 2" xfId="0"/>
    <cellStyle name="Normal 6 2 2 6 2 2 6" xfId="0"/>
    <cellStyle name="Normal 6 2 2 6 2 3" xfId="0"/>
    <cellStyle name="Normal 6 2 2 6 2 3 2" xfId="0"/>
    <cellStyle name="Normal 6 2 2 6 2 3 2 2" xfId="0"/>
    <cellStyle name="Normal 6 2 2 6 2 3 2 2 2" xfId="0"/>
    <cellStyle name="Normal 6 2 2 6 2 3 2 2 2 2" xfId="0"/>
    <cellStyle name="Normal 6 2 2 6 2 3 2 2 3" xfId="0"/>
    <cellStyle name="Normal 6 2 2 6 2 3 2 3" xfId="0"/>
    <cellStyle name="Normal 6 2 2 6 2 3 2 3 2" xfId="0"/>
    <cellStyle name="Normal 6 2 2 6 2 3 2 4" xfId="0"/>
    <cellStyle name="Normal 6 2 2 6 2 3 3" xfId="0"/>
    <cellStyle name="Normal 6 2 2 6 2 3 3 2" xfId="0"/>
    <cellStyle name="Normal 6 2 2 6 2 3 3 2 2" xfId="0"/>
    <cellStyle name="Normal 6 2 2 6 2 3 3 3" xfId="0"/>
    <cellStyle name="Normal 6 2 2 6 2 3 4" xfId="0"/>
    <cellStyle name="Normal 6 2 2 6 2 3 4 2" xfId="0"/>
    <cellStyle name="Normal 6 2 2 6 2 3 5" xfId="0"/>
    <cellStyle name="Normal 6 2 2 6 2 4" xfId="0"/>
    <cellStyle name="Normal 6 2 2 6 2 4 2" xfId="0"/>
    <cellStyle name="Normal 6 2 2 6 2 4 2 2" xfId="0"/>
    <cellStyle name="Normal 6 2 2 6 2 4 2 2 2" xfId="0"/>
    <cellStyle name="Normal 6 2 2 6 2 4 2 3" xfId="0"/>
    <cellStyle name="Normal 6 2 2 6 2 4 3" xfId="0"/>
    <cellStyle name="Normal 6 2 2 6 2 4 3 2" xfId="0"/>
    <cellStyle name="Normal 6 2 2 6 2 4 4" xfId="0"/>
    <cellStyle name="Normal 6 2 2 6 2 5" xfId="0"/>
    <cellStyle name="Normal 6 2 2 6 2 5 2" xfId="0"/>
    <cellStyle name="Normal 6 2 2 6 2 5 2 2" xfId="0"/>
    <cellStyle name="Normal 6 2 2 6 2 5 3" xfId="0"/>
    <cellStyle name="Normal 6 2 2 6 2 6" xfId="0"/>
    <cellStyle name="Normal 6 2 2 6 2 6 2" xfId="0"/>
    <cellStyle name="Normal 6 2 2 6 2 7" xfId="0"/>
    <cellStyle name="Normal 6 2 2 6 3" xfId="0"/>
    <cellStyle name="Normal 6 2 2 6 3 2" xfId="0"/>
    <cellStyle name="Normal 6 2 2 6 3 2 2" xfId="0"/>
    <cellStyle name="Normal 6 2 2 6 3 2 2 2" xfId="0"/>
    <cellStyle name="Normal 6 2 2 6 3 2 2 2 2" xfId="0"/>
    <cellStyle name="Normal 6 2 2 6 3 2 2 2 2 2" xfId="0"/>
    <cellStyle name="Normal 6 2 2 6 3 2 2 2 3" xfId="0"/>
    <cellStyle name="Normal 6 2 2 6 3 2 2 3" xfId="0"/>
    <cellStyle name="Normal 6 2 2 6 3 2 2 3 2" xfId="0"/>
    <cellStyle name="Normal 6 2 2 6 3 2 2 4" xfId="0"/>
    <cellStyle name="Normal 6 2 2 6 3 2 3" xfId="0"/>
    <cellStyle name="Normal 6 2 2 6 3 2 3 2" xfId="0"/>
    <cellStyle name="Normal 6 2 2 6 3 2 3 2 2" xfId="0"/>
    <cellStyle name="Normal 6 2 2 6 3 2 3 3" xfId="0"/>
    <cellStyle name="Normal 6 2 2 6 3 2 4" xfId="0"/>
    <cellStyle name="Normal 6 2 2 6 3 2 4 2" xfId="0"/>
    <cellStyle name="Normal 6 2 2 6 3 2 5" xfId="0"/>
    <cellStyle name="Normal 6 2 2 6 3 3" xfId="0"/>
    <cellStyle name="Normal 6 2 2 6 3 3 2" xfId="0"/>
    <cellStyle name="Normal 6 2 2 6 3 3 2 2" xfId="0"/>
    <cellStyle name="Normal 6 2 2 6 3 3 2 2 2" xfId="0"/>
    <cellStyle name="Normal 6 2 2 6 3 3 2 3" xfId="0"/>
    <cellStyle name="Normal 6 2 2 6 3 3 3" xfId="0"/>
    <cellStyle name="Normal 6 2 2 6 3 3 3 2" xfId="0"/>
    <cellStyle name="Normal 6 2 2 6 3 3 4" xfId="0"/>
    <cellStyle name="Normal 6 2 2 6 3 4" xfId="0"/>
    <cellStyle name="Normal 6 2 2 6 3 4 2" xfId="0"/>
    <cellStyle name="Normal 6 2 2 6 3 4 2 2" xfId="0"/>
    <cellStyle name="Normal 6 2 2 6 3 4 3" xfId="0"/>
    <cellStyle name="Normal 6 2 2 6 3 5" xfId="0"/>
    <cellStyle name="Normal 6 2 2 6 3 5 2" xfId="0"/>
    <cellStyle name="Normal 6 2 2 6 3 6" xfId="0"/>
    <cellStyle name="Normal 6 2 2 6 4" xfId="0"/>
    <cellStyle name="Normal 6 2 2 6 4 2" xfId="0"/>
    <cellStyle name="Normal 6 2 2 6 4 2 2" xfId="0"/>
    <cellStyle name="Normal 6 2 2 6 4 2 2 2" xfId="0"/>
    <cellStyle name="Normal 6 2 2 6 4 2 2 2 2" xfId="0"/>
    <cellStyle name="Normal 6 2 2 6 4 2 2 3" xfId="0"/>
    <cellStyle name="Normal 6 2 2 6 4 2 3" xfId="0"/>
    <cellStyle name="Normal 6 2 2 6 4 2 3 2" xfId="0"/>
    <cellStyle name="Normal 6 2 2 6 4 2 4" xfId="0"/>
    <cellStyle name="Normal 6 2 2 6 4 3" xfId="0"/>
    <cellStyle name="Normal 6 2 2 6 4 3 2" xfId="0"/>
    <cellStyle name="Normal 6 2 2 6 4 3 2 2" xfId="0"/>
    <cellStyle name="Normal 6 2 2 6 4 3 3" xfId="0"/>
    <cellStyle name="Normal 6 2 2 6 4 4" xfId="0"/>
    <cellStyle name="Normal 6 2 2 6 4 4 2" xfId="0"/>
    <cellStyle name="Normal 6 2 2 6 4 5" xfId="0"/>
    <cellStyle name="Normal 6 2 2 6 5" xfId="0"/>
    <cellStyle name="Normal 6 2 2 6 5 2" xfId="0"/>
    <cellStyle name="Normal 6 2 2 6 5 2 2" xfId="0"/>
    <cellStyle name="Normal 6 2 2 6 5 2 2 2" xfId="0"/>
    <cellStyle name="Normal 6 2 2 6 5 2 3" xfId="0"/>
    <cellStyle name="Normal 6 2 2 6 5 3" xfId="0"/>
    <cellStyle name="Normal 6 2 2 6 5 3 2" xfId="0"/>
    <cellStyle name="Normal 6 2 2 6 5 4" xfId="0"/>
    <cellStyle name="Normal 6 2 2 6 6" xfId="0"/>
    <cellStyle name="Normal 6 2 2 6 6 2" xfId="0"/>
    <cellStyle name="Normal 6 2 2 6 6 2 2" xfId="0"/>
    <cellStyle name="Normal 6 2 2 6 6 3" xfId="0"/>
    <cellStyle name="Normal 6 2 2 6 7" xfId="0"/>
    <cellStyle name="Normal 6 2 2 6 7 2" xfId="0"/>
    <cellStyle name="Normal 6 2 2 6 8" xfId="0"/>
    <cellStyle name="Normal 6 2 2 7" xfId="0"/>
    <cellStyle name="Normal 6 2 2 7 2" xfId="0"/>
    <cellStyle name="Normal 6 2 2 7 2 2" xfId="0"/>
    <cellStyle name="Normal 6 2 2 7 2 2 2" xfId="0"/>
    <cellStyle name="Normal 6 2 2 7 2 2 2 2" xfId="0"/>
    <cellStyle name="Normal 6 2 2 7 2 2 2 2 2" xfId="0"/>
    <cellStyle name="Normal 6 2 2 7 2 2 2 2 2 2" xfId="0"/>
    <cellStyle name="Normal 6 2 2 7 2 2 2 2 3" xfId="0"/>
    <cellStyle name="Normal 6 2 2 7 2 2 2 3" xfId="0"/>
    <cellStyle name="Normal 6 2 2 7 2 2 2 3 2" xfId="0"/>
    <cellStyle name="Normal 6 2 2 7 2 2 2 4" xfId="0"/>
    <cellStyle name="Normal 6 2 2 7 2 2 3" xfId="0"/>
    <cellStyle name="Normal 6 2 2 7 2 2 3 2" xfId="0"/>
    <cellStyle name="Normal 6 2 2 7 2 2 3 2 2" xfId="0"/>
    <cellStyle name="Normal 6 2 2 7 2 2 3 3" xfId="0"/>
    <cellStyle name="Normal 6 2 2 7 2 2 4" xfId="0"/>
    <cellStyle name="Normal 6 2 2 7 2 2 4 2" xfId="0"/>
    <cellStyle name="Normal 6 2 2 7 2 2 5" xfId="0"/>
    <cellStyle name="Normal 6 2 2 7 2 3" xfId="0"/>
    <cellStyle name="Normal 6 2 2 7 2 3 2" xfId="0"/>
    <cellStyle name="Normal 6 2 2 7 2 3 2 2" xfId="0"/>
    <cellStyle name="Normal 6 2 2 7 2 3 2 2 2" xfId="0"/>
    <cellStyle name="Normal 6 2 2 7 2 3 2 3" xfId="0"/>
    <cellStyle name="Normal 6 2 2 7 2 3 3" xfId="0"/>
    <cellStyle name="Normal 6 2 2 7 2 3 3 2" xfId="0"/>
    <cellStyle name="Normal 6 2 2 7 2 3 4" xfId="0"/>
    <cellStyle name="Normal 6 2 2 7 2 4" xfId="0"/>
    <cellStyle name="Normal 6 2 2 7 2 4 2" xfId="0"/>
    <cellStyle name="Normal 6 2 2 7 2 4 2 2" xfId="0"/>
    <cellStyle name="Normal 6 2 2 7 2 4 3" xfId="0"/>
    <cellStyle name="Normal 6 2 2 7 2 5" xfId="0"/>
    <cellStyle name="Normal 6 2 2 7 2 5 2" xfId="0"/>
    <cellStyle name="Normal 6 2 2 7 2 6" xfId="0"/>
    <cellStyle name="Normal 6 2 2 7 3" xfId="0"/>
    <cellStyle name="Normal 6 2 2 7 3 2" xfId="0"/>
    <cellStyle name="Normal 6 2 2 7 3 2 2" xfId="0"/>
    <cellStyle name="Normal 6 2 2 7 3 2 2 2" xfId="0"/>
    <cellStyle name="Normal 6 2 2 7 3 2 2 2 2" xfId="0"/>
    <cellStyle name="Normal 6 2 2 7 3 2 2 3" xfId="0"/>
    <cellStyle name="Normal 6 2 2 7 3 2 3" xfId="0"/>
    <cellStyle name="Normal 6 2 2 7 3 2 3 2" xfId="0"/>
    <cellStyle name="Normal 6 2 2 7 3 2 4" xfId="0"/>
    <cellStyle name="Normal 6 2 2 7 3 3" xfId="0"/>
    <cellStyle name="Normal 6 2 2 7 3 3 2" xfId="0"/>
    <cellStyle name="Normal 6 2 2 7 3 3 2 2" xfId="0"/>
    <cellStyle name="Normal 6 2 2 7 3 3 3" xfId="0"/>
    <cellStyle name="Normal 6 2 2 7 3 4" xfId="0"/>
    <cellStyle name="Normal 6 2 2 7 3 4 2" xfId="0"/>
    <cellStyle name="Normal 6 2 2 7 3 5" xfId="0"/>
    <cellStyle name="Normal 6 2 2 7 4" xfId="0"/>
    <cellStyle name="Normal 6 2 2 7 4 2" xfId="0"/>
    <cellStyle name="Normal 6 2 2 7 4 2 2" xfId="0"/>
    <cellStyle name="Normal 6 2 2 7 4 2 2 2" xfId="0"/>
    <cellStyle name="Normal 6 2 2 7 4 2 3" xfId="0"/>
    <cellStyle name="Normal 6 2 2 7 4 3" xfId="0"/>
    <cellStyle name="Normal 6 2 2 7 4 3 2" xfId="0"/>
    <cellStyle name="Normal 6 2 2 7 4 4" xfId="0"/>
    <cellStyle name="Normal 6 2 2 7 5" xfId="0"/>
    <cellStyle name="Normal 6 2 2 7 5 2" xfId="0"/>
    <cellStyle name="Normal 6 2 2 7 5 2 2" xfId="0"/>
    <cellStyle name="Normal 6 2 2 7 5 3" xfId="0"/>
    <cellStyle name="Normal 6 2 2 7 6" xfId="0"/>
    <cellStyle name="Normal 6 2 2 7 6 2" xfId="0"/>
    <cellStyle name="Normal 6 2 2 7 7" xfId="0"/>
    <cellStyle name="Normal 6 2 2 8" xfId="0"/>
    <cellStyle name="Normal 6 2 2 8 2" xfId="0"/>
    <cellStyle name="Normal 6 2 2 8 2 2" xfId="0"/>
    <cellStyle name="Normal 6 2 2 8 2 2 2" xfId="0"/>
    <cellStyle name="Normal 6 2 2 8 2 2 2 2" xfId="0"/>
    <cellStyle name="Normal 6 2 2 8 2 2 2 2 2" xfId="0"/>
    <cellStyle name="Normal 6 2 2 8 2 2 2 2 2 2" xfId="0"/>
    <cellStyle name="Normal 6 2 2 8 2 2 2 2 3" xfId="0"/>
    <cellStyle name="Normal 6 2 2 8 2 2 2 3" xfId="0"/>
    <cellStyle name="Normal 6 2 2 8 2 2 2 3 2" xfId="0"/>
    <cellStyle name="Normal 6 2 2 8 2 2 2 4" xfId="0"/>
    <cellStyle name="Normal 6 2 2 8 2 2 3" xfId="0"/>
    <cellStyle name="Normal 6 2 2 8 2 2 3 2" xfId="0"/>
    <cellStyle name="Normal 6 2 2 8 2 2 3 2 2" xfId="0"/>
    <cellStyle name="Normal 6 2 2 8 2 2 3 3" xfId="0"/>
    <cellStyle name="Normal 6 2 2 8 2 2 4" xfId="0"/>
    <cellStyle name="Normal 6 2 2 8 2 2 4 2" xfId="0"/>
    <cellStyle name="Normal 6 2 2 8 2 2 5" xfId="0"/>
    <cellStyle name="Normal 6 2 2 8 2 3" xfId="0"/>
    <cellStyle name="Normal 6 2 2 8 2 3 2" xfId="0"/>
    <cellStyle name="Normal 6 2 2 8 2 3 2 2" xfId="0"/>
    <cellStyle name="Normal 6 2 2 8 2 3 2 2 2" xfId="0"/>
    <cellStyle name="Normal 6 2 2 8 2 3 2 3" xfId="0"/>
    <cellStyle name="Normal 6 2 2 8 2 3 3" xfId="0"/>
    <cellStyle name="Normal 6 2 2 8 2 3 3 2" xfId="0"/>
    <cellStyle name="Normal 6 2 2 8 2 3 4" xfId="0"/>
    <cellStyle name="Normal 6 2 2 8 2 4" xfId="0"/>
    <cellStyle name="Normal 6 2 2 8 2 4 2" xfId="0"/>
    <cellStyle name="Normal 6 2 2 8 2 4 2 2" xfId="0"/>
    <cellStyle name="Normal 6 2 2 8 2 4 3" xfId="0"/>
    <cellStyle name="Normal 6 2 2 8 2 5" xfId="0"/>
    <cellStyle name="Normal 6 2 2 8 2 5 2" xfId="0"/>
    <cellStyle name="Normal 6 2 2 8 2 6" xfId="0"/>
    <cellStyle name="Normal 6 2 2 8 3" xfId="0"/>
    <cellStyle name="Normal 6 2 2 8 3 2" xfId="0"/>
    <cellStyle name="Normal 6 2 2 8 3 2 2" xfId="0"/>
    <cellStyle name="Normal 6 2 2 8 3 2 2 2" xfId="0"/>
    <cellStyle name="Normal 6 2 2 8 3 2 2 2 2" xfId="0"/>
    <cellStyle name="Normal 6 2 2 8 3 2 2 3" xfId="0"/>
    <cellStyle name="Normal 6 2 2 8 3 2 3" xfId="0"/>
    <cellStyle name="Normal 6 2 2 8 3 2 3 2" xfId="0"/>
    <cellStyle name="Normal 6 2 2 8 3 2 4" xfId="0"/>
    <cellStyle name="Normal 6 2 2 8 3 3" xfId="0"/>
    <cellStyle name="Normal 6 2 2 8 3 3 2" xfId="0"/>
    <cellStyle name="Normal 6 2 2 8 3 3 2 2" xfId="0"/>
    <cellStyle name="Normal 6 2 2 8 3 3 3" xfId="0"/>
    <cellStyle name="Normal 6 2 2 8 3 4" xfId="0"/>
    <cellStyle name="Normal 6 2 2 8 3 4 2" xfId="0"/>
    <cellStyle name="Normal 6 2 2 8 3 5" xfId="0"/>
    <cellStyle name="Normal 6 2 2 8 4" xfId="0"/>
    <cellStyle name="Normal 6 2 2 8 4 2" xfId="0"/>
    <cellStyle name="Normal 6 2 2 8 4 2 2" xfId="0"/>
    <cellStyle name="Normal 6 2 2 8 4 2 2 2" xfId="0"/>
    <cellStyle name="Normal 6 2 2 8 4 2 3" xfId="0"/>
    <cellStyle name="Normal 6 2 2 8 4 3" xfId="0"/>
    <cellStyle name="Normal 6 2 2 8 4 3 2" xfId="0"/>
    <cellStyle name="Normal 6 2 2 8 4 4" xfId="0"/>
    <cellStyle name="Normal 6 2 2 8 5" xfId="0"/>
    <cellStyle name="Normal 6 2 2 8 5 2" xfId="0"/>
    <cellStyle name="Normal 6 2 2 8 5 2 2" xfId="0"/>
    <cellStyle name="Normal 6 2 2 8 5 3" xfId="0"/>
    <cellStyle name="Normal 6 2 2 8 6" xfId="0"/>
    <cellStyle name="Normal 6 2 2 8 6 2" xfId="0"/>
    <cellStyle name="Normal 6 2 2 8 7" xfId="0"/>
    <cellStyle name="Normal 6 2 2 9" xfId="0"/>
    <cellStyle name="Normal 6 2 2 9 2" xfId="0"/>
    <cellStyle name="Normal 6 2 2 9 2 2" xfId="0"/>
    <cellStyle name="Normal 6 2 2 9 2 2 2" xfId="0"/>
    <cellStyle name="Normal 6 2 2 9 2 2 2 2" xfId="0"/>
    <cellStyle name="Normal 6 2 2 9 2 2 2 2 2" xfId="0"/>
    <cellStyle name="Normal 6 2 2 9 2 2 2 3" xfId="0"/>
    <cellStyle name="Normal 6 2 2 9 2 2 3" xfId="0"/>
    <cellStyle name="Normal 6 2 2 9 2 2 3 2" xfId="0"/>
    <cellStyle name="Normal 6 2 2 9 2 2 4" xfId="0"/>
    <cellStyle name="Normal 6 2 2 9 2 3" xfId="0"/>
    <cellStyle name="Normal 6 2 2 9 2 3 2" xfId="0"/>
    <cellStyle name="Normal 6 2 2 9 2 3 2 2" xfId="0"/>
    <cellStyle name="Normal 6 2 2 9 2 3 3" xfId="0"/>
    <cellStyle name="Normal 6 2 2 9 2 4" xfId="0"/>
    <cellStyle name="Normal 6 2 2 9 2 4 2" xfId="0"/>
    <cellStyle name="Normal 6 2 2 9 2 5" xfId="0"/>
    <cellStyle name="Normal 6 2 2 9 3" xfId="0"/>
    <cellStyle name="Normal 6 2 2 9 3 2" xfId="0"/>
    <cellStyle name="Normal 6 2 2 9 3 2 2" xfId="0"/>
    <cellStyle name="Normal 6 2 2 9 3 2 2 2" xfId="0"/>
    <cellStyle name="Normal 6 2 2 9 3 2 3" xfId="0"/>
    <cellStyle name="Normal 6 2 2 9 3 3" xfId="0"/>
    <cellStyle name="Normal 6 2 2 9 3 3 2" xfId="0"/>
    <cellStyle name="Normal 6 2 2 9 3 4" xfId="0"/>
    <cellStyle name="Normal 6 2 2 9 4" xfId="0"/>
    <cellStyle name="Normal 6 2 2 9 4 2" xfId="0"/>
    <cellStyle name="Normal 6 2 2 9 4 2 2" xfId="0"/>
    <cellStyle name="Normal 6 2 2 9 4 3" xfId="0"/>
    <cellStyle name="Normal 6 2 2 9 5" xfId="0"/>
    <cellStyle name="Normal 6 2 2 9 5 2" xfId="0"/>
    <cellStyle name="Normal 6 2 2 9 6" xfId="0"/>
    <cellStyle name="Normal 6 2 3" xfId="0"/>
    <cellStyle name="Normal 6 2 4" xfId="0"/>
    <cellStyle name="Normal 6 2 4 10" xfId="0"/>
    <cellStyle name="Normal 6 2 4 10 2" xfId="0"/>
    <cellStyle name="Normal 6 2 4 10 2 2" xfId="0"/>
    <cellStyle name="Normal 6 2 4 10 3" xfId="0"/>
    <cellStyle name="Normal 6 2 4 11" xfId="0"/>
    <cellStyle name="Normal 6 2 4 11 2" xfId="0"/>
    <cellStyle name="Normal 6 2 4 12" xfId="0"/>
    <cellStyle name="Normal 6 2 4 2" xfId="0"/>
    <cellStyle name="Normal 6 2 4 2 10" xfId="0"/>
    <cellStyle name="Normal 6 2 4 2 10 2" xfId="0"/>
    <cellStyle name="Normal 6 2 4 2 11" xfId="0"/>
    <cellStyle name="Normal 6 2 4 2 2" xfId="0"/>
    <cellStyle name="Normal 6 2 4 2 2 2" xfId="0"/>
    <cellStyle name="Normal 6 2 4 2 2 2 2" xfId="0"/>
    <cellStyle name="Normal 6 2 4 2 2 2 2 2" xfId="0"/>
    <cellStyle name="Normal 6 2 4 2 2 2 2 2 2" xfId="0"/>
    <cellStyle name="Normal 6 2 4 2 2 2 2 2 2 2" xfId="0"/>
    <cellStyle name="Normal 6 2 4 2 2 2 2 2 2 2 2" xfId="0"/>
    <cellStyle name="Normal 6 2 4 2 2 2 2 2 2 2 2 2" xfId="0"/>
    <cellStyle name="Normal 6 2 4 2 2 2 2 2 2 2 3" xfId="0"/>
    <cellStyle name="Normal 6 2 4 2 2 2 2 2 2 3" xfId="0"/>
    <cellStyle name="Normal 6 2 4 2 2 2 2 2 2 3 2" xfId="0"/>
    <cellStyle name="Normal 6 2 4 2 2 2 2 2 2 4" xfId="0"/>
    <cellStyle name="Normal 6 2 4 2 2 2 2 2 3" xfId="0"/>
    <cellStyle name="Normal 6 2 4 2 2 2 2 2 3 2" xfId="0"/>
    <cellStyle name="Normal 6 2 4 2 2 2 2 2 3 2 2" xfId="0"/>
    <cellStyle name="Normal 6 2 4 2 2 2 2 2 3 3" xfId="0"/>
    <cellStyle name="Normal 6 2 4 2 2 2 2 2 4" xfId="0"/>
    <cellStyle name="Normal 6 2 4 2 2 2 2 2 4 2" xfId="0"/>
    <cellStyle name="Normal 6 2 4 2 2 2 2 2 5" xfId="0"/>
    <cellStyle name="Normal 6 2 4 2 2 2 2 3" xfId="0"/>
    <cellStyle name="Normal 6 2 4 2 2 2 2 3 2" xfId="0"/>
    <cellStyle name="Normal 6 2 4 2 2 2 2 3 2 2" xfId="0"/>
    <cellStyle name="Normal 6 2 4 2 2 2 2 3 2 2 2" xfId="0"/>
    <cellStyle name="Normal 6 2 4 2 2 2 2 3 2 3" xfId="0"/>
    <cellStyle name="Normal 6 2 4 2 2 2 2 3 3" xfId="0"/>
    <cellStyle name="Normal 6 2 4 2 2 2 2 3 3 2" xfId="0"/>
    <cellStyle name="Normal 6 2 4 2 2 2 2 3 4" xfId="0"/>
    <cellStyle name="Normal 6 2 4 2 2 2 2 4" xfId="0"/>
    <cellStyle name="Normal 6 2 4 2 2 2 2 4 2" xfId="0"/>
    <cellStyle name="Normal 6 2 4 2 2 2 2 4 2 2" xfId="0"/>
    <cellStyle name="Normal 6 2 4 2 2 2 2 4 3" xfId="0"/>
    <cellStyle name="Normal 6 2 4 2 2 2 2 5" xfId="0"/>
    <cellStyle name="Normal 6 2 4 2 2 2 2 5 2" xfId="0"/>
    <cellStyle name="Normal 6 2 4 2 2 2 2 6" xfId="0"/>
    <cellStyle name="Normal 6 2 4 2 2 2 3" xfId="0"/>
    <cellStyle name="Normal 6 2 4 2 2 2 3 2" xfId="0"/>
    <cellStyle name="Normal 6 2 4 2 2 2 3 2 2" xfId="0"/>
    <cellStyle name="Normal 6 2 4 2 2 2 3 2 2 2" xfId="0"/>
    <cellStyle name="Normal 6 2 4 2 2 2 3 2 2 2 2" xfId="0"/>
    <cellStyle name="Normal 6 2 4 2 2 2 3 2 2 3" xfId="0"/>
    <cellStyle name="Normal 6 2 4 2 2 2 3 2 3" xfId="0"/>
    <cellStyle name="Normal 6 2 4 2 2 2 3 2 3 2" xfId="0"/>
    <cellStyle name="Normal 6 2 4 2 2 2 3 2 4" xfId="0"/>
    <cellStyle name="Normal 6 2 4 2 2 2 3 3" xfId="0"/>
    <cellStyle name="Normal 6 2 4 2 2 2 3 3 2" xfId="0"/>
    <cellStyle name="Normal 6 2 4 2 2 2 3 3 2 2" xfId="0"/>
    <cellStyle name="Normal 6 2 4 2 2 2 3 3 3" xfId="0"/>
    <cellStyle name="Normal 6 2 4 2 2 2 3 4" xfId="0"/>
    <cellStyle name="Normal 6 2 4 2 2 2 3 4 2" xfId="0"/>
    <cellStyle name="Normal 6 2 4 2 2 2 3 5" xfId="0"/>
    <cellStyle name="Normal 6 2 4 2 2 2 4" xfId="0"/>
    <cellStyle name="Normal 6 2 4 2 2 2 4 2" xfId="0"/>
    <cellStyle name="Normal 6 2 4 2 2 2 4 2 2" xfId="0"/>
    <cellStyle name="Normal 6 2 4 2 2 2 4 2 2 2" xfId="0"/>
    <cellStyle name="Normal 6 2 4 2 2 2 4 2 3" xfId="0"/>
    <cellStyle name="Normal 6 2 4 2 2 2 4 3" xfId="0"/>
    <cellStyle name="Normal 6 2 4 2 2 2 4 3 2" xfId="0"/>
    <cellStyle name="Normal 6 2 4 2 2 2 4 4" xfId="0"/>
    <cellStyle name="Normal 6 2 4 2 2 2 5" xfId="0"/>
    <cellStyle name="Normal 6 2 4 2 2 2 5 2" xfId="0"/>
    <cellStyle name="Normal 6 2 4 2 2 2 5 2 2" xfId="0"/>
    <cellStyle name="Normal 6 2 4 2 2 2 5 3" xfId="0"/>
    <cellStyle name="Normal 6 2 4 2 2 2 6" xfId="0"/>
    <cellStyle name="Normal 6 2 4 2 2 2 6 2" xfId="0"/>
    <cellStyle name="Normal 6 2 4 2 2 2 7" xfId="0"/>
    <cellStyle name="Normal 6 2 4 2 2 3" xfId="0"/>
    <cellStyle name="Normal 6 2 4 2 2 3 2" xfId="0"/>
    <cellStyle name="Normal 6 2 4 2 2 3 2 2" xfId="0"/>
    <cellStyle name="Normal 6 2 4 2 2 3 2 2 2" xfId="0"/>
    <cellStyle name="Normal 6 2 4 2 2 3 2 2 2 2" xfId="0"/>
    <cellStyle name="Normal 6 2 4 2 2 3 2 2 2 2 2" xfId="0"/>
    <cellStyle name="Normal 6 2 4 2 2 3 2 2 2 3" xfId="0"/>
    <cellStyle name="Normal 6 2 4 2 2 3 2 2 3" xfId="0"/>
    <cellStyle name="Normal 6 2 4 2 2 3 2 2 3 2" xfId="0"/>
    <cellStyle name="Normal 6 2 4 2 2 3 2 2 4" xfId="0"/>
    <cellStyle name="Normal 6 2 4 2 2 3 2 3" xfId="0"/>
    <cellStyle name="Normal 6 2 4 2 2 3 2 3 2" xfId="0"/>
    <cellStyle name="Normal 6 2 4 2 2 3 2 3 2 2" xfId="0"/>
    <cellStyle name="Normal 6 2 4 2 2 3 2 3 3" xfId="0"/>
    <cellStyle name="Normal 6 2 4 2 2 3 2 4" xfId="0"/>
    <cellStyle name="Normal 6 2 4 2 2 3 2 4 2" xfId="0"/>
    <cellStyle name="Normal 6 2 4 2 2 3 2 5" xfId="0"/>
    <cellStyle name="Normal 6 2 4 2 2 3 3" xfId="0"/>
    <cellStyle name="Normal 6 2 4 2 2 3 3 2" xfId="0"/>
    <cellStyle name="Normal 6 2 4 2 2 3 3 2 2" xfId="0"/>
    <cellStyle name="Normal 6 2 4 2 2 3 3 2 2 2" xfId="0"/>
    <cellStyle name="Normal 6 2 4 2 2 3 3 2 3" xfId="0"/>
    <cellStyle name="Normal 6 2 4 2 2 3 3 3" xfId="0"/>
    <cellStyle name="Normal 6 2 4 2 2 3 3 3 2" xfId="0"/>
    <cellStyle name="Normal 6 2 4 2 2 3 3 4" xfId="0"/>
    <cellStyle name="Normal 6 2 4 2 2 3 4" xfId="0"/>
    <cellStyle name="Normal 6 2 4 2 2 3 4 2" xfId="0"/>
    <cellStyle name="Normal 6 2 4 2 2 3 4 2 2" xfId="0"/>
    <cellStyle name="Normal 6 2 4 2 2 3 4 3" xfId="0"/>
    <cellStyle name="Normal 6 2 4 2 2 3 5" xfId="0"/>
    <cellStyle name="Normal 6 2 4 2 2 3 5 2" xfId="0"/>
    <cellStyle name="Normal 6 2 4 2 2 3 6" xfId="0"/>
    <cellStyle name="Normal 6 2 4 2 2 4" xfId="0"/>
    <cellStyle name="Normal 6 2 4 2 2 4 2" xfId="0"/>
    <cellStyle name="Normal 6 2 4 2 2 4 2 2" xfId="0"/>
    <cellStyle name="Normal 6 2 4 2 2 4 2 2 2" xfId="0"/>
    <cellStyle name="Normal 6 2 4 2 2 4 2 2 2 2" xfId="0"/>
    <cellStyle name="Normal 6 2 4 2 2 4 2 2 3" xfId="0"/>
    <cellStyle name="Normal 6 2 4 2 2 4 2 3" xfId="0"/>
    <cellStyle name="Normal 6 2 4 2 2 4 2 3 2" xfId="0"/>
    <cellStyle name="Normal 6 2 4 2 2 4 2 4" xfId="0"/>
    <cellStyle name="Normal 6 2 4 2 2 4 3" xfId="0"/>
    <cellStyle name="Normal 6 2 4 2 2 4 3 2" xfId="0"/>
    <cellStyle name="Normal 6 2 4 2 2 4 3 2 2" xfId="0"/>
    <cellStyle name="Normal 6 2 4 2 2 4 3 3" xfId="0"/>
    <cellStyle name="Normal 6 2 4 2 2 4 4" xfId="0"/>
    <cellStyle name="Normal 6 2 4 2 2 4 4 2" xfId="0"/>
    <cellStyle name="Normal 6 2 4 2 2 4 5" xfId="0"/>
    <cellStyle name="Normal 6 2 4 2 2 5" xfId="0"/>
    <cellStyle name="Normal 6 2 4 2 2 5 2" xfId="0"/>
    <cellStyle name="Normal 6 2 4 2 2 5 2 2" xfId="0"/>
    <cellStyle name="Normal 6 2 4 2 2 5 2 2 2" xfId="0"/>
    <cellStyle name="Normal 6 2 4 2 2 5 2 3" xfId="0"/>
    <cellStyle name="Normal 6 2 4 2 2 5 3" xfId="0"/>
    <cellStyle name="Normal 6 2 4 2 2 5 3 2" xfId="0"/>
    <cellStyle name="Normal 6 2 4 2 2 5 4" xfId="0"/>
    <cellStyle name="Normal 6 2 4 2 2 6" xfId="0"/>
    <cellStyle name="Normal 6 2 4 2 2 6 2" xfId="0"/>
    <cellStyle name="Normal 6 2 4 2 2 6 2 2" xfId="0"/>
    <cellStyle name="Normal 6 2 4 2 2 6 3" xfId="0"/>
    <cellStyle name="Normal 6 2 4 2 2 7" xfId="0"/>
    <cellStyle name="Normal 6 2 4 2 2 7 2" xfId="0"/>
    <cellStyle name="Normal 6 2 4 2 2 8" xfId="0"/>
    <cellStyle name="Normal 6 2 4 2 3" xfId="0"/>
    <cellStyle name="Normal 6 2 4 2 3 2" xfId="0"/>
    <cellStyle name="Normal 6 2 4 2 3 2 2" xfId="0"/>
    <cellStyle name="Normal 6 2 4 2 3 2 2 2" xfId="0"/>
    <cellStyle name="Normal 6 2 4 2 3 2 2 2 2" xfId="0"/>
    <cellStyle name="Normal 6 2 4 2 3 2 2 2 2 2" xfId="0"/>
    <cellStyle name="Normal 6 2 4 2 3 2 2 2 2 2 2" xfId="0"/>
    <cellStyle name="Normal 6 2 4 2 3 2 2 2 2 2 2 2" xfId="0"/>
    <cellStyle name="Normal 6 2 4 2 3 2 2 2 2 2 3" xfId="0"/>
    <cellStyle name="Normal 6 2 4 2 3 2 2 2 2 3" xfId="0"/>
    <cellStyle name="Normal 6 2 4 2 3 2 2 2 2 3 2" xfId="0"/>
    <cellStyle name="Normal 6 2 4 2 3 2 2 2 2 4" xfId="0"/>
    <cellStyle name="Normal 6 2 4 2 3 2 2 2 3" xfId="0"/>
    <cellStyle name="Normal 6 2 4 2 3 2 2 2 3 2" xfId="0"/>
    <cellStyle name="Normal 6 2 4 2 3 2 2 2 3 2 2" xfId="0"/>
    <cellStyle name="Normal 6 2 4 2 3 2 2 2 3 3" xfId="0"/>
    <cellStyle name="Normal 6 2 4 2 3 2 2 2 4" xfId="0"/>
    <cellStyle name="Normal 6 2 4 2 3 2 2 2 4 2" xfId="0"/>
    <cellStyle name="Normal 6 2 4 2 3 2 2 2 5" xfId="0"/>
    <cellStyle name="Normal 6 2 4 2 3 2 2 3" xfId="0"/>
    <cellStyle name="Normal 6 2 4 2 3 2 2 3 2" xfId="0"/>
    <cellStyle name="Normal 6 2 4 2 3 2 2 3 2 2" xfId="0"/>
    <cellStyle name="Normal 6 2 4 2 3 2 2 3 2 2 2" xfId="0"/>
    <cellStyle name="Normal 6 2 4 2 3 2 2 3 2 3" xfId="0"/>
    <cellStyle name="Normal 6 2 4 2 3 2 2 3 3" xfId="0"/>
    <cellStyle name="Normal 6 2 4 2 3 2 2 3 3 2" xfId="0"/>
    <cellStyle name="Normal 6 2 4 2 3 2 2 3 4" xfId="0"/>
    <cellStyle name="Normal 6 2 4 2 3 2 2 4" xfId="0"/>
    <cellStyle name="Normal 6 2 4 2 3 2 2 4 2" xfId="0"/>
    <cellStyle name="Normal 6 2 4 2 3 2 2 4 2 2" xfId="0"/>
    <cellStyle name="Normal 6 2 4 2 3 2 2 4 3" xfId="0"/>
    <cellStyle name="Normal 6 2 4 2 3 2 2 5" xfId="0"/>
    <cellStyle name="Normal 6 2 4 2 3 2 2 5 2" xfId="0"/>
    <cellStyle name="Normal 6 2 4 2 3 2 2 6" xfId="0"/>
    <cellStyle name="Normal 6 2 4 2 3 2 3" xfId="0"/>
    <cellStyle name="Normal 6 2 4 2 3 2 3 2" xfId="0"/>
    <cellStyle name="Normal 6 2 4 2 3 2 3 2 2" xfId="0"/>
    <cellStyle name="Normal 6 2 4 2 3 2 3 2 2 2" xfId="0"/>
    <cellStyle name="Normal 6 2 4 2 3 2 3 2 2 2 2" xfId="0"/>
    <cellStyle name="Normal 6 2 4 2 3 2 3 2 2 3" xfId="0"/>
    <cellStyle name="Normal 6 2 4 2 3 2 3 2 3" xfId="0"/>
    <cellStyle name="Normal 6 2 4 2 3 2 3 2 3 2" xfId="0"/>
    <cellStyle name="Normal 6 2 4 2 3 2 3 2 4" xfId="0"/>
    <cellStyle name="Normal 6 2 4 2 3 2 3 3" xfId="0"/>
    <cellStyle name="Normal 6 2 4 2 3 2 3 3 2" xfId="0"/>
    <cellStyle name="Normal 6 2 4 2 3 2 3 3 2 2" xfId="0"/>
    <cellStyle name="Normal 6 2 4 2 3 2 3 3 3" xfId="0"/>
    <cellStyle name="Normal 6 2 4 2 3 2 3 4" xfId="0"/>
    <cellStyle name="Normal 6 2 4 2 3 2 3 4 2" xfId="0"/>
    <cellStyle name="Normal 6 2 4 2 3 2 3 5" xfId="0"/>
    <cellStyle name="Normal 6 2 4 2 3 2 4" xfId="0"/>
    <cellStyle name="Normal 6 2 4 2 3 2 4 2" xfId="0"/>
    <cellStyle name="Normal 6 2 4 2 3 2 4 2 2" xfId="0"/>
    <cellStyle name="Normal 6 2 4 2 3 2 4 2 2 2" xfId="0"/>
    <cellStyle name="Normal 6 2 4 2 3 2 4 2 3" xfId="0"/>
    <cellStyle name="Normal 6 2 4 2 3 2 4 3" xfId="0"/>
    <cellStyle name="Normal 6 2 4 2 3 2 4 3 2" xfId="0"/>
    <cellStyle name="Normal 6 2 4 2 3 2 4 4" xfId="0"/>
    <cellStyle name="Normal 6 2 4 2 3 2 5" xfId="0"/>
    <cellStyle name="Normal 6 2 4 2 3 2 5 2" xfId="0"/>
    <cellStyle name="Normal 6 2 4 2 3 2 5 2 2" xfId="0"/>
    <cellStyle name="Normal 6 2 4 2 3 2 5 3" xfId="0"/>
    <cellStyle name="Normal 6 2 4 2 3 2 6" xfId="0"/>
    <cellStyle name="Normal 6 2 4 2 3 2 6 2" xfId="0"/>
    <cellStyle name="Normal 6 2 4 2 3 2 7" xfId="0"/>
    <cellStyle name="Normal 6 2 4 2 3 3" xfId="0"/>
    <cellStyle name="Normal 6 2 4 2 3 3 2" xfId="0"/>
    <cellStyle name="Normal 6 2 4 2 3 3 2 2" xfId="0"/>
    <cellStyle name="Normal 6 2 4 2 3 3 2 2 2" xfId="0"/>
    <cellStyle name="Normal 6 2 4 2 3 3 2 2 2 2" xfId="0"/>
    <cellStyle name="Normal 6 2 4 2 3 3 2 2 2 2 2" xfId="0"/>
    <cellStyle name="Normal 6 2 4 2 3 3 2 2 2 3" xfId="0"/>
    <cellStyle name="Normal 6 2 4 2 3 3 2 2 3" xfId="0"/>
    <cellStyle name="Normal 6 2 4 2 3 3 2 2 3 2" xfId="0"/>
    <cellStyle name="Normal 6 2 4 2 3 3 2 2 4" xfId="0"/>
    <cellStyle name="Normal 6 2 4 2 3 3 2 3" xfId="0"/>
    <cellStyle name="Normal 6 2 4 2 3 3 2 3 2" xfId="0"/>
    <cellStyle name="Normal 6 2 4 2 3 3 2 3 2 2" xfId="0"/>
    <cellStyle name="Normal 6 2 4 2 3 3 2 3 3" xfId="0"/>
    <cellStyle name="Normal 6 2 4 2 3 3 2 4" xfId="0"/>
    <cellStyle name="Normal 6 2 4 2 3 3 2 4 2" xfId="0"/>
    <cellStyle name="Normal 6 2 4 2 3 3 2 5" xfId="0"/>
    <cellStyle name="Normal 6 2 4 2 3 3 3" xfId="0"/>
    <cellStyle name="Normal 6 2 4 2 3 3 3 2" xfId="0"/>
    <cellStyle name="Normal 6 2 4 2 3 3 3 2 2" xfId="0"/>
    <cellStyle name="Normal 6 2 4 2 3 3 3 2 2 2" xfId="0"/>
    <cellStyle name="Normal 6 2 4 2 3 3 3 2 3" xfId="0"/>
    <cellStyle name="Normal 6 2 4 2 3 3 3 3" xfId="0"/>
    <cellStyle name="Normal 6 2 4 2 3 3 3 3 2" xfId="0"/>
    <cellStyle name="Normal 6 2 4 2 3 3 3 4" xfId="0"/>
    <cellStyle name="Normal 6 2 4 2 3 3 4" xfId="0"/>
    <cellStyle name="Normal 6 2 4 2 3 3 4 2" xfId="0"/>
    <cellStyle name="Normal 6 2 4 2 3 3 4 2 2" xfId="0"/>
    <cellStyle name="Normal 6 2 4 2 3 3 4 3" xfId="0"/>
    <cellStyle name="Normal 6 2 4 2 3 3 5" xfId="0"/>
    <cellStyle name="Normal 6 2 4 2 3 3 5 2" xfId="0"/>
    <cellStyle name="Normal 6 2 4 2 3 3 6" xfId="0"/>
    <cellStyle name="Normal 6 2 4 2 3 4" xfId="0"/>
    <cellStyle name="Normal 6 2 4 2 3 4 2" xfId="0"/>
    <cellStyle name="Normal 6 2 4 2 3 4 2 2" xfId="0"/>
    <cellStyle name="Normal 6 2 4 2 3 4 2 2 2" xfId="0"/>
    <cellStyle name="Normal 6 2 4 2 3 4 2 2 2 2" xfId="0"/>
    <cellStyle name="Normal 6 2 4 2 3 4 2 2 3" xfId="0"/>
    <cellStyle name="Normal 6 2 4 2 3 4 2 3" xfId="0"/>
    <cellStyle name="Normal 6 2 4 2 3 4 2 3 2" xfId="0"/>
    <cellStyle name="Normal 6 2 4 2 3 4 2 4" xfId="0"/>
    <cellStyle name="Normal 6 2 4 2 3 4 3" xfId="0"/>
    <cellStyle name="Normal 6 2 4 2 3 4 3 2" xfId="0"/>
    <cellStyle name="Normal 6 2 4 2 3 4 3 2 2" xfId="0"/>
    <cellStyle name="Normal 6 2 4 2 3 4 3 3" xfId="0"/>
    <cellStyle name="Normal 6 2 4 2 3 4 4" xfId="0"/>
    <cellStyle name="Normal 6 2 4 2 3 4 4 2" xfId="0"/>
    <cellStyle name="Normal 6 2 4 2 3 4 5" xfId="0"/>
    <cellStyle name="Normal 6 2 4 2 3 5" xfId="0"/>
    <cellStyle name="Normal 6 2 4 2 3 5 2" xfId="0"/>
    <cellStyle name="Normal 6 2 4 2 3 5 2 2" xfId="0"/>
    <cellStyle name="Normal 6 2 4 2 3 5 2 2 2" xfId="0"/>
    <cellStyle name="Normal 6 2 4 2 3 5 2 3" xfId="0"/>
    <cellStyle name="Normal 6 2 4 2 3 5 3" xfId="0"/>
    <cellStyle name="Normal 6 2 4 2 3 5 3 2" xfId="0"/>
    <cellStyle name="Normal 6 2 4 2 3 5 4" xfId="0"/>
    <cellStyle name="Normal 6 2 4 2 3 6" xfId="0"/>
    <cellStyle name="Normal 6 2 4 2 3 6 2" xfId="0"/>
    <cellStyle name="Normal 6 2 4 2 3 6 2 2" xfId="0"/>
    <cellStyle name="Normal 6 2 4 2 3 6 3" xfId="0"/>
    <cellStyle name="Normal 6 2 4 2 3 7" xfId="0"/>
    <cellStyle name="Normal 6 2 4 2 3 7 2" xfId="0"/>
    <cellStyle name="Normal 6 2 4 2 3 8" xfId="0"/>
    <cellStyle name="Normal 6 2 4 2 4" xfId="0"/>
    <cellStyle name="Normal 6 2 4 2 4 2" xfId="0"/>
    <cellStyle name="Normal 6 2 4 2 4 2 2" xfId="0"/>
    <cellStyle name="Normal 6 2 4 2 4 2 2 2" xfId="0"/>
    <cellStyle name="Normal 6 2 4 2 4 2 2 2 2" xfId="0"/>
    <cellStyle name="Normal 6 2 4 2 4 2 2 2 2 2" xfId="0"/>
    <cellStyle name="Normal 6 2 4 2 4 2 2 2 2 2 2" xfId="0"/>
    <cellStyle name="Normal 6 2 4 2 4 2 2 2 2 3" xfId="0"/>
    <cellStyle name="Normal 6 2 4 2 4 2 2 2 3" xfId="0"/>
    <cellStyle name="Normal 6 2 4 2 4 2 2 2 3 2" xfId="0"/>
    <cellStyle name="Normal 6 2 4 2 4 2 2 2 4" xfId="0"/>
    <cellStyle name="Normal 6 2 4 2 4 2 2 3" xfId="0"/>
    <cellStyle name="Normal 6 2 4 2 4 2 2 3 2" xfId="0"/>
    <cellStyle name="Normal 6 2 4 2 4 2 2 3 2 2" xfId="0"/>
    <cellStyle name="Normal 6 2 4 2 4 2 2 3 3" xfId="0"/>
    <cellStyle name="Normal 6 2 4 2 4 2 2 4" xfId="0"/>
    <cellStyle name="Normal 6 2 4 2 4 2 2 4 2" xfId="0"/>
    <cellStyle name="Normal 6 2 4 2 4 2 2 5" xfId="0"/>
    <cellStyle name="Normal 6 2 4 2 4 2 3" xfId="0"/>
    <cellStyle name="Normal 6 2 4 2 4 2 3 2" xfId="0"/>
    <cellStyle name="Normal 6 2 4 2 4 2 3 2 2" xfId="0"/>
    <cellStyle name="Normal 6 2 4 2 4 2 3 2 2 2" xfId="0"/>
    <cellStyle name="Normal 6 2 4 2 4 2 3 2 3" xfId="0"/>
    <cellStyle name="Normal 6 2 4 2 4 2 3 3" xfId="0"/>
    <cellStyle name="Normal 6 2 4 2 4 2 3 3 2" xfId="0"/>
    <cellStyle name="Normal 6 2 4 2 4 2 3 4" xfId="0"/>
    <cellStyle name="Normal 6 2 4 2 4 2 4" xfId="0"/>
    <cellStyle name="Normal 6 2 4 2 4 2 4 2" xfId="0"/>
    <cellStyle name="Normal 6 2 4 2 4 2 4 2 2" xfId="0"/>
    <cellStyle name="Normal 6 2 4 2 4 2 4 3" xfId="0"/>
    <cellStyle name="Normal 6 2 4 2 4 2 5" xfId="0"/>
    <cellStyle name="Normal 6 2 4 2 4 2 5 2" xfId="0"/>
    <cellStyle name="Normal 6 2 4 2 4 2 6" xfId="0"/>
    <cellStyle name="Normal 6 2 4 2 4 3" xfId="0"/>
    <cellStyle name="Normal 6 2 4 2 4 3 2" xfId="0"/>
    <cellStyle name="Normal 6 2 4 2 4 3 2 2" xfId="0"/>
    <cellStyle name="Normal 6 2 4 2 4 3 2 2 2" xfId="0"/>
    <cellStyle name="Normal 6 2 4 2 4 3 2 2 2 2" xfId="0"/>
    <cellStyle name="Normal 6 2 4 2 4 3 2 2 3" xfId="0"/>
    <cellStyle name="Normal 6 2 4 2 4 3 2 3" xfId="0"/>
    <cellStyle name="Normal 6 2 4 2 4 3 2 3 2" xfId="0"/>
    <cellStyle name="Normal 6 2 4 2 4 3 2 4" xfId="0"/>
    <cellStyle name="Normal 6 2 4 2 4 3 3" xfId="0"/>
    <cellStyle name="Normal 6 2 4 2 4 3 3 2" xfId="0"/>
    <cellStyle name="Normal 6 2 4 2 4 3 3 2 2" xfId="0"/>
    <cellStyle name="Normal 6 2 4 2 4 3 3 3" xfId="0"/>
    <cellStyle name="Normal 6 2 4 2 4 3 4" xfId="0"/>
    <cellStyle name="Normal 6 2 4 2 4 3 4 2" xfId="0"/>
    <cellStyle name="Normal 6 2 4 2 4 3 5" xfId="0"/>
    <cellStyle name="Normal 6 2 4 2 4 4" xfId="0"/>
    <cellStyle name="Normal 6 2 4 2 4 4 2" xfId="0"/>
    <cellStyle name="Normal 6 2 4 2 4 4 2 2" xfId="0"/>
    <cellStyle name="Normal 6 2 4 2 4 4 2 2 2" xfId="0"/>
    <cellStyle name="Normal 6 2 4 2 4 4 2 3" xfId="0"/>
    <cellStyle name="Normal 6 2 4 2 4 4 3" xfId="0"/>
    <cellStyle name="Normal 6 2 4 2 4 4 3 2" xfId="0"/>
    <cellStyle name="Normal 6 2 4 2 4 4 4" xfId="0"/>
    <cellStyle name="Normal 6 2 4 2 4 5" xfId="0"/>
    <cellStyle name="Normal 6 2 4 2 4 5 2" xfId="0"/>
    <cellStyle name="Normal 6 2 4 2 4 5 2 2" xfId="0"/>
    <cellStyle name="Normal 6 2 4 2 4 5 3" xfId="0"/>
    <cellStyle name="Normal 6 2 4 2 4 6" xfId="0"/>
    <cellStyle name="Normal 6 2 4 2 4 6 2" xfId="0"/>
    <cellStyle name="Normal 6 2 4 2 4 7" xfId="0"/>
    <cellStyle name="Normal 6 2 4 2 5" xfId="0"/>
    <cellStyle name="Normal 6 2 4 2 5 2" xfId="0"/>
    <cellStyle name="Normal 6 2 4 2 5 2 2" xfId="0"/>
    <cellStyle name="Normal 6 2 4 2 5 2 2 2" xfId="0"/>
    <cellStyle name="Normal 6 2 4 2 5 2 2 2 2" xfId="0"/>
    <cellStyle name="Normal 6 2 4 2 5 2 2 2 2 2" xfId="0"/>
    <cellStyle name="Normal 6 2 4 2 5 2 2 2 2 2 2" xfId="0"/>
    <cellStyle name="Normal 6 2 4 2 5 2 2 2 2 3" xfId="0"/>
    <cellStyle name="Normal 6 2 4 2 5 2 2 2 3" xfId="0"/>
    <cellStyle name="Normal 6 2 4 2 5 2 2 2 3 2" xfId="0"/>
    <cellStyle name="Normal 6 2 4 2 5 2 2 2 4" xfId="0"/>
    <cellStyle name="Normal 6 2 4 2 5 2 2 3" xfId="0"/>
    <cellStyle name="Normal 6 2 4 2 5 2 2 3 2" xfId="0"/>
    <cellStyle name="Normal 6 2 4 2 5 2 2 3 2 2" xfId="0"/>
    <cellStyle name="Normal 6 2 4 2 5 2 2 3 3" xfId="0"/>
    <cellStyle name="Normal 6 2 4 2 5 2 2 4" xfId="0"/>
    <cellStyle name="Normal 6 2 4 2 5 2 2 4 2" xfId="0"/>
    <cellStyle name="Normal 6 2 4 2 5 2 2 5" xfId="0"/>
    <cellStyle name="Normal 6 2 4 2 5 2 3" xfId="0"/>
    <cellStyle name="Normal 6 2 4 2 5 2 3 2" xfId="0"/>
    <cellStyle name="Normal 6 2 4 2 5 2 3 2 2" xfId="0"/>
    <cellStyle name="Normal 6 2 4 2 5 2 3 2 2 2" xfId="0"/>
    <cellStyle name="Normal 6 2 4 2 5 2 3 2 3" xfId="0"/>
    <cellStyle name="Normal 6 2 4 2 5 2 3 3" xfId="0"/>
    <cellStyle name="Normal 6 2 4 2 5 2 3 3 2" xfId="0"/>
    <cellStyle name="Normal 6 2 4 2 5 2 3 4" xfId="0"/>
    <cellStyle name="Normal 6 2 4 2 5 2 4" xfId="0"/>
    <cellStyle name="Normal 6 2 4 2 5 2 4 2" xfId="0"/>
    <cellStyle name="Normal 6 2 4 2 5 2 4 2 2" xfId="0"/>
    <cellStyle name="Normal 6 2 4 2 5 2 4 3" xfId="0"/>
    <cellStyle name="Normal 6 2 4 2 5 2 5" xfId="0"/>
    <cellStyle name="Normal 6 2 4 2 5 2 5 2" xfId="0"/>
    <cellStyle name="Normal 6 2 4 2 5 2 6" xfId="0"/>
    <cellStyle name="Normal 6 2 4 2 5 3" xfId="0"/>
    <cellStyle name="Normal 6 2 4 2 5 3 2" xfId="0"/>
    <cellStyle name="Normal 6 2 4 2 5 3 2 2" xfId="0"/>
    <cellStyle name="Normal 6 2 4 2 5 3 2 2 2" xfId="0"/>
    <cellStyle name="Normal 6 2 4 2 5 3 2 2 2 2" xfId="0"/>
    <cellStyle name="Normal 6 2 4 2 5 3 2 2 3" xfId="0"/>
    <cellStyle name="Normal 6 2 4 2 5 3 2 3" xfId="0"/>
    <cellStyle name="Normal 6 2 4 2 5 3 2 3 2" xfId="0"/>
    <cellStyle name="Normal 6 2 4 2 5 3 2 4" xfId="0"/>
    <cellStyle name="Normal 6 2 4 2 5 3 3" xfId="0"/>
    <cellStyle name="Normal 6 2 4 2 5 3 3 2" xfId="0"/>
    <cellStyle name="Normal 6 2 4 2 5 3 3 2 2" xfId="0"/>
    <cellStyle name="Normal 6 2 4 2 5 3 3 3" xfId="0"/>
    <cellStyle name="Normal 6 2 4 2 5 3 4" xfId="0"/>
    <cellStyle name="Normal 6 2 4 2 5 3 4 2" xfId="0"/>
    <cellStyle name="Normal 6 2 4 2 5 3 5" xfId="0"/>
    <cellStyle name="Normal 6 2 4 2 5 4" xfId="0"/>
    <cellStyle name="Normal 6 2 4 2 5 4 2" xfId="0"/>
    <cellStyle name="Normal 6 2 4 2 5 4 2 2" xfId="0"/>
    <cellStyle name="Normal 6 2 4 2 5 4 2 2 2" xfId="0"/>
    <cellStyle name="Normal 6 2 4 2 5 4 2 3" xfId="0"/>
    <cellStyle name="Normal 6 2 4 2 5 4 3" xfId="0"/>
    <cellStyle name="Normal 6 2 4 2 5 4 3 2" xfId="0"/>
    <cellStyle name="Normal 6 2 4 2 5 4 4" xfId="0"/>
    <cellStyle name="Normal 6 2 4 2 5 5" xfId="0"/>
    <cellStyle name="Normal 6 2 4 2 5 5 2" xfId="0"/>
    <cellStyle name="Normal 6 2 4 2 5 5 2 2" xfId="0"/>
    <cellStyle name="Normal 6 2 4 2 5 5 3" xfId="0"/>
    <cellStyle name="Normal 6 2 4 2 5 6" xfId="0"/>
    <cellStyle name="Normal 6 2 4 2 5 6 2" xfId="0"/>
    <cellStyle name="Normal 6 2 4 2 5 7" xfId="0"/>
    <cellStyle name="Normal 6 2 4 2 6" xfId="0"/>
    <cellStyle name="Normal 6 2 4 2 6 2" xfId="0"/>
    <cellStyle name="Normal 6 2 4 2 6 2 2" xfId="0"/>
    <cellStyle name="Normal 6 2 4 2 6 2 2 2" xfId="0"/>
    <cellStyle name="Normal 6 2 4 2 6 2 2 2 2" xfId="0"/>
    <cellStyle name="Normal 6 2 4 2 6 2 2 2 2 2" xfId="0"/>
    <cellStyle name="Normal 6 2 4 2 6 2 2 2 3" xfId="0"/>
    <cellStyle name="Normal 6 2 4 2 6 2 2 3" xfId="0"/>
    <cellStyle name="Normal 6 2 4 2 6 2 2 3 2" xfId="0"/>
    <cellStyle name="Normal 6 2 4 2 6 2 2 4" xfId="0"/>
    <cellStyle name="Normal 6 2 4 2 6 2 3" xfId="0"/>
    <cellStyle name="Normal 6 2 4 2 6 2 3 2" xfId="0"/>
    <cellStyle name="Normal 6 2 4 2 6 2 3 2 2" xfId="0"/>
    <cellStyle name="Normal 6 2 4 2 6 2 3 3" xfId="0"/>
    <cellStyle name="Normal 6 2 4 2 6 2 4" xfId="0"/>
    <cellStyle name="Normal 6 2 4 2 6 2 4 2" xfId="0"/>
    <cellStyle name="Normal 6 2 4 2 6 2 5" xfId="0"/>
    <cellStyle name="Normal 6 2 4 2 6 3" xfId="0"/>
    <cellStyle name="Normal 6 2 4 2 6 3 2" xfId="0"/>
    <cellStyle name="Normal 6 2 4 2 6 3 2 2" xfId="0"/>
    <cellStyle name="Normal 6 2 4 2 6 3 2 2 2" xfId="0"/>
    <cellStyle name="Normal 6 2 4 2 6 3 2 3" xfId="0"/>
    <cellStyle name="Normal 6 2 4 2 6 3 3" xfId="0"/>
    <cellStyle name="Normal 6 2 4 2 6 3 3 2" xfId="0"/>
    <cellStyle name="Normal 6 2 4 2 6 3 4" xfId="0"/>
    <cellStyle name="Normal 6 2 4 2 6 4" xfId="0"/>
    <cellStyle name="Normal 6 2 4 2 6 4 2" xfId="0"/>
    <cellStyle name="Normal 6 2 4 2 6 4 2 2" xfId="0"/>
    <cellStyle name="Normal 6 2 4 2 6 4 3" xfId="0"/>
    <cellStyle name="Normal 6 2 4 2 6 5" xfId="0"/>
    <cellStyle name="Normal 6 2 4 2 6 5 2" xfId="0"/>
    <cellStyle name="Normal 6 2 4 2 6 6" xfId="0"/>
    <cellStyle name="Normal 6 2 4 2 7" xfId="0"/>
    <cellStyle name="Normal 6 2 4 2 7 2" xfId="0"/>
    <cellStyle name="Normal 6 2 4 2 7 2 2" xfId="0"/>
    <cellStyle name="Normal 6 2 4 2 7 2 2 2" xfId="0"/>
    <cellStyle name="Normal 6 2 4 2 7 2 2 2 2" xfId="0"/>
    <cellStyle name="Normal 6 2 4 2 7 2 2 3" xfId="0"/>
    <cellStyle name="Normal 6 2 4 2 7 2 3" xfId="0"/>
    <cellStyle name="Normal 6 2 4 2 7 2 3 2" xfId="0"/>
    <cellStyle name="Normal 6 2 4 2 7 2 4" xfId="0"/>
    <cellStyle name="Normal 6 2 4 2 7 3" xfId="0"/>
    <cellStyle name="Normal 6 2 4 2 7 3 2" xfId="0"/>
    <cellStyle name="Normal 6 2 4 2 7 3 2 2" xfId="0"/>
    <cellStyle name="Normal 6 2 4 2 7 3 3" xfId="0"/>
    <cellStyle name="Normal 6 2 4 2 7 4" xfId="0"/>
    <cellStyle name="Normal 6 2 4 2 7 4 2" xfId="0"/>
    <cellStyle name="Normal 6 2 4 2 7 5" xfId="0"/>
    <cellStyle name="Normal 6 2 4 2 8" xfId="0"/>
    <cellStyle name="Normal 6 2 4 2 8 2" xfId="0"/>
    <cellStyle name="Normal 6 2 4 2 8 2 2" xfId="0"/>
    <cellStyle name="Normal 6 2 4 2 8 2 2 2" xfId="0"/>
    <cellStyle name="Normal 6 2 4 2 8 2 3" xfId="0"/>
    <cellStyle name="Normal 6 2 4 2 8 3" xfId="0"/>
    <cellStyle name="Normal 6 2 4 2 8 3 2" xfId="0"/>
    <cellStyle name="Normal 6 2 4 2 8 4" xfId="0"/>
    <cellStyle name="Normal 6 2 4 2 9" xfId="0"/>
    <cellStyle name="Normal 6 2 4 2 9 2" xfId="0"/>
    <cellStyle name="Normal 6 2 4 2 9 2 2" xfId="0"/>
    <cellStyle name="Normal 6 2 4 2 9 3" xfId="0"/>
    <cellStyle name="Normal 6 2 4 3" xfId="0"/>
    <cellStyle name="Normal 6 2 4 3 2" xfId="0"/>
    <cellStyle name="Normal 6 2 4 3 2 2" xfId="0"/>
    <cellStyle name="Normal 6 2 4 3 2 2 2" xfId="0"/>
    <cellStyle name="Normal 6 2 4 3 2 2 2 2" xfId="0"/>
    <cellStyle name="Normal 6 2 4 3 2 2 2 2 2" xfId="0"/>
    <cellStyle name="Normal 6 2 4 3 2 2 2 2 2 2" xfId="0"/>
    <cellStyle name="Normal 6 2 4 3 2 2 2 2 2 2 2" xfId="0"/>
    <cellStyle name="Normal 6 2 4 3 2 2 2 2 2 3" xfId="0"/>
    <cellStyle name="Normal 6 2 4 3 2 2 2 2 3" xfId="0"/>
    <cellStyle name="Normal 6 2 4 3 2 2 2 2 3 2" xfId="0"/>
    <cellStyle name="Normal 6 2 4 3 2 2 2 2 4" xfId="0"/>
    <cellStyle name="Normal 6 2 4 3 2 2 2 3" xfId="0"/>
    <cellStyle name="Normal 6 2 4 3 2 2 2 3 2" xfId="0"/>
    <cellStyle name="Normal 6 2 4 3 2 2 2 3 2 2" xfId="0"/>
    <cellStyle name="Normal 6 2 4 3 2 2 2 3 3" xfId="0"/>
    <cellStyle name="Normal 6 2 4 3 2 2 2 4" xfId="0"/>
    <cellStyle name="Normal 6 2 4 3 2 2 2 4 2" xfId="0"/>
    <cellStyle name="Normal 6 2 4 3 2 2 2 5" xfId="0"/>
    <cellStyle name="Normal 6 2 4 3 2 2 3" xfId="0"/>
    <cellStyle name="Normal 6 2 4 3 2 2 3 2" xfId="0"/>
    <cellStyle name="Normal 6 2 4 3 2 2 3 2 2" xfId="0"/>
    <cellStyle name="Normal 6 2 4 3 2 2 3 2 2 2" xfId="0"/>
    <cellStyle name="Normal 6 2 4 3 2 2 3 2 3" xfId="0"/>
    <cellStyle name="Normal 6 2 4 3 2 2 3 3" xfId="0"/>
    <cellStyle name="Normal 6 2 4 3 2 2 3 3 2" xfId="0"/>
    <cellStyle name="Normal 6 2 4 3 2 2 3 4" xfId="0"/>
    <cellStyle name="Normal 6 2 4 3 2 2 4" xfId="0"/>
    <cellStyle name="Normal 6 2 4 3 2 2 4 2" xfId="0"/>
    <cellStyle name="Normal 6 2 4 3 2 2 4 2 2" xfId="0"/>
    <cellStyle name="Normal 6 2 4 3 2 2 4 3" xfId="0"/>
    <cellStyle name="Normal 6 2 4 3 2 2 5" xfId="0"/>
    <cellStyle name="Normal 6 2 4 3 2 2 5 2" xfId="0"/>
    <cellStyle name="Normal 6 2 4 3 2 2 6" xfId="0"/>
    <cellStyle name="Normal 6 2 4 3 2 3" xfId="0"/>
    <cellStyle name="Normal 6 2 4 3 2 3 2" xfId="0"/>
    <cellStyle name="Normal 6 2 4 3 2 3 2 2" xfId="0"/>
    <cellStyle name="Normal 6 2 4 3 2 3 2 2 2" xfId="0"/>
    <cellStyle name="Normal 6 2 4 3 2 3 2 2 2 2" xfId="0"/>
    <cellStyle name="Normal 6 2 4 3 2 3 2 2 3" xfId="0"/>
    <cellStyle name="Normal 6 2 4 3 2 3 2 3" xfId="0"/>
    <cellStyle name="Normal 6 2 4 3 2 3 2 3 2" xfId="0"/>
    <cellStyle name="Normal 6 2 4 3 2 3 2 4" xfId="0"/>
    <cellStyle name="Normal 6 2 4 3 2 3 3" xfId="0"/>
    <cellStyle name="Normal 6 2 4 3 2 3 3 2" xfId="0"/>
    <cellStyle name="Normal 6 2 4 3 2 3 3 2 2" xfId="0"/>
    <cellStyle name="Normal 6 2 4 3 2 3 3 3" xfId="0"/>
    <cellStyle name="Normal 6 2 4 3 2 3 4" xfId="0"/>
    <cellStyle name="Normal 6 2 4 3 2 3 4 2" xfId="0"/>
    <cellStyle name="Normal 6 2 4 3 2 3 5" xfId="0"/>
    <cellStyle name="Normal 6 2 4 3 2 4" xfId="0"/>
    <cellStyle name="Normal 6 2 4 3 2 4 2" xfId="0"/>
    <cellStyle name="Normal 6 2 4 3 2 4 2 2" xfId="0"/>
    <cellStyle name="Normal 6 2 4 3 2 4 2 2 2" xfId="0"/>
    <cellStyle name="Normal 6 2 4 3 2 4 2 3" xfId="0"/>
    <cellStyle name="Normal 6 2 4 3 2 4 3" xfId="0"/>
    <cellStyle name="Normal 6 2 4 3 2 4 3 2" xfId="0"/>
    <cellStyle name="Normal 6 2 4 3 2 4 4" xfId="0"/>
    <cellStyle name="Normal 6 2 4 3 2 5" xfId="0"/>
    <cellStyle name="Normal 6 2 4 3 2 5 2" xfId="0"/>
    <cellStyle name="Normal 6 2 4 3 2 5 2 2" xfId="0"/>
    <cellStyle name="Normal 6 2 4 3 2 5 3" xfId="0"/>
    <cellStyle name="Normal 6 2 4 3 2 6" xfId="0"/>
    <cellStyle name="Normal 6 2 4 3 2 6 2" xfId="0"/>
    <cellStyle name="Normal 6 2 4 3 2 7" xfId="0"/>
    <cellStyle name="Normal 6 2 4 3 3" xfId="0"/>
    <cellStyle name="Normal 6 2 4 3 3 2" xfId="0"/>
    <cellStyle name="Normal 6 2 4 3 3 2 2" xfId="0"/>
    <cellStyle name="Normal 6 2 4 3 3 2 2 2" xfId="0"/>
    <cellStyle name="Normal 6 2 4 3 3 2 2 2 2" xfId="0"/>
    <cellStyle name="Normal 6 2 4 3 3 2 2 2 2 2" xfId="0"/>
    <cellStyle name="Normal 6 2 4 3 3 2 2 2 3" xfId="0"/>
    <cellStyle name="Normal 6 2 4 3 3 2 2 3" xfId="0"/>
    <cellStyle name="Normal 6 2 4 3 3 2 2 3 2" xfId="0"/>
    <cellStyle name="Normal 6 2 4 3 3 2 2 4" xfId="0"/>
    <cellStyle name="Normal 6 2 4 3 3 2 3" xfId="0"/>
    <cellStyle name="Normal 6 2 4 3 3 2 3 2" xfId="0"/>
    <cellStyle name="Normal 6 2 4 3 3 2 3 2 2" xfId="0"/>
    <cellStyle name="Normal 6 2 4 3 3 2 3 3" xfId="0"/>
    <cellStyle name="Normal 6 2 4 3 3 2 4" xfId="0"/>
    <cellStyle name="Normal 6 2 4 3 3 2 4 2" xfId="0"/>
    <cellStyle name="Normal 6 2 4 3 3 2 5" xfId="0"/>
    <cellStyle name="Normal 6 2 4 3 3 3" xfId="0"/>
    <cellStyle name="Normal 6 2 4 3 3 3 2" xfId="0"/>
    <cellStyle name="Normal 6 2 4 3 3 3 2 2" xfId="0"/>
    <cellStyle name="Normal 6 2 4 3 3 3 2 2 2" xfId="0"/>
    <cellStyle name="Normal 6 2 4 3 3 3 2 3" xfId="0"/>
    <cellStyle name="Normal 6 2 4 3 3 3 3" xfId="0"/>
    <cellStyle name="Normal 6 2 4 3 3 3 3 2" xfId="0"/>
    <cellStyle name="Normal 6 2 4 3 3 3 4" xfId="0"/>
    <cellStyle name="Normal 6 2 4 3 3 4" xfId="0"/>
    <cellStyle name="Normal 6 2 4 3 3 4 2" xfId="0"/>
    <cellStyle name="Normal 6 2 4 3 3 4 2 2" xfId="0"/>
    <cellStyle name="Normal 6 2 4 3 3 4 3" xfId="0"/>
    <cellStyle name="Normal 6 2 4 3 3 5" xfId="0"/>
    <cellStyle name="Normal 6 2 4 3 3 5 2" xfId="0"/>
    <cellStyle name="Normal 6 2 4 3 3 6" xfId="0"/>
    <cellStyle name="Normal 6 2 4 3 4" xfId="0"/>
    <cellStyle name="Normal 6 2 4 3 4 2" xfId="0"/>
    <cellStyle name="Normal 6 2 4 3 4 2 2" xfId="0"/>
    <cellStyle name="Normal 6 2 4 3 4 2 2 2" xfId="0"/>
    <cellStyle name="Normal 6 2 4 3 4 2 2 2 2" xfId="0"/>
    <cellStyle name="Normal 6 2 4 3 4 2 2 3" xfId="0"/>
    <cellStyle name="Normal 6 2 4 3 4 2 3" xfId="0"/>
    <cellStyle name="Normal 6 2 4 3 4 2 3 2" xfId="0"/>
    <cellStyle name="Normal 6 2 4 3 4 2 4" xfId="0"/>
    <cellStyle name="Normal 6 2 4 3 4 3" xfId="0"/>
    <cellStyle name="Normal 6 2 4 3 4 3 2" xfId="0"/>
    <cellStyle name="Normal 6 2 4 3 4 3 2 2" xfId="0"/>
    <cellStyle name="Normal 6 2 4 3 4 3 3" xfId="0"/>
    <cellStyle name="Normal 6 2 4 3 4 4" xfId="0"/>
    <cellStyle name="Normal 6 2 4 3 4 4 2" xfId="0"/>
    <cellStyle name="Normal 6 2 4 3 4 5" xfId="0"/>
    <cellStyle name="Normal 6 2 4 3 5" xfId="0"/>
    <cellStyle name="Normal 6 2 4 3 5 2" xfId="0"/>
    <cellStyle name="Normal 6 2 4 3 5 2 2" xfId="0"/>
    <cellStyle name="Normal 6 2 4 3 5 2 2 2" xfId="0"/>
    <cellStyle name="Normal 6 2 4 3 5 2 3" xfId="0"/>
    <cellStyle name="Normal 6 2 4 3 5 3" xfId="0"/>
    <cellStyle name="Normal 6 2 4 3 5 3 2" xfId="0"/>
    <cellStyle name="Normal 6 2 4 3 5 4" xfId="0"/>
    <cellStyle name="Normal 6 2 4 3 6" xfId="0"/>
    <cellStyle name="Normal 6 2 4 3 6 2" xfId="0"/>
    <cellStyle name="Normal 6 2 4 3 6 2 2" xfId="0"/>
    <cellStyle name="Normal 6 2 4 3 6 3" xfId="0"/>
    <cellStyle name="Normal 6 2 4 3 7" xfId="0"/>
    <cellStyle name="Normal 6 2 4 3 7 2" xfId="0"/>
    <cellStyle name="Normal 6 2 4 3 8" xfId="0"/>
    <cellStyle name="Normal 6 2 4 4" xfId="0"/>
    <cellStyle name="Normal 6 2 4 4 2" xfId="0"/>
    <cellStyle name="Normal 6 2 4 4 2 2" xfId="0"/>
    <cellStyle name="Normal 6 2 4 4 2 2 2" xfId="0"/>
    <cellStyle name="Normal 6 2 4 4 2 2 2 2" xfId="0"/>
    <cellStyle name="Normal 6 2 4 4 2 2 2 2 2" xfId="0"/>
    <cellStyle name="Normal 6 2 4 4 2 2 2 2 2 2" xfId="0"/>
    <cellStyle name="Normal 6 2 4 4 2 2 2 2 2 2 2" xfId="0"/>
    <cellStyle name="Normal 6 2 4 4 2 2 2 2 2 3" xfId="0"/>
    <cellStyle name="Normal 6 2 4 4 2 2 2 2 3" xfId="0"/>
    <cellStyle name="Normal 6 2 4 4 2 2 2 2 3 2" xfId="0"/>
    <cellStyle name="Normal 6 2 4 4 2 2 2 2 4" xfId="0"/>
    <cellStyle name="Normal 6 2 4 4 2 2 2 3" xfId="0"/>
    <cellStyle name="Normal 6 2 4 4 2 2 2 3 2" xfId="0"/>
    <cellStyle name="Normal 6 2 4 4 2 2 2 3 2 2" xfId="0"/>
    <cellStyle name="Normal 6 2 4 4 2 2 2 3 3" xfId="0"/>
    <cellStyle name="Normal 6 2 4 4 2 2 2 4" xfId="0"/>
    <cellStyle name="Normal 6 2 4 4 2 2 2 4 2" xfId="0"/>
    <cellStyle name="Normal 6 2 4 4 2 2 2 5" xfId="0"/>
    <cellStyle name="Normal 6 2 4 4 2 2 3" xfId="0"/>
    <cellStyle name="Normal 6 2 4 4 2 2 3 2" xfId="0"/>
    <cellStyle name="Normal 6 2 4 4 2 2 3 2 2" xfId="0"/>
    <cellStyle name="Normal 6 2 4 4 2 2 3 2 2 2" xfId="0"/>
    <cellStyle name="Normal 6 2 4 4 2 2 3 2 3" xfId="0"/>
    <cellStyle name="Normal 6 2 4 4 2 2 3 3" xfId="0"/>
    <cellStyle name="Normal 6 2 4 4 2 2 3 3 2" xfId="0"/>
    <cellStyle name="Normal 6 2 4 4 2 2 3 4" xfId="0"/>
    <cellStyle name="Normal 6 2 4 4 2 2 4" xfId="0"/>
    <cellStyle name="Normal 6 2 4 4 2 2 4 2" xfId="0"/>
    <cellStyle name="Normal 6 2 4 4 2 2 4 2 2" xfId="0"/>
    <cellStyle name="Normal 6 2 4 4 2 2 4 3" xfId="0"/>
    <cellStyle name="Normal 6 2 4 4 2 2 5" xfId="0"/>
    <cellStyle name="Normal 6 2 4 4 2 2 5 2" xfId="0"/>
    <cellStyle name="Normal 6 2 4 4 2 2 6" xfId="0"/>
    <cellStyle name="Normal 6 2 4 4 2 3" xfId="0"/>
    <cellStyle name="Normal 6 2 4 4 2 3 2" xfId="0"/>
    <cellStyle name="Normal 6 2 4 4 2 3 2 2" xfId="0"/>
    <cellStyle name="Normal 6 2 4 4 2 3 2 2 2" xfId="0"/>
    <cellStyle name="Normal 6 2 4 4 2 3 2 2 2 2" xfId="0"/>
    <cellStyle name="Normal 6 2 4 4 2 3 2 2 3" xfId="0"/>
    <cellStyle name="Normal 6 2 4 4 2 3 2 3" xfId="0"/>
    <cellStyle name="Normal 6 2 4 4 2 3 2 3 2" xfId="0"/>
    <cellStyle name="Normal 6 2 4 4 2 3 2 4" xfId="0"/>
    <cellStyle name="Normal 6 2 4 4 2 3 3" xfId="0"/>
    <cellStyle name="Normal 6 2 4 4 2 3 3 2" xfId="0"/>
    <cellStyle name="Normal 6 2 4 4 2 3 3 2 2" xfId="0"/>
    <cellStyle name="Normal 6 2 4 4 2 3 3 3" xfId="0"/>
    <cellStyle name="Normal 6 2 4 4 2 3 4" xfId="0"/>
    <cellStyle name="Normal 6 2 4 4 2 3 4 2" xfId="0"/>
    <cellStyle name="Normal 6 2 4 4 2 3 5" xfId="0"/>
    <cellStyle name="Normal 6 2 4 4 2 4" xfId="0"/>
    <cellStyle name="Normal 6 2 4 4 2 4 2" xfId="0"/>
    <cellStyle name="Normal 6 2 4 4 2 4 2 2" xfId="0"/>
    <cellStyle name="Normal 6 2 4 4 2 4 2 2 2" xfId="0"/>
    <cellStyle name="Normal 6 2 4 4 2 4 2 3" xfId="0"/>
    <cellStyle name="Normal 6 2 4 4 2 4 3" xfId="0"/>
    <cellStyle name="Normal 6 2 4 4 2 4 3 2" xfId="0"/>
    <cellStyle name="Normal 6 2 4 4 2 4 4" xfId="0"/>
    <cellStyle name="Normal 6 2 4 4 2 5" xfId="0"/>
    <cellStyle name="Normal 6 2 4 4 2 5 2" xfId="0"/>
    <cellStyle name="Normal 6 2 4 4 2 5 2 2" xfId="0"/>
    <cellStyle name="Normal 6 2 4 4 2 5 3" xfId="0"/>
    <cellStyle name="Normal 6 2 4 4 2 6" xfId="0"/>
    <cellStyle name="Normal 6 2 4 4 2 6 2" xfId="0"/>
    <cellStyle name="Normal 6 2 4 4 2 7" xfId="0"/>
    <cellStyle name="Normal 6 2 4 4 3" xfId="0"/>
    <cellStyle name="Normal 6 2 4 4 3 2" xfId="0"/>
    <cellStyle name="Normal 6 2 4 4 3 2 2" xfId="0"/>
    <cellStyle name="Normal 6 2 4 4 3 2 2 2" xfId="0"/>
    <cellStyle name="Normal 6 2 4 4 3 2 2 2 2" xfId="0"/>
    <cellStyle name="Normal 6 2 4 4 3 2 2 2 2 2" xfId="0"/>
    <cellStyle name="Normal 6 2 4 4 3 2 2 2 3" xfId="0"/>
    <cellStyle name="Normal 6 2 4 4 3 2 2 3" xfId="0"/>
    <cellStyle name="Normal 6 2 4 4 3 2 2 3 2" xfId="0"/>
    <cellStyle name="Normal 6 2 4 4 3 2 2 4" xfId="0"/>
    <cellStyle name="Normal 6 2 4 4 3 2 3" xfId="0"/>
    <cellStyle name="Normal 6 2 4 4 3 2 3 2" xfId="0"/>
    <cellStyle name="Normal 6 2 4 4 3 2 3 2 2" xfId="0"/>
    <cellStyle name="Normal 6 2 4 4 3 2 3 3" xfId="0"/>
    <cellStyle name="Normal 6 2 4 4 3 2 4" xfId="0"/>
    <cellStyle name="Normal 6 2 4 4 3 2 4 2" xfId="0"/>
    <cellStyle name="Normal 6 2 4 4 3 2 5" xfId="0"/>
    <cellStyle name="Normal 6 2 4 4 3 3" xfId="0"/>
    <cellStyle name="Normal 6 2 4 4 3 3 2" xfId="0"/>
    <cellStyle name="Normal 6 2 4 4 3 3 2 2" xfId="0"/>
    <cellStyle name="Normal 6 2 4 4 3 3 2 2 2" xfId="0"/>
    <cellStyle name="Normal 6 2 4 4 3 3 2 3" xfId="0"/>
    <cellStyle name="Normal 6 2 4 4 3 3 3" xfId="0"/>
    <cellStyle name="Normal 6 2 4 4 3 3 3 2" xfId="0"/>
    <cellStyle name="Normal 6 2 4 4 3 3 4" xfId="0"/>
    <cellStyle name="Normal 6 2 4 4 3 4" xfId="0"/>
    <cellStyle name="Normal 6 2 4 4 3 4 2" xfId="0"/>
    <cellStyle name="Normal 6 2 4 4 3 4 2 2" xfId="0"/>
    <cellStyle name="Normal 6 2 4 4 3 4 3" xfId="0"/>
    <cellStyle name="Normal 6 2 4 4 3 5" xfId="0"/>
    <cellStyle name="Normal 6 2 4 4 3 5 2" xfId="0"/>
    <cellStyle name="Normal 6 2 4 4 3 6" xfId="0"/>
    <cellStyle name="Normal 6 2 4 4 4" xfId="0"/>
    <cellStyle name="Normal 6 2 4 4 4 2" xfId="0"/>
    <cellStyle name="Normal 6 2 4 4 4 2 2" xfId="0"/>
    <cellStyle name="Normal 6 2 4 4 4 2 2 2" xfId="0"/>
    <cellStyle name="Normal 6 2 4 4 4 2 2 2 2" xfId="0"/>
    <cellStyle name="Normal 6 2 4 4 4 2 2 3" xfId="0"/>
    <cellStyle name="Normal 6 2 4 4 4 2 3" xfId="0"/>
    <cellStyle name="Normal 6 2 4 4 4 2 3 2" xfId="0"/>
    <cellStyle name="Normal 6 2 4 4 4 2 4" xfId="0"/>
    <cellStyle name="Normal 6 2 4 4 4 3" xfId="0"/>
    <cellStyle name="Normal 6 2 4 4 4 3 2" xfId="0"/>
    <cellStyle name="Normal 6 2 4 4 4 3 2 2" xfId="0"/>
    <cellStyle name="Normal 6 2 4 4 4 3 3" xfId="0"/>
    <cellStyle name="Normal 6 2 4 4 4 4" xfId="0"/>
    <cellStyle name="Normal 6 2 4 4 4 4 2" xfId="0"/>
    <cellStyle name="Normal 6 2 4 4 4 5" xfId="0"/>
    <cellStyle name="Normal 6 2 4 4 5" xfId="0"/>
    <cellStyle name="Normal 6 2 4 4 5 2" xfId="0"/>
    <cellStyle name="Normal 6 2 4 4 5 2 2" xfId="0"/>
    <cellStyle name="Normal 6 2 4 4 5 2 2 2" xfId="0"/>
    <cellStyle name="Normal 6 2 4 4 5 2 3" xfId="0"/>
    <cellStyle name="Normal 6 2 4 4 5 3" xfId="0"/>
    <cellStyle name="Normal 6 2 4 4 5 3 2" xfId="0"/>
    <cellStyle name="Normal 6 2 4 4 5 4" xfId="0"/>
    <cellStyle name="Normal 6 2 4 4 6" xfId="0"/>
    <cellStyle name="Normal 6 2 4 4 6 2" xfId="0"/>
    <cellStyle name="Normal 6 2 4 4 6 2 2" xfId="0"/>
    <cellStyle name="Normal 6 2 4 4 6 3" xfId="0"/>
    <cellStyle name="Normal 6 2 4 4 7" xfId="0"/>
    <cellStyle name="Normal 6 2 4 4 7 2" xfId="0"/>
    <cellStyle name="Normal 6 2 4 4 8" xfId="0"/>
    <cellStyle name="Normal 6 2 4 5" xfId="0"/>
    <cellStyle name="Normal 6 2 4 5 2" xfId="0"/>
    <cellStyle name="Normal 6 2 4 5 2 2" xfId="0"/>
    <cellStyle name="Normal 6 2 4 5 2 2 2" xfId="0"/>
    <cellStyle name="Normal 6 2 4 5 2 2 2 2" xfId="0"/>
    <cellStyle name="Normal 6 2 4 5 2 2 2 2 2" xfId="0"/>
    <cellStyle name="Normal 6 2 4 5 2 2 2 2 2 2" xfId="0"/>
    <cellStyle name="Normal 6 2 4 5 2 2 2 2 3" xfId="0"/>
    <cellStyle name="Normal 6 2 4 5 2 2 2 3" xfId="0"/>
    <cellStyle name="Normal 6 2 4 5 2 2 2 3 2" xfId="0"/>
    <cellStyle name="Normal 6 2 4 5 2 2 2 4" xfId="0"/>
    <cellStyle name="Normal 6 2 4 5 2 2 3" xfId="0"/>
    <cellStyle name="Normal 6 2 4 5 2 2 3 2" xfId="0"/>
    <cellStyle name="Normal 6 2 4 5 2 2 3 2 2" xfId="0"/>
    <cellStyle name="Normal 6 2 4 5 2 2 3 3" xfId="0"/>
    <cellStyle name="Normal 6 2 4 5 2 2 4" xfId="0"/>
    <cellStyle name="Normal 6 2 4 5 2 2 4 2" xfId="0"/>
    <cellStyle name="Normal 6 2 4 5 2 2 5" xfId="0"/>
    <cellStyle name="Normal 6 2 4 5 2 3" xfId="0"/>
    <cellStyle name="Normal 6 2 4 5 2 3 2" xfId="0"/>
    <cellStyle name="Normal 6 2 4 5 2 3 2 2" xfId="0"/>
    <cellStyle name="Normal 6 2 4 5 2 3 2 2 2" xfId="0"/>
    <cellStyle name="Normal 6 2 4 5 2 3 2 3" xfId="0"/>
    <cellStyle name="Normal 6 2 4 5 2 3 3" xfId="0"/>
    <cellStyle name="Normal 6 2 4 5 2 3 3 2" xfId="0"/>
    <cellStyle name="Normal 6 2 4 5 2 3 4" xfId="0"/>
    <cellStyle name="Normal 6 2 4 5 2 4" xfId="0"/>
    <cellStyle name="Normal 6 2 4 5 2 4 2" xfId="0"/>
    <cellStyle name="Normal 6 2 4 5 2 4 2 2" xfId="0"/>
    <cellStyle name="Normal 6 2 4 5 2 4 3" xfId="0"/>
    <cellStyle name="Normal 6 2 4 5 2 5" xfId="0"/>
    <cellStyle name="Normal 6 2 4 5 2 5 2" xfId="0"/>
    <cellStyle name="Normal 6 2 4 5 2 6" xfId="0"/>
    <cellStyle name="Normal 6 2 4 5 3" xfId="0"/>
    <cellStyle name="Normal 6 2 4 5 3 2" xfId="0"/>
    <cellStyle name="Normal 6 2 4 5 3 2 2" xfId="0"/>
    <cellStyle name="Normal 6 2 4 5 3 2 2 2" xfId="0"/>
    <cellStyle name="Normal 6 2 4 5 3 2 2 2 2" xfId="0"/>
    <cellStyle name="Normal 6 2 4 5 3 2 2 3" xfId="0"/>
    <cellStyle name="Normal 6 2 4 5 3 2 3" xfId="0"/>
    <cellStyle name="Normal 6 2 4 5 3 2 3 2" xfId="0"/>
    <cellStyle name="Normal 6 2 4 5 3 2 4" xfId="0"/>
    <cellStyle name="Normal 6 2 4 5 3 3" xfId="0"/>
    <cellStyle name="Normal 6 2 4 5 3 3 2" xfId="0"/>
    <cellStyle name="Normal 6 2 4 5 3 3 2 2" xfId="0"/>
    <cellStyle name="Normal 6 2 4 5 3 3 3" xfId="0"/>
    <cellStyle name="Normal 6 2 4 5 3 4" xfId="0"/>
    <cellStyle name="Normal 6 2 4 5 3 4 2" xfId="0"/>
    <cellStyle name="Normal 6 2 4 5 3 5" xfId="0"/>
    <cellStyle name="Normal 6 2 4 5 4" xfId="0"/>
    <cellStyle name="Normal 6 2 4 5 4 2" xfId="0"/>
    <cellStyle name="Normal 6 2 4 5 4 2 2" xfId="0"/>
    <cellStyle name="Normal 6 2 4 5 4 2 2 2" xfId="0"/>
    <cellStyle name="Normal 6 2 4 5 4 2 3" xfId="0"/>
    <cellStyle name="Normal 6 2 4 5 4 3" xfId="0"/>
    <cellStyle name="Normal 6 2 4 5 4 3 2" xfId="0"/>
    <cellStyle name="Normal 6 2 4 5 4 4" xfId="0"/>
    <cellStyle name="Normal 6 2 4 5 5" xfId="0"/>
    <cellStyle name="Normal 6 2 4 5 5 2" xfId="0"/>
    <cellStyle name="Normal 6 2 4 5 5 2 2" xfId="0"/>
    <cellStyle name="Normal 6 2 4 5 5 3" xfId="0"/>
    <cellStyle name="Normal 6 2 4 5 6" xfId="0"/>
    <cellStyle name="Normal 6 2 4 5 6 2" xfId="0"/>
    <cellStyle name="Normal 6 2 4 5 7" xfId="0"/>
    <cellStyle name="Normal 6 2 4 6" xfId="0"/>
    <cellStyle name="Normal 6 2 4 6 2" xfId="0"/>
    <cellStyle name="Normal 6 2 4 6 2 2" xfId="0"/>
    <cellStyle name="Normal 6 2 4 6 2 2 2" xfId="0"/>
    <cellStyle name="Normal 6 2 4 6 2 2 2 2" xfId="0"/>
    <cellStyle name="Normal 6 2 4 6 2 2 2 2 2" xfId="0"/>
    <cellStyle name="Normal 6 2 4 6 2 2 2 2 2 2" xfId="0"/>
    <cellStyle name="Normal 6 2 4 6 2 2 2 2 3" xfId="0"/>
    <cellStyle name="Normal 6 2 4 6 2 2 2 3" xfId="0"/>
    <cellStyle name="Normal 6 2 4 6 2 2 2 3 2" xfId="0"/>
    <cellStyle name="Normal 6 2 4 6 2 2 2 4" xfId="0"/>
    <cellStyle name="Normal 6 2 4 6 2 2 3" xfId="0"/>
    <cellStyle name="Normal 6 2 4 6 2 2 3 2" xfId="0"/>
    <cellStyle name="Normal 6 2 4 6 2 2 3 2 2" xfId="0"/>
    <cellStyle name="Normal 6 2 4 6 2 2 3 3" xfId="0"/>
    <cellStyle name="Normal 6 2 4 6 2 2 4" xfId="0"/>
    <cellStyle name="Normal 6 2 4 6 2 2 4 2" xfId="0"/>
    <cellStyle name="Normal 6 2 4 6 2 2 5" xfId="0"/>
    <cellStyle name="Normal 6 2 4 6 2 3" xfId="0"/>
    <cellStyle name="Normal 6 2 4 6 2 3 2" xfId="0"/>
    <cellStyle name="Normal 6 2 4 6 2 3 2 2" xfId="0"/>
    <cellStyle name="Normal 6 2 4 6 2 3 2 2 2" xfId="0"/>
    <cellStyle name="Normal 6 2 4 6 2 3 2 3" xfId="0"/>
    <cellStyle name="Normal 6 2 4 6 2 3 3" xfId="0"/>
    <cellStyle name="Normal 6 2 4 6 2 3 3 2" xfId="0"/>
    <cellStyle name="Normal 6 2 4 6 2 3 4" xfId="0"/>
    <cellStyle name="Normal 6 2 4 6 2 4" xfId="0"/>
    <cellStyle name="Normal 6 2 4 6 2 4 2" xfId="0"/>
    <cellStyle name="Normal 6 2 4 6 2 4 2 2" xfId="0"/>
    <cellStyle name="Normal 6 2 4 6 2 4 3" xfId="0"/>
    <cellStyle name="Normal 6 2 4 6 2 5" xfId="0"/>
    <cellStyle name="Normal 6 2 4 6 2 5 2" xfId="0"/>
    <cellStyle name="Normal 6 2 4 6 2 6" xfId="0"/>
    <cellStyle name="Normal 6 2 4 6 3" xfId="0"/>
    <cellStyle name="Normal 6 2 4 6 3 2" xfId="0"/>
    <cellStyle name="Normal 6 2 4 6 3 2 2" xfId="0"/>
    <cellStyle name="Normal 6 2 4 6 3 2 2 2" xfId="0"/>
    <cellStyle name="Normal 6 2 4 6 3 2 2 2 2" xfId="0"/>
    <cellStyle name="Normal 6 2 4 6 3 2 2 3" xfId="0"/>
    <cellStyle name="Normal 6 2 4 6 3 2 3" xfId="0"/>
    <cellStyle name="Normal 6 2 4 6 3 2 3 2" xfId="0"/>
    <cellStyle name="Normal 6 2 4 6 3 2 4" xfId="0"/>
    <cellStyle name="Normal 6 2 4 6 3 3" xfId="0"/>
    <cellStyle name="Normal 6 2 4 6 3 3 2" xfId="0"/>
    <cellStyle name="Normal 6 2 4 6 3 3 2 2" xfId="0"/>
    <cellStyle name="Normal 6 2 4 6 3 3 3" xfId="0"/>
    <cellStyle name="Normal 6 2 4 6 3 4" xfId="0"/>
    <cellStyle name="Normal 6 2 4 6 3 4 2" xfId="0"/>
    <cellStyle name="Normal 6 2 4 6 3 5" xfId="0"/>
    <cellStyle name="Normal 6 2 4 6 4" xfId="0"/>
    <cellStyle name="Normal 6 2 4 6 4 2" xfId="0"/>
    <cellStyle name="Normal 6 2 4 6 4 2 2" xfId="0"/>
    <cellStyle name="Normal 6 2 4 6 4 2 2 2" xfId="0"/>
    <cellStyle name="Normal 6 2 4 6 4 2 3" xfId="0"/>
    <cellStyle name="Normal 6 2 4 6 4 3" xfId="0"/>
    <cellStyle name="Normal 6 2 4 6 4 3 2" xfId="0"/>
    <cellStyle name="Normal 6 2 4 6 4 4" xfId="0"/>
    <cellStyle name="Normal 6 2 4 6 5" xfId="0"/>
    <cellStyle name="Normal 6 2 4 6 5 2" xfId="0"/>
    <cellStyle name="Normal 6 2 4 6 5 2 2" xfId="0"/>
    <cellStyle name="Normal 6 2 4 6 5 3" xfId="0"/>
    <cellStyle name="Normal 6 2 4 6 6" xfId="0"/>
    <cellStyle name="Normal 6 2 4 6 6 2" xfId="0"/>
    <cellStyle name="Normal 6 2 4 6 7" xfId="0"/>
    <cellStyle name="Normal 6 2 4 7" xfId="0"/>
    <cellStyle name="Normal 6 2 4 7 2" xfId="0"/>
    <cellStyle name="Normal 6 2 4 7 2 2" xfId="0"/>
    <cellStyle name="Normal 6 2 4 7 2 2 2" xfId="0"/>
    <cellStyle name="Normal 6 2 4 7 2 2 2 2" xfId="0"/>
    <cellStyle name="Normal 6 2 4 7 2 2 2 2 2" xfId="0"/>
    <cellStyle name="Normal 6 2 4 7 2 2 2 3" xfId="0"/>
    <cellStyle name="Normal 6 2 4 7 2 2 3" xfId="0"/>
    <cellStyle name="Normal 6 2 4 7 2 2 3 2" xfId="0"/>
    <cellStyle name="Normal 6 2 4 7 2 2 4" xfId="0"/>
    <cellStyle name="Normal 6 2 4 7 2 3" xfId="0"/>
    <cellStyle name="Normal 6 2 4 7 2 3 2" xfId="0"/>
    <cellStyle name="Normal 6 2 4 7 2 3 2 2" xfId="0"/>
    <cellStyle name="Normal 6 2 4 7 2 3 3" xfId="0"/>
    <cellStyle name="Normal 6 2 4 7 2 4" xfId="0"/>
    <cellStyle name="Normal 6 2 4 7 2 4 2" xfId="0"/>
    <cellStyle name="Normal 6 2 4 7 2 5" xfId="0"/>
    <cellStyle name="Normal 6 2 4 7 3" xfId="0"/>
    <cellStyle name="Normal 6 2 4 7 3 2" xfId="0"/>
    <cellStyle name="Normal 6 2 4 7 3 2 2" xfId="0"/>
    <cellStyle name="Normal 6 2 4 7 3 2 2 2" xfId="0"/>
    <cellStyle name="Normal 6 2 4 7 3 2 3" xfId="0"/>
    <cellStyle name="Normal 6 2 4 7 3 3" xfId="0"/>
    <cellStyle name="Normal 6 2 4 7 3 3 2" xfId="0"/>
    <cellStyle name="Normal 6 2 4 7 3 4" xfId="0"/>
    <cellStyle name="Normal 6 2 4 7 4" xfId="0"/>
    <cellStyle name="Normal 6 2 4 7 4 2" xfId="0"/>
    <cellStyle name="Normal 6 2 4 7 4 2 2" xfId="0"/>
    <cellStyle name="Normal 6 2 4 7 4 3" xfId="0"/>
    <cellStyle name="Normal 6 2 4 7 5" xfId="0"/>
    <cellStyle name="Normal 6 2 4 7 5 2" xfId="0"/>
    <cellStyle name="Normal 6 2 4 7 6" xfId="0"/>
    <cellStyle name="Normal 6 2 4 8" xfId="0"/>
    <cellStyle name="Normal 6 2 4 8 2" xfId="0"/>
    <cellStyle name="Normal 6 2 4 8 2 2" xfId="0"/>
    <cellStyle name="Normal 6 2 4 8 2 2 2" xfId="0"/>
    <cellStyle name="Normal 6 2 4 8 2 2 2 2" xfId="0"/>
    <cellStyle name="Normal 6 2 4 8 2 2 3" xfId="0"/>
    <cellStyle name="Normal 6 2 4 8 2 3" xfId="0"/>
    <cellStyle name="Normal 6 2 4 8 2 3 2" xfId="0"/>
    <cellStyle name="Normal 6 2 4 8 2 4" xfId="0"/>
    <cellStyle name="Normal 6 2 4 8 3" xfId="0"/>
    <cellStyle name="Normal 6 2 4 8 3 2" xfId="0"/>
    <cellStyle name="Normal 6 2 4 8 3 2 2" xfId="0"/>
    <cellStyle name="Normal 6 2 4 8 3 3" xfId="0"/>
    <cellStyle name="Normal 6 2 4 8 4" xfId="0"/>
    <cellStyle name="Normal 6 2 4 8 4 2" xfId="0"/>
    <cellStyle name="Normal 6 2 4 8 5" xfId="0"/>
    <cellStyle name="Normal 6 2 4 9" xfId="0"/>
    <cellStyle name="Normal 6 2 4 9 2" xfId="0"/>
    <cellStyle name="Normal 6 2 4 9 2 2" xfId="0"/>
    <cellStyle name="Normal 6 2 4 9 2 2 2" xfId="0"/>
    <cellStyle name="Normal 6 2 4 9 2 3" xfId="0"/>
    <cellStyle name="Normal 6 2 4 9 3" xfId="0"/>
    <cellStyle name="Normal 6 2 4 9 3 2" xfId="0"/>
    <cellStyle name="Normal 6 2 4 9 4" xfId="0"/>
    <cellStyle name="Normal 6 2 5" xfId="0"/>
    <cellStyle name="Normal 6 2 5 10" xfId="0"/>
    <cellStyle name="Normal 6 2 5 10 2" xfId="0"/>
    <cellStyle name="Normal 6 2 5 10 2 2" xfId="0"/>
    <cellStyle name="Normal 6 2 5 10 3" xfId="0"/>
    <cellStyle name="Normal 6 2 5 11" xfId="0"/>
    <cellStyle name="Normal 6 2 5 11 2" xfId="0"/>
    <cellStyle name="Normal 6 2 5 12" xfId="0"/>
    <cellStyle name="Normal 6 2 5 2" xfId="0"/>
    <cellStyle name="Normal 6 2 5 2 10" xfId="0"/>
    <cellStyle name="Normal 6 2 5 2 10 2" xfId="0"/>
    <cellStyle name="Normal 6 2 5 2 11" xfId="0"/>
    <cellStyle name="Normal 6 2 5 2 2" xfId="0"/>
    <cellStyle name="Normal 6 2 5 2 2 2" xfId="0"/>
    <cellStyle name="Normal 6 2 5 2 2 2 2" xfId="0"/>
    <cellStyle name="Normal 6 2 5 2 2 2 2 2" xfId="0"/>
    <cellStyle name="Normal 6 2 5 2 2 2 2 2 2" xfId="0"/>
    <cellStyle name="Normal 6 2 5 2 2 2 2 2 2 2" xfId="0"/>
    <cellStyle name="Normal 6 2 5 2 2 2 2 2 2 2 2" xfId="0"/>
    <cellStyle name="Normal 6 2 5 2 2 2 2 2 2 2 2 2" xfId="0"/>
    <cellStyle name="Normal 6 2 5 2 2 2 2 2 2 2 3" xfId="0"/>
    <cellStyle name="Normal 6 2 5 2 2 2 2 2 2 3" xfId="0"/>
    <cellStyle name="Normal 6 2 5 2 2 2 2 2 2 3 2" xfId="0"/>
    <cellStyle name="Normal 6 2 5 2 2 2 2 2 2 4" xfId="0"/>
    <cellStyle name="Normal 6 2 5 2 2 2 2 2 3" xfId="0"/>
    <cellStyle name="Normal 6 2 5 2 2 2 2 2 3 2" xfId="0"/>
    <cellStyle name="Normal 6 2 5 2 2 2 2 2 3 2 2" xfId="0"/>
    <cellStyle name="Normal 6 2 5 2 2 2 2 2 3 3" xfId="0"/>
    <cellStyle name="Normal 6 2 5 2 2 2 2 2 4" xfId="0"/>
    <cellStyle name="Normal 6 2 5 2 2 2 2 2 4 2" xfId="0"/>
    <cellStyle name="Normal 6 2 5 2 2 2 2 2 5" xfId="0"/>
    <cellStyle name="Normal 6 2 5 2 2 2 2 3" xfId="0"/>
    <cellStyle name="Normal 6 2 5 2 2 2 2 3 2" xfId="0"/>
    <cellStyle name="Normal 6 2 5 2 2 2 2 3 2 2" xfId="0"/>
    <cellStyle name="Normal 6 2 5 2 2 2 2 3 2 2 2" xfId="0"/>
    <cellStyle name="Normal 6 2 5 2 2 2 2 3 2 3" xfId="0"/>
    <cellStyle name="Normal 6 2 5 2 2 2 2 3 3" xfId="0"/>
    <cellStyle name="Normal 6 2 5 2 2 2 2 3 3 2" xfId="0"/>
    <cellStyle name="Normal 6 2 5 2 2 2 2 3 4" xfId="0"/>
    <cellStyle name="Normal 6 2 5 2 2 2 2 4" xfId="0"/>
    <cellStyle name="Normal 6 2 5 2 2 2 2 4 2" xfId="0"/>
    <cellStyle name="Normal 6 2 5 2 2 2 2 4 2 2" xfId="0"/>
    <cellStyle name="Normal 6 2 5 2 2 2 2 4 3" xfId="0"/>
    <cellStyle name="Normal 6 2 5 2 2 2 2 5" xfId="0"/>
    <cellStyle name="Normal 6 2 5 2 2 2 2 5 2" xfId="0"/>
    <cellStyle name="Normal 6 2 5 2 2 2 2 6" xfId="0"/>
    <cellStyle name="Normal 6 2 5 2 2 2 3" xfId="0"/>
    <cellStyle name="Normal 6 2 5 2 2 2 3 2" xfId="0"/>
    <cellStyle name="Normal 6 2 5 2 2 2 3 2 2" xfId="0"/>
    <cellStyle name="Normal 6 2 5 2 2 2 3 2 2 2" xfId="0"/>
    <cellStyle name="Normal 6 2 5 2 2 2 3 2 2 2 2" xfId="0"/>
    <cellStyle name="Normal 6 2 5 2 2 2 3 2 2 3" xfId="0"/>
    <cellStyle name="Normal 6 2 5 2 2 2 3 2 3" xfId="0"/>
    <cellStyle name="Normal 6 2 5 2 2 2 3 2 3 2" xfId="0"/>
    <cellStyle name="Normal 6 2 5 2 2 2 3 2 4" xfId="0"/>
    <cellStyle name="Normal 6 2 5 2 2 2 3 3" xfId="0"/>
    <cellStyle name="Normal 6 2 5 2 2 2 3 3 2" xfId="0"/>
    <cellStyle name="Normal 6 2 5 2 2 2 3 3 2 2" xfId="0"/>
    <cellStyle name="Normal 6 2 5 2 2 2 3 3 3" xfId="0"/>
    <cellStyle name="Normal 6 2 5 2 2 2 3 4" xfId="0"/>
    <cellStyle name="Normal 6 2 5 2 2 2 3 4 2" xfId="0"/>
    <cellStyle name="Normal 6 2 5 2 2 2 3 5" xfId="0"/>
    <cellStyle name="Normal 6 2 5 2 2 2 4" xfId="0"/>
    <cellStyle name="Normal 6 2 5 2 2 2 4 2" xfId="0"/>
    <cellStyle name="Normal 6 2 5 2 2 2 4 2 2" xfId="0"/>
    <cellStyle name="Normal 6 2 5 2 2 2 4 2 2 2" xfId="0"/>
    <cellStyle name="Normal 6 2 5 2 2 2 4 2 3" xfId="0"/>
    <cellStyle name="Normal 6 2 5 2 2 2 4 3" xfId="0"/>
    <cellStyle name="Normal 6 2 5 2 2 2 4 3 2" xfId="0"/>
    <cellStyle name="Normal 6 2 5 2 2 2 4 4" xfId="0"/>
    <cellStyle name="Normal 6 2 5 2 2 2 5" xfId="0"/>
    <cellStyle name="Normal 6 2 5 2 2 2 5 2" xfId="0"/>
    <cellStyle name="Normal 6 2 5 2 2 2 5 2 2" xfId="0"/>
    <cellStyle name="Normal 6 2 5 2 2 2 5 3" xfId="0"/>
    <cellStyle name="Normal 6 2 5 2 2 2 6" xfId="0"/>
    <cellStyle name="Normal 6 2 5 2 2 2 6 2" xfId="0"/>
    <cellStyle name="Normal 6 2 5 2 2 2 7" xfId="0"/>
    <cellStyle name="Normal 6 2 5 2 2 3" xfId="0"/>
    <cellStyle name="Normal 6 2 5 2 2 3 2" xfId="0"/>
    <cellStyle name="Normal 6 2 5 2 2 3 2 2" xfId="0"/>
    <cellStyle name="Normal 6 2 5 2 2 3 2 2 2" xfId="0"/>
    <cellStyle name="Normal 6 2 5 2 2 3 2 2 2 2" xfId="0"/>
    <cellStyle name="Normal 6 2 5 2 2 3 2 2 2 2 2" xfId="0"/>
    <cellStyle name="Normal 6 2 5 2 2 3 2 2 2 3" xfId="0"/>
    <cellStyle name="Normal 6 2 5 2 2 3 2 2 3" xfId="0"/>
    <cellStyle name="Normal 6 2 5 2 2 3 2 2 3 2" xfId="0"/>
    <cellStyle name="Normal 6 2 5 2 2 3 2 2 4" xfId="0"/>
    <cellStyle name="Normal 6 2 5 2 2 3 2 3" xfId="0"/>
    <cellStyle name="Normal 6 2 5 2 2 3 2 3 2" xfId="0"/>
    <cellStyle name="Normal 6 2 5 2 2 3 2 3 2 2" xfId="0"/>
    <cellStyle name="Normal 6 2 5 2 2 3 2 3 3" xfId="0"/>
    <cellStyle name="Normal 6 2 5 2 2 3 2 4" xfId="0"/>
    <cellStyle name="Normal 6 2 5 2 2 3 2 4 2" xfId="0"/>
    <cellStyle name="Normal 6 2 5 2 2 3 2 5" xfId="0"/>
    <cellStyle name="Normal 6 2 5 2 2 3 3" xfId="0"/>
    <cellStyle name="Normal 6 2 5 2 2 3 3 2" xfId="0"/>
    <cellStyle name="Normal 6 2 5 2 2 3 3 2 2" xfId="0"/>
    <cellStyle name="Normal 6 2 5 2 2 3 3 2 2 2" xfId="0"/>
    <cellStyle name="Normal 6 2 5 2 2 3 3 2 3" xfId="0"/>
    <cellStyle name="Normal 6 2 5 2 2 3 3 3" xfId="0"/>
    <cellStyle name="Normal 6 2 5 2 2 3 3 3 2" xfId="0"/>
    <cellStyle name="Normal 6 2 5 2 2 3 3 4" xfId="0"/>
    <cellStyle name="Normal 6 2 5 2 2 3 4" xfId="0"/>
    <cellStyle name="Normal 6 2 5 2 2 3 4 2" xfId="0"/>
    <cellStyle name="Normal 6 2 5 2 2 3 4 2 2" xfId="0"/>
    <cellStyle name="Normal 6 2 5 2 2 3 4 3" xfId="0"/>
    <cellStyle name="Normal 6 2 5 2 2 3 5" xfId="0"/>
    <cellStyle name="Normal 6 2 5 2 2 3 5 2" xfId="0"/>
    <cellStyle name="Normal 6 2 5 2 2 3 6" xfId="0"/>
    <cellStyle name="Normal 6 2 5 2 2 4" xfId="0"/>
    <cellStyle name="Normal 6 2 5 2 2 4 2" xfId="0"/>
    <cellStyle name="Normal 6 2 5 2 2 4 2 2" xfId="0"/>
    <cellStyle name="Normal 6 2 5 2 2 4 2 2 2" xfId="0"/>
    <cellStyle name="Normal 6 2 5 2 2 4 2 2 2 2" xfId="0"/>
    <cellStyle name="Normal 6 2 5 2 2 4 2 2 3" xfId="0"/>
    <cellStyle name="Normal 6 2 5 2 2 4 2 3" xfId="0"/>
    <cellStyle name="Normal 6 2 5 2 2 4 2 3 2" xfId="0"/>
    <cellStyle name="Normal 6 2 5 2 2 4 2 4" xfId="0"/>
    <cellStyle name="Normal 6 2 5 2 2 4 3" xfId="0"/>
    <cellStyle name="Normal 6 2 5 2 2 4 3 2" xfId="0"/>
    <cellStyle name="Normal 6 2 5 2 2 4 3 2 2" xfId="0"/>
    <cellStyle name="Normal 6 2 5 2 2 4 3 3" xfId="0"/>
    <cellStyle name="Normal 6 2 5 2 2 4 4" xfId="0"/>
    <cellStyle name="Normal 6 2 5 2 2 4 4 2" xfId="0"/>
    <cellStyle name="Normal 6 2 5 2 2 4 5" xfId="0"/>
    <cellStyle name="Normal 6 2 5 2 2 5" xfId="0"/>
    <cellStyle name="Normal 6 2 5 2 2 5 2" xfId="0"/>
    <cellStyle name="Normal 6 2 5 2 2 5 2 2" xfId="0"/>
    <cellStyle name="Normal 6 2 5 2 2 5 2 2 2" xfId="0"/>
    <cellStyle name="Normal 6 2 5 2 2 5 2 3" xfId="0"/>
    <cellStyle name="Normal 6 2 5 2 2 5 3" xfId="0"/>
    <cellStyle name="Normal 6 2 5 2 2 5 3 2" xfId="0"/>
    <cellStyle name="Normal 6 2 5 2 2 5 4" xfId="0"/>
    <cellStyle name="Normal 6 2 5 2 2 6" xfId="0"/>
    <cellStyle name="Normal 6 2 5 2 2 6 2" xfId="0"/>
    <cellStyle name="Normal 6 2 5 2 2 6 2 2" xfId="0"/>
    <cellStyle name="Normal 6 2 5 2 2 6 3" xfId="0"/>
    <cellStyle name="Normal 6 2 5 2 2 7" xfId="0"/>
    <cellStyle name="Normal 6 2 5 2 2 7 2" xfId="0"/>
    <cellStyle name="Normal 6 2 5 2 2 8" xfId="0"/>
    <cellStyle name="Normal 6 2 5 2 3" xfId="0"/>
    <cellStyle name="Normal 6 2 5 2 3 2" xfId="0"/>
    <cellStyle name="Normal 6 2 5 2 3 2 2" xfId="0"/>
    <cellStyle name="Normal 6 2 5 2 3 2 2 2" xfId="0"/>
    <cellStyle name="Normal 6 2 5 2 3 2 2 2 2" xfId="0"/>
    <cellStyle name="Normal 6 2 5 2 3 2 2 2 2 2" xfId="0"/>
    <cellStyle name="Normal 6 2 5 2 3 2 2 2 2 2 2" xfId="0"/>
    <cellStyle name="Normal 6 2 5 2 3 2 2 2 2 2 2 2" xfId="0"/>
    <cellStyle name="Normal 6 2 5 2 3 2 2 2 2 2 3" xfId="0"/>
    <cellStyle name="Normal 6 2 5 2 3 2 2 2 2 3" xfId="0"/>
    <cellStyle name="Normal 6 2 5 2 3 2 2 2 2 3 2" xfId="0"/>
    <cellStyle name="Normal 6 2 5 2 3 2 2 2 2 4" xfId="0"/>
    <cellStyle name="Normal 6 2 5 2 3 2 2 2 3" xfId="0"/>
    <cellStyle name="Normal 6 2 5 2 3 2 2 2 3 2" xfId="0"/>
    <cellStyle name="Normal 6 2 5 2 3 2 2 2 3 2 2" xfId="0"/>
    <cellStyle name="Normal 6 2 5 2 3 2 2 2 3 3" xfId="0"/>
    <cellStyle name="Normal 6 2 5 2 3 2 2 2 4" xfId="0"/>
    <cellStyle name="Normal 6 2 5 2 3 2 2 2 4 2" xfId="0"/>
    <cellStyle name="Normal 6 2 5 2 3 2 2 2 5" xfId="0"/>
    <cellStyle name="Normal 6 2 5 2 3 2 2 3" xfId="0"/>
    <cellStyle name="Normal 6 2 5 2 3 2 2 3 2" xfId="0"/>
    <cellStyle name="Normal 6 2 5 2 3 2 2 3 2 2" xfId="0"/>
    <cellStyle name="Normal 6 2 5 2 3 2 2 3 2 2 2" xfId="0"/>
    <cellStyle name="Normal 6 2 5 2 3 2 2 3 2 3" xfId="0"/>
    <cellStyle name="Normal 6 2 5 2 3 2 2 3 3" xfId="0"/>
    <cellStyle name="Normal 6 2 5 2 3 2 2 3 3 2" xfId="0"/>
    <cellStyle name="Normal 6 2 5 2 3 2 2 3 4" xfId="0"/>
    <cellStyle name="Normal 6 2 5 2 3 2 2 4" xfId="0"/>
    <cellStyle name="Normal 6 2 5 2 3 2 2 4 2" xfId="0"/>
    <cellStyle name="Normal 6 2 5 2 3 2 2 4 2 2" xfId="0"/>
    <cellStyle name="Normal 6 2 5 2 3 2 2 4 3" xfId="0"/>
    <cellStyle name="Normal 6 2 5 2 3 2 2 5" xfId="0"/>
    <cellStyle name="Normal 6 2 5 2 3 2 2 5 2" xfId="0"/>
    <cellStyle name="Normal 6 2 5 2 3 2 2 6" xfId="0"/>
    <cellStyle name="Normal 6 2 5 2 3 2 3" xfId="0"/>
    <cellStyle name="Normal 6 2 5 2 3 2 3 2" xfId="0"/>
    <cellStyle name="Normal 6 2 5 2 3 2 3 2 2" xfId="0"/>
    <cellStyle name="Normal 6 2 5 2 3 2 3 2 2 2" xfId="0"/>
    <cellStyle name="Normal 6 2 5 2 3 2 3 2 2 2 2" xfId="0"/>
    <cellStyle name="Normal 6 2 5 2 3 2 3 2 2 3" xfId="0"/>
    <cellStyle name="Normal 6 2 5 2 3 2 3 2 3" xfId="0"/>
    <cellStyle name="Normal 6 2 5 2 3 2 3 2 3 2" xfId="0"/>
    <cellStyle name="Normal 6 2 5 2 3 2 3 2 4" xfId="0"/>
    <cellStyle name="Normal 6 2 5 2 3 2 3 3" xfId="0"/>
    <cellStyle name="Normal 6 2 5 2 3 2 3 3 2" xfId="0"/>
    <cellStyle name="Normal 6 2 5 2 3 2 3 3 2 2" xfId="0"/>
    <cellStyle name="Normal 6 2 5 2 3 2 3 3 3" xfId="0"/>
    <cellStyle name="Normal 6 2 5 2 3 2 3 4" xfId="0"/>
    <cellStyle name="Normal 6 2 5 2 3 2 3 4 2" xfId="0"/>
    <cellStyle name="Normal 6 2 5 2 3 2 3 5" xfId="0"/>
    <cellStyle name="Normal 6 2 5 2 3 2 4" xfId="0"/>
    <cellStyle name="Normal 6 2 5 2 3 2 4 2" xfId="0"/>
    <cellStyle name="Normal 6 2 5 2 3 2 4 2 2" xfId="0"/>
    <cellStyle name="Normal 6 2 5 2 3 2 4 2 2 2" xfId="0"/>
    <cellStyle name="Normal 6 2 5 2 3 2 4 2 3" xfId="0"/>
    <cellStyle name="Normal 6 2 5 2 3 2 4 3" xfId="0"/>
    <cellStyle name="Normal 6 2 5 2 3 2 4 3 2" xfId="0"/>
    <cellStyle name="Normal 6 2 5 2 3 2 4 4" xfId="0"/>
    <cellStyle name="Normal 6 2 5 2 3 2 5" xfId="0"/>
    <cellStyle name="Normal 6 2 5 2 3 2 5 2" xfId="0"/>
    <cellStyle name="Normal 6 2 5 2 3 2 5 2 2" xfId="0"/>
    <cellStyle name="Normal 6 2 5 2 3 2 5 3" xfId="0"/>
    <cellStyle name="Normal 6 2 5 2 3 2 6" xfId="0"/>
    <cellStyle name="Normal 6 2 5 2 3 2 6 2" xfId="0"/>
    <cellStyle name="Normal 6 2 5 2 3 2 7" xfId="0"/>
    <cellStyle name="Normal 6 2 5 2 3 3" xfId="0"/>
    <cellStyle name="Normal 6 2 5 2 3 3 2" xfId="0"/>
    <cellStyle name="Normal 6 2 5 2 3 3 2 2" xfId="0"/>
    <cellStyle name="Normal 6 2 5 2 3 3 2 2 2" xfId="0"/>
    <cellStyle name="Normal 6 2 5 2 3 3 2 2 2 2" xfId="0"/>
    <cellStyle name="Normal 6 2 5 2 3 3 2 2 2 2 2" xfId="0"/>
    <cellStyle name="Normal 6 2 5 2 3 3 2 2 2 3" xfId="0"/>
    <cellStyle name="Normal 6 2 5 2 3 3 2 2 3" xfId="0"/>
    <cellStyle name="Normal 6 2 5 2 3 3 2 2 3 2" xfId="0"/>
    <cellStyle name="Normal 6 2 5 2 3 3 2 2 4" xfId="0"/>
    <cellStyle name="Normal 6 2 5 2 3 3 2 3" xfId="0"/>
    <cellStyle name="Normal 6 2 5 2 3 3 2 3 2" xfId="0"/>
    <cellStyle name="Normal 6 2 5 2 3 3 2 3 2 2" xfId="0"/>
    <cellStyle name="Normal 6 2 5 2 3 3 2 3 3" xfId="0"/>
    <cellStyle name="Normal 6 2 5 2 3 3 2 4" xfId="0"/>
    <cellStyle name="Normal 6 2 5 2 3 3 2 4 2" xfId="0"/>
    <cellStyle name="Normal 6 2 5 2 3 3 2 5" xfId="0"/>
    <cellStyle name="Normal 6 2 5 2 3 3 3" xfId="0"/>
    <cellStyle name="Normal 6 2 5 2 3 3 3 2" xfId="0"/>
    <cellStyle name="Normal 6 2 5 2 3 3 3 2 2" xfId="0"/>
    <cellStyle name="Normal 6 2 5 2 3 3 3 2 2 2" xfId="0"/>
    <cellStyle name="Normal 6 2 5 2 3 3 3 2 3" xfId="0"/>
    <cellStyle name="Normal 6 2 5 2 3 3 3 3" xfId="0"/>
    <cellStyle name="Normal 6 2 5 2 3 3 3 3 2" xfId="0"/>
    <cellStyle name="Normal 6 2 5 2 3 3 3 4" xfId="0"/>
    <cellStyle name="Normal 6 2 5 2 3 3 4" xfId="0"/>
    <cellStyle name="Normal 6 2 5 2 3 3 4 2" xfId="0"/>
    <cellStyle name="Normal 6 2 5 2 3 3 4 2 2" xfId="0"/>
    <cellStyle name="Normal 6 2 5 2 3 3 4 3" xfId="0"/>
    <cellStyle name="Normal 6 2 5 2 3 3 5" xfId="0"/>
    <cellStyle name="Normal 6 2 5 2 3 3 5 2" xfId="0"/>
    <cellStyle name="Normal 6 2 5 2 3 3 6" xfId="0"/>
    <cellStyle name="Normal 6 2 5 2 3 4" xfId="0"/>
    <cellStyle name="Normal 6 2 5 2 3 4 2" xfId="0"/>
    <cellStyle name="Normal 6 2 5 2 3 4 2 2" xfId="0"/>
    <cellStyle name="Normal 6 2 5 2 3 4 2 2 2" xfId="0"/>
    <cellStyle name="Normal 6 2 5 2 3 4 2 2 2 2" xfId="0"/>
    <cellStyle name="Normal 6 2 5 2 3 4 2 2 3" xfId="0"/>
    <cellStyle name="Normal 6 2 5 2 3 4 2 3" xfId="0"/>
    <cellStyle name="Normal 6 2 5 2 3 4 2 3 2" xfId="0"/>
    <cellStyle name="Normal 6 2 5 2 3 4 2 4" xfId="0"/>
    <cellStyle name="Normal 6 2 5 2 3 4 3" xfId="0"/>
    <cellStyle name="Normal 6 2 5 2 3 4 3 2" xfId="0"/>
    <cellStyle name="Normal 6 2 5 2 3 4 3 2 2" xfId="0"/>
    <cellStyle name="Normal 6 2 5 2 3 4 3 3" xfId="0"/>
    <cellStyle name="Normal 6 2 5 2 3 4 4" xfId="0"/>
    <cellStyle name="Normal 6 2 5 2 3 4 4 2" xfId="0"/>
    <cellStyle name="Normal 6 2 5 2 3 4 5" xfId="0"/>
    <cellStyle name="Normal 6 2 5 2 3 5" xfId="0"/>
    <cellStyle name="Normal 6 2 5 2 3 5 2" xfId="0"/>
    <cellStyle name="Normal 6 2 5 2 3 5 2 2" xfId="0"/>
    <cellStyle name="Normal 6 2 5 2 3 5 2 2 2" xfId="0"/>
    <cellStyle name="Normal 6 2 5 2 3 5 2 3" xfId="0"/>
    <cellStyle name="Normal 6 2 5 2 3 5 3" xfId="0"/>
    <cellStyle name="Normal 6 2 5 2 3 5 3 2" xfId="0"/>
    <cellStyle name="Normal 6 2 5 2 3 5 4" xfId="0"/>
    <cellStyle name="Normal 6 2 5 2 3 6" xfId="0"/>
    <cellStyle name="Normal 6 2 5 2 3 6 2" xfId="0"/>
    <cellStyle name="Normal 6 2 5 2 3 6 2 2" xfId="0"/>
    <cellStyle name="Normal 6 2 5 2 3 6 3" xfId="0"/>
    <cellStyle name="Normal 6 2 5 2 3 7" xfId="0"/>
    <cellStyle name="Normal 6 2 5 2 3 7 2" xfId="0"/>
    <cellStyle name="Normal 6 2 5 2 3 8" xfId="0"/>
    <cellStyle name="Normal 6 2 5 2 4" xfId="0"/>
    <cellStyle name="Normal 6 2 5 2 4 2" xfId="0"/>
    <cellStyle name="Normal 6 2 5 2 4 2 2" xfId="0"/>
    <cellStyle name="Normal 6 2 5 2 4 2 2 2" xfId="0"/>
    <cellStyle name="Normal 6 2 5 2 4 2 2 2 2" xfId="0"/>
    <cellStyle name="Normal 6 2 5 2 4 2 2 2 2 2" xfId="0"/>
    <cellStyle name="Normal 6 2 5 2 4 2 2 2 2 2 2" xfId="0"/>
    <cellStyle name="Normal 6 2 5 2 4 2 2 2 2 3" xfId="0"/>
    <cellStyle name="Normal 6 2 5 2 4 2 2 2 3" xfId="0"/>
    <cellStyle name="Normal 6 2 5 2 4 2 2 2 3 2" xfId="0"/>
    <cellStyle name="Normal 6 2 5 2 4 2 2 2 4" xfId="0"/>
    <cellStyle name="Normal 6 2 5 2 4 2 2 3" xfId="0"/>
    <cellStyle name="Normal 6 2 5 2 4 2 2 3 2" xfId="0"/>
    <cellStyle name="Normal 6 2 5 2 4 2 2 3 2 2" xfId="0"/>
    <cellStyle name="Normal 6 2 5 2 4 2 2 3 3" xfId="0"/>
    <cellStyle name="Normal 6 2 5 2 4 2 2 4" xfId="0"/>
    <cellStyle name="Normal 6 2 5 2 4 2 2 4 2" xfId="0"/>
    <cellStyle name="Normal 6 2 5 2 4 2 2 5" xfId="0"/>
    <cellStyle name="Normal 6 2 5 2 4 2 3" xfId="0"/>
    <cellStyle name="Normal 6 2 5 2 4 2 3 2" xfId="0"/>
    <cellStyle name="Normal 6 2 5 2 4 2 3 2 2" xfId="0"/>
    <cellStyle name="Normal 6 2 5 2 4 2 3 2 2 2" xfId="0"/>
    <cellStyle name="Normal 6 2 5 2 4 2 3 2 3" xfId="0"/>
    <cellStyle name="Normal 6 2 5 2 4 2 3 3" xfId="0"/>
    <cellStyle name="Normal 6 2 5 2 4 2 3 3 2" xfId="0"/>
    <cellStyle name="Normal 6 2 5 2 4 2 3 4" xfId="0"/>
    <cellStyle name="Normal 6 2 5 2 4 2 4" xfId="0"/>
    <cellStyle name="Normal 6 2 5 2 4 2 4 2" xfId="0"/>
    <cellStyle name="Normal 6 2 5 2 4 2 4 2 2" xfId="0"/>
    <cellStyle name="Normal 6 2 5 2 4 2 4 3" xfId="0"/>
    <cellStyle name="Normal 6 2 5 2 4 2 5" xfId="0"/>
    <cellStyle name="Normal 6 2 5 2 4 2 5 2" xfId="0"/>
    <cellStyle name="Normal 6 2 5 2 4 2 6" xfId="0"/>
    <cellStyle name="Normal 6 2 5 2 4 3" xfId="0"/>
    <cellStyle name="Normal 6 2 5 2 4 3 2" xfId="0"/>
    <cellStyle name="Normal 6 2 5 2 4 3 2 2" xfId="0"/>
    <cellStyle name="Normal 6 2 5 2 4 3 2 2 2" xfId="0"/>
    <cellStyle name="Normal 6 2 5 2 4 3 2 2 2 2" xfId="0"/>
    <cellStyle name="Normal 6 2 5 2 4 3 2 2 3" xfId="0"/>
    <cellStyle name="Normal 6 2 5 2 4 3 2 3" xfId="0"/>
    <cellStyle name="Normal 6 2 5 2 4 3 2 3 2" xfId="0"/>
    <cellStyle name="Normal 6 2 5 2 4 3 2 4" xfId="0"/>
    <cellStyle name="Normal 6 2 5 2 4 3 3" xfId="0"/>
    <cellStyle name="Normal 6 2 5 2 4 3 3 2" xfId="0"/>
    <cellStyle name="Normal 6 2 5 2 4 3 3 2 2" xfId="0"/>
    <cellStyle name="Normal 6 2 5 2 4 3 3 3" xfId="0"/>
    <cellStyle name="Normal 6 2 5 2 4 3 4" xfId="0"/>
    <cellStyle name="Normal 6 2 5 2 4 3 4 2" xfId="0"/>
    <cellStyle name="Normal 6 2 5 2 4 3 5" xfId="0"/>
    <cellStyle name="Normal 6 2 5 2 4 4" xfId="0"/>
    <cellStyle name="Normal 6 2 5 2 4 4 2" xfId="0"/>
    <cellStyle name="Normal 6 2 5 2 4 4 2 2" xfId="0"/>
    <cellStyle name="Normal 6 2 5 2 4 4 2 2 2" xfId="0"/>
    <cellStyle name="Normal 6 2 5 2 4 4 2 3" xfId="0"/>
    <cellStyle name="Normal 6 2 5 2 4 4 3" xfId="0"/>
    <cellStyle name="Normal 6 2 5 2 4 4 3 2" xfId="0"/>
    <cellStyle name="Normal 6 2 5 2 4 4 4" xfId="0"/>
    <cellStyle name="Normal 6 2 5 2 4 5" xfId="0"/>
    <cellStyle name="Normal 6 2 5 2 4 5 2" xfId="0"/>
    <cellStyle name="Normal 6 2 5 2 4 5 2 2" xfId="0"/>
    <cellStyle name="Normal 6 2 5 2 4 5 3" xfId="0"/>
    <cellStyle name="Normal 6 2 5 2 4 6" xfId="0"/>
    <cellStyle name="Normal 6 2 5 2 4 6 2" xfId="0"/>
    <cellStyle name="Normal 6 2 5 2 4 7" xfId="0"/>
    <cellStyle name="Normal 6 2 5 2 5" xfId="0"/>
    <cellStyle name="Normal 6 2 5 2 5 2" xfId="0"/>
    <cellStyle name="Normal 6 2 5 2 5 2 2" xfId="0"/>
    <cellStyle name="Normal 6 2 5 2 5 2 2 2" xfId="0"/>
    <cellStyle name="Normal 6 2 5 2 5 2 2 2 2" xfId="0"/>
    <cellStyle name="Normal 6 2 5 2 5 2 2 2 2 2" xfId="0"/>
    <cellStyle name="Normal 6 2 5 2 5 2 2 2 2 2 2" xfId="0"/>
    <cellStyle name="Normal 6 2 5 2 5 2 2 2 2 3" xfId="0"/>
    <cellStyle name="Normal 6 2 5 2 5 2 2 2 3" xfId="0"/>
    <cellStyle name="Normal 6 2 5 2 5 2 2 2 3 2" xfId="0"/>
    <cellStyle name="Normal 6 2 5 2 5 2 2 2 4" xfId="0"/>
    <cellStyle name="Normal 6 2 5 2 5 2 2 3" xfId="0"/>
    <cellStyle name="Normal 6 2 5 2 5 2 2 3 2" xfId="0"/>
    <cellStyle name="Normal 6 2 5 2 5 2 2 3 2 2" xfId="0"/>
    <cellStyle name="Normal 6 2 5 2 5 2 2 3 3" xfId="0"/>
    <cellStyle name="Normal 6 2 5 2 5 2 2 4" xfId="0"/>
    <cellStyle name="Normal 6 2 5 2 5 2 2 4 2" xfId="0"/>
    <cellStyle name="Normal 6 2 5 2 5 2 2 5" xfId="0"/>
    <cellStyle name="Normal 6 2 5 2 5 2 3" xfId="0"/>
    <cellStyle name="Normal 6 2 5 2 5 2 3 2" xfId="0"/>
    <cellStyle name="Normal 6 2 5 2 5 2 3 2 2" xfId="0"/>
    <cellStyle name="Normal 6 2 5 2 5 2 3 2 2 2" xfId="0"/>
    <cellStyle name="Normal 6 2 5 2 5 2 3 2 3" xfId="0"/>
    <cellStyle name="Normal 6 2 5 2 5 2 3 3" xfId="0"/>
    <cellStyle name="Normal 6 2 5 2 5 2 3 3 2" xfId="0"/>
    <cellStyle name="Normal 6 2 5 2 5 2 3 4" xfId="0"/>
    <cellStyle name="Normal 6 2 5 2 5 2 4" xfId="0"/>
    <cellStyle name="Normal 6 2 5 2 5 2 4 2" xfId="0"/>
    <cellStyle name="Normal 6 2 5 2 5 2 4 2 2" xfId="0"/>
    <cellStyle name="Normal 6 2 5 2 5 2 4 3" xfId="0"/>
    <cellStyle name="Normal 6 2 5 2 5 2 5" xfId="0"/>
    <cellStyle name="Normal 6 2 5 2 5 2 5 2" xfId="0"/>
    <cellStyle name="Normal 6 2 5 2 5 2 6" xfId="0"/>
    <cellStyle name="Normal 6 2 5 2 5 3" xfId="0"/>
    <cellStyle name="Normal 6 2 5 2 5 3 2" xfId="0"/>
    <cellStyle name="Normal 6 2 5 2 5 3 2 2" xfId="0"/>
    <cellStyle name="Normal 6 2 5 2 5 3 2 2 2" xfId="0"/>
    <cellStyle name="Normal 6 2 5 2 5 3 2 2 2 2" xfId="0"/>
    <cellStyle name="Normal 6 2 5 2 5 3 2 2 3" xfId="0"/>
    <cellStyle name="Normal 6 2 5 2 5 3 2 3" xfId="0"/>
    <cellStyle name="Normal 6 2 5 2 5 3 2 3 2" xfId="0"/>
    <cellStyle name="Normal 6 2 5 2 5 3 2 4" xfId="0"/>
    <cellStyle name="Normal 6 2 5 2 5 3 3" xfId="0"/>
    <cellStyle name="Normal 6 2 5 2 5 3 3 2" xfId="0"/>
    <cellStyle name="Normal 6 2 5 2 5 3 3 2 2" xfId="0"/>
    <cellStyle name="Normal 6 2 5 2 5 3 3 3" xfId="0"/>
    <cellStyle name="Normal 6 2 5 2 5 3 4" xfId="0"/>
    <cellStyle name="Normal 6 2 5 2 5 3 4 2" xfId="0"/>
    <cellStyle name="Normal 6 2 5 2 5 3 5" xfId="0"/>
    <cellStyle name="Normal 6 2 5 2 5 4" xfId="0"/>
    <cellStyle name="Normal 6 2 5 2 5 4 2" xfId="0"/>
    <cellStyle name="Normal 6 2 5 2 5 4 2 2" xfId="0"/>
    <cellStyle name="Normal 6 2 5 2 5 4 2 2 2" xfId="0"/>
    <cellStyle name="Normal 6 2 5 2 5 4 2 3" xfId="0"/>
    <cellStyle name="Normal 6 2 5 2 5 4 3" xfId="0"/>
    <cellStyle name="Normal 6 2 5 2 5 4 3 2" xfId="0"/>
    <cellStyle name="Normal 6 2 5 2 5 4 4" xfId="0"/>
    <cellStyle name="Normal 6 2 5 2 5 5" xfId="0"/>
    <cellStyle name="Normal 6 2 5 2 5 5 2" xfId="0"/>
    <cellStyle name="Normal 6 2 5 2 5 5 2 2" xfId="0"/>
    <cellStyle name="Normal 6 2 5 2 5 5 3" xfId="0"/>
    <cellStyle name="Normal 6 2 5 2 5 6" xfId="0"/>
    <cellStyle name="Normal 6 2 5 2 5 6 2" xfId="0"/>
    <cellStyle name="Normal 6 2 5 2 5 7" xfId="0"/>
    <cellStyle name="Normal 6 2 5 2 6" xfId="0"/>
    <cellStyle name="Normal 6 2 5 2 6 2" xfId="0"/>
    <cellStyle name="Normal 6 2 5 2 6 2 2" xfId="0"/>
    <cellStyle name="Normal 6 2 5 2 6 2 2 2" xfId="0"/>
    <cellStyle name="Normal 6 2 5 2 6 2 2 2 2" xfId="0"/>
    <cellStyle name="Normal 6 2 5 2 6 2 2 2 2 2" xfId="0"/>
    <cellStyle name="Normal 6 2 5 2 6 2 2 2 3" xfId="0"/>
    <cellStyle name="Normal 6 2 5 2 6 2 2 3" xfId="0"/>
    <cellStyle name="Normal 6 2 5 2 6 2 2 3 2" xfId="0"/>
    <cellStyle name="Normal 6 2 5 2 6 2 2 4" xfId="0"/>
    <cellStyle name="Normal 6 2 5 2 6 2 3" xfId="0"/>
    <cellStyle name="Normal 6 2 5 2 6 2 3 2" xfId="0"/>
    <cellStyle name="Normal 6 2 5 2 6 2 3 2 2" xfId="0"/>
    <cellStyle name="Normal 6 2 5 2 6 2 3 3" xfId="0"/>
    <cellStyle name="Normal 6 2 5 2 6 2 4" xfId="0"/>
    <cellStyle name="Normal 6 2 5 2 6 2 4 2" xfId="0"/>
    <cellStyle name="Normal 6 2 5 2 6 2 5" xfId="0"/>
    <cellStyle name="Normal 6 2 5 2 6 3" xfId="0"/>
    <cellStyle name="Normal 6 2 5 2 6 3 2" xfId="0"/>
    <cellStyle name="Normal 6 2 5 2 6 3 2 2" xfId="0"/>
    <cellStyle name="Normal 6 2 5 2 6 3 2 2 2" xfId="0"/>
    <cellStyle name="Normal 6 2 5 2 6 3 2 3" xfId="0"/>
    <cellStyle name="Normal 6 2 5 2 6 3 3" xfId="0"/>
    <cellStyle name="Normal 6 2 5 2 6 3 3 2" xfId="0"/>
    <cellStyle name="Normal 6 2 5 2 6 3 4" xfId="0"/>
    <cellStyle name="Normal 6 2 5 2 6 4" xfId="0"/>
    <cellStyle name="Normal 6 2 5 2 6 4 2" xfId="0"/>
    <cellStyle name="Normal 6 2 5 2 6 4 2 2" xfId="0"/>
    <cellStyle name="Normal 6 2 5 2 6 4 3" xfId="0"/>
    <cellStyle name="Normal 6 2 5 2 6 5" xfId="0"/>
    <cellStyle name="Normal 6 2 5 2 6 5 2" xfId="0"/>
    <cellStyle name="Normal 6 2 5 2 6 6" xfId="0"/>
    <cellStyle name="Normal 6 2 5 2 7" xfId="0"/>
    <cellStyle name="Normal 6 2 5 2 7 2" xfId="0"/>
    <cellStyle name="Normal 6 2 5 2 7 2 2" xfId="0"/>
    <cellStyle name="Normal 6 2 5 2 7 2 2 2" xfId="0"/>
    <cellStyle name="Normal 6 2 5 2 7 2 2 2 2" xfId="0"/>
    <cellStyle name="Normal 6 2 5 2 7 2 2 3" xfId="0"/>
    <cellStyle name="Normal 6 2 5 2 7 2 3" xfId="0"/>
    <cellStyle name="Normal 6 2 5 2 7 2 3 2" xfId="0"/>
    <cellStyle name="Normal 6 2 5 2 7 2 4" xfId="0"/>
    <cellStyle name="Normal 6 2 5 2 7 3" xfId="0"/>
    <cellStyle name="Normal 6 2 5 2 7 3 2" xfId="0"/>
    <cellStyle name="Normal 6 2 5 2 7 3 2 2" xfId="0"/>
    <cellStyle name="Normal 6 2 5 2 7 3 3" xfId="0"/>
    <cellStyle name="Normal 6 2 5 2 7 4" xfId="0"/>
    <cellStyle name="Normal 6 2 5 2 7 4 2" xfId="0"/>
    <cellStyle name="Normal 6 2 5 2 7 5" xfId="0"/>
    <cellStyle name="Normal 6 2 5 2 8" xfId="0"/>
    <cellStyle name="Normal 6 2 5 2 8 2" xfId="0"/>
    <cellStyle name="Normal 6 2 5 2 8 2 2" xfId="0"/>
    <cellStyle name="Normal 6 2 5 2 8 2 2 2" xfId="0"/>
    <cellStyle name="Normal 6 2 5 2 8 2 3" xfId="0"/>
    <cellStyle name="Normal 6 2 5 2 8 3" xfId="0"/>
    <cellStyle name="Normal 6 2 5 2 8 3 2" xfId="0"/>
    <cellStyle name="Normal 6 2 5 2 8 4" xfId="0"/>
    <cellStyle name="Normal 6 2 5 2 9" xfId="0"/>
    <cellStyle name="Normal 6 2 5 2 9 2" xfId="0"/>
    <cellStyle name="Normal 6 2 5 2 9 2 2" xfId="0"/>
    <cellStyle name="Normal 6 2 5 2 9 3" xfId="0"/>
    <cellStyle name="Normal 6 2 5 3" xfId="0"/>
    <cellStyle name="Normal 6 2 5 3 2" xfId="0"/>
    <cellStyle name="Normal 6 2 5 3 2 2" xfId="0"/>
    <cellStyle name="Normal 6 2 5 3 2 2 2" xfId="0"/>
    <cellStyle name="Normal 6 2 5 3 2 2 2 2" xfId="0"/>
    <cellStyle name="Normal 6 2 5 3 2 2 2 2 2" xfId="0"/>
    <cellStyle name="Normal 6 2 5 3 2 2 2 2 2 2" xfId="0"/>
    <cellStyle name="Normal 6 2 5 3 2 2 2 2 2 2 2" xfId="0"/>
    <cellStyle name="Normal 6 2 5 3 2 2 2 2 2 3" xfId="0"/>
    <cellStyle name="Normal 6 2 5 3 2 2 2 2 3" xfId="0"/>
    <cellStyle name="Normal 6 2 5 3 2 2 2 2 3 2" xfId="0"/>
    <cellStyle name="Normal 6 2 5 3 2 2 2 2 4" xfId="0"/>
    <cellStyle name="Normal 6 2 5 3 2 2 2 3" xfId="0"/>
    <cellStyle name="Normal 6 2 5 3 2 2 2 3 2" xfId="0"/>
    <cellStyle name="Normal 6 2 5 3 2 2 2 3 2 2" xfId="0"/>
    <cellStyle name="Normal 6 2 5 3 2 2 2 3 3" xfId="0"/>
    <cellStyle name="Normal 6 2 5 3 2 2 2 4" xfId="0"/>
    <cellStyle name="Normal 6 2 5 3 2 2 2 4 2" xfId="0"/>
    <cellStyle name="Normal 6 2 5 3 2 2 2 5" xfId="0"/>
    <cellStyle name="Normal 6 2 5 3 2 2 3" xfId="0"/>
    <cellStyle name="Normal 6 2 5 3 2 2 3 2" xfId="0"/>
    <cellStyle name="Normal 6 2 5 3 2 2 3 2 2" xfId="0"/>
    <cellStyle name="Normal 6 2 5 3 2 2 3 2 2 2" xfId="0"/>
    <cellStyle name="Normal 6 2 5 3 2 2 3 2 3" xfId="0"/>
    <cellStyle name="Normal 6 2 5 3 2 2 3 3" xfId="0"/>
    <cellStyle name="Normal 6 2 5 3 2 2 3 3 2" xfId="0"/>
    <cellStyle name="Normal 6 2 5 3 2 2 3 4" xfId="0"/>
    <cellStyle name="Normal 6 2 5 3 2 2 4" xfId="0"/>
    <cellStyle name="Normal 6 2 5 3 2 2 4 2" xfId="0"/>
    <cellStyle name="Normal 6 2 5 3 2 2 4 2 2" xfId="0"/>
    <cellStyle name="Normal 6 2 5 3 2 2 4 3" xfId="0"/>
    <cellStyle name="Normal 6 2 5 3 2 2 5" xfId="0"/>
    <cellStyle name="Normal 6 2 5 3 2 2 5 2" xfId="0"/>
    <cellStyle name="Normal 6 2 5 3 2 2 6" xfId="0"/>
    <cellStyle name="Normal 6 2 5 3 2 3" xfId="0"/>
    <cellStyle name="Normal 6 2 5 3 2 3 2" xfId="0"/>
    <cellStyle name="Normal 6 2 5 3 2 3 2 2" xfId="0"/>
    <cellStyle name="Normal 6 2 5 3 2 3 2 2 2" xfId="0"/>
    <cellStyle name="Normal 6 2 5 3 2 3 2 2 2 2" xfId="0"/>
    <cellStyle name="Normal 6 2 5 3 2 3 2 2 3" xfId="0"/>
    <cellStyle name="Normal 6 2 5 3 2 3 2 3" xfId="0"/>
    <cellStyle name="Normal 6 2 5 3 2 3 2 3 2" xfId="0"/>
    <cellStyle name="Normal 6 2 5 3 2 3 2 4" xfId="0"/>
    <cellStyle name="Normal 6 2 5 3 2 3 3" xfId="0"/>
    <cellStyle name="Normal 6 2 5 3 2 3 3 2" xfId="0"/>
    <cellStyle name="Normal 6 2 5 3 2 3 3 2 2" xfId="0"/>
    <cellStyle name="Normal 6 2 5 3 2 3 3 3" xfId="0"/>
    <cellStyle name="Normal 6 2 5 3 2 3 4" xfId="0"/>
    <cellStyle name="Normal 6 2 5 3 2 3 4 2" xfId="0"/>
    <cellStyle name="Normal 6 2 5 3 2 3 5" xfId="0"/>
    <cellStyle name="Normal 6 2 5 3 2 4" xfId="0"/>
    <cellStyle name="Normal 6 2 5 3 2 4 2" xfId="0"/>
    <cellStyle name="Normal 6 2 5 3 2 4 2 2" xfId="0"/>
    <cellStyle name="Normal 6 2 5 3 2 4 2 2 2" xfId="0"/>
    <cellStyle name="Normal 6 2 5 3 2 4 2 3" xfId="0"/>
    <cellStyle name="Normal 6 2 5 3 2 4 3" xfId="0"/>
    <cellStyle name="Normal 6 2 5 3 2 4 3 2" xfId="0"/>
    <cellStyle name="Normal 6 2 5 3 2 4 4" xfId="0"/>
    <cellStyle name="Normal 6 2 5 3 2 5" xfId="0"/>
    <cellStyle name="Normal 6 2 5 3 2 5 2" xfId="0"/>
    <cellStyle name="Normal 6 2 5 3 2 5 2 2" xfId="0"/>
    <cellStyle name="Normal 6 2 5 3 2 5 3" xfId="0"/>
    <cellStyle name="Normal 6 2 5 3 2 6" xfId="0"/>
    <cellStyle name="Normal 6 2 5 3 2 6 2" xfId="0"/>
    <cellStyle name="Normal 6 2 5 3 2 7" xfId="0"/>
    <cellStyle name="Normal 6 2 5 3 3" xfId="0"/>
    <cellStyle name="Normal 6 2 5 3 3 2" xfId="0"/>
    <cellStyle name="Normal 6 2 5 3 3 2 2" xfId="0"/>
    <cellStyle name="Normal 6 2 5 3 3 2 2 2" xfId="0"/>
    <cellStyle name="Normal 6 2 5 3 3 2 2 2 2" xfId="0"/>
    <cellStyle name="Normal 6 2 5 3 3 2 2 2 2 2" xfId="0"/>
    <cellStyle name="Normal 6 2 5 3 3 2 2 2 3" xfId="0"/>
    <cellStyle name="Normal 6 2 5 3 3 2 2 3" xfId="0"/>
    <cellStyle name="Normal 6 2 5 3 3 2 2 3 2" xfId="0"/>
    <cellStyle name="Normal 6 2 5 3 3 2 2 4" xfId="0"/>
    <cellStyle name="Normal 6 2 5 3 3 2 3" xfId="0"/>
    <cellStyle name="Normal 6 2 5 3 3 2 3 2" xfId="0"/>
    <cellStyle name="Normal 6 2 5 3 3 2 3 2 2" xfId="0"/>
    <cellStyle name="Normal 6 2 5 3 3 2 3 3" xfId="0"/>
    <cellStyle name="Normal 6 2 5 3 3 2 4" xfId="0"/>
    <cellStyle name="Normal 6 2 5 3 3 2 4 2" xfId="0"/>
    <cellStyle name="Normal 6 2 5 3 3 2 5" xfId="0"/>
    <cellStyle name="Normal 6 2 5 3 3 3" xfId="0"/>
    <cellStyle name="Normal 6 2 5 3 3 3 2" xfId="0"/>
    <cellStyle name="Normal 6 2 5 3 3 3 2 2" xfId="0"/>
    <cellStyle name="Normal 6 2 5 3 3 3 2 2 2" xfId="0"/>
    <cellStyle name="Normal 6 2 5 3 3 3 2 3" xfId="0"/>
    <cellStyle name="Normal 6 2 5 3 3 3 3" xfId="0"/>
    <cellStyle name="Normal 6 2 5 3 3 3 3 2" xfId="0"/>
    <cellStyle name="Normal 6 2 5 3 3 3 4" xfId="0"/>
    <cellStyle name="Normal 6 2 5 3 3 4" xfId="0"/>
    <cellStyle name="Normal 6 2 5 3 3 4 2" xfId="0"/>
    <cellStyle name="Normal 6 2 5 3 3 4 2 2" xfId="0"/>
    <cellStyle name="Normal 6 2 5 3 3 4 3" xfId="0"/>
    <cellStyle name="Normal 6 2 5 3 3 5" xfId="0"/>
    <cellStyle name="Normal 6 2 5 3 3 5 2" xfId="0"/>
    <cellStyle name="Normal 6 2 5 3 3 6" xfId="0"/>
    <cellStyle name="Normal 6 2 5 3 4" xfId="0"/>
    <cellStyle name="Normal 6 2 5 3 4 2" xfId="0"/>
    <cellStyle name="Normal 6 2 5 3 4 2 2" xfId="0"/>
    <cellStyle name="Normal 6 2 5 3 4 2 2 2" xfId="0"/>
    <cellStyle name="Normal 6 2 5 3 4 2 2 2 2" xfId="0"/>
    <cellStyle name="Normal 6 2 5 3 4 2 2 3" xfId="0"/>
    <cellStyle name="Normal 6 2 5 3 4 2 3" xfId="0"/>
    <cellStyle name="Normal 6 2 5 3 4 2 3 2" xfId="0"/>
    <cellStyle name="Normal 6 2 5 3 4 2 4" xfId="0"/>
    <cellStyle name="Normal 6 2 5 3 4 3" xfId="0"/>
    <cellStyle name="Normal 6 2 5 3 4 3 2" xfId="0"/>
    <cellStyle name="Normal 6 2 5 3 4 3 2 2" xfId="0"/>
    <cellStyle name="Normal 6 2 5 3 4 3 3" xfId="0"/>
    <cellStyle name="Normal 6 2 5 3 4 4" xfId="0"/>
    <cellStyle name="Normal 6 2 5 3 4 4 2" xfId="0"/>
    <cellStyle name="Normal 6 2 5 3 4 5" xfId="0"/>
    <cellStyle name="Normal 6 2 5 3 5" xfId="0"/>
    <cellStyle name="Normal 6 2 5 3 5 2" xfId="0"/>
    <cellStyle name="Normal 6 2 5 3 5 2 2" xfId="0"/>
    <cellStyle name="Normal 6 2 5 3 5 2 2 2" xfId="0"/>
    <cellStyle name="Normal 6 2 5 3 5 2 3" xfId="0"/>
    <cellStyle name="Normal 6 2 5 3 5 3" xfId="0"/>
    <cellStyle name="Normal 6 2 5 3 5 3 2" xfId="0"/>
    <cellStyle name="Normal 6 2 5 3 5 4" xfId="0"/>
    <cellStyle name="Normal 6 2 5 3 6" xfId="0"/>
    <cellStyle name="Normal 6 2 5 3 6 2" xfId="0"/>
    <cellStyle name="Normal 6 2 5 3 6 2 2" xfId="0"/>
    <cellStyle name="Normal 6 2 5 3 6 3" xfId="0"/>
    <cellStyle name="Normal 6 2 5 3 7" xfId="0"/>
    <cellStyle name="Normal 6 2 5 3 7 2" xfId="0"/>
    <cellStyle name="Normal 6 2 5 3 8" xfId="0"/>
    <cellStyle name="Normal 6 2 5 4" xfId="0"/>
    <cellStyle name="Normal 6 2 5 4 2" xfId="0"/>
    <cellStyle name="Normal 6 2 5 4 2 2" xfId="0"/>
    <cellStyle name="Normal 6 2 5 4 2 2 2" xfId="0"/>
    <cellStyle name="Normal 6 2 5 4 2 2 2 2" xfId="0"/>
    <cellStyle name="Normal 6 2 5 4 2 2 2 2 2" xfId="0"/>
    <cellStyle name="Normal 6 2 5 4 2 2 2 2 2 2" xfId="0"/>
    <cellStyle name="Normal 6 2 5 4 2 2 2 2 2 2 2" xfId="0"/>
    <cellStyle name="Normal 6 2 5 4 2 2 2 2 2 3" xfId="0"/>
    <cellStyle name="Normal 6 2 5 4 2 2 2 2 3" xfId="0"/>
    <cellStyle name="Normal 6 2 5 4 2 2 2 2 3 2" xfId="0"/>
    <cellStyle name="Normal 6 2 5 4 2 2 2 2 4" xfId="0"/>
    <cellStyle name="Normal 6 2 5 4 2 2 2 3" xfId="0"/>
    <cellStyle name="Normal 6 2 5 4 2 2 2 3 2" xfId="0"/>
    <cellStyle name="Normal 6 2 5 4 2 2 2 3 2 2" xfId="0"/>
    <cellStyle name="Normal 6 2 5 4 2 2 2 3 3" xfId="0"/>
    <cellStyle name="Normal 6 2 5 4 2 2 2 4" xfId="0"/>
    <cellStyle name="Normal 6 2 5 4 2 2 2 4 2" xfId="0"/>
    <cellStyle name="Normal 6 2 5 4 2 2 2 5" xfId="0"/>
    <cellStyle name="Normal 6 2 5 4 2 2 3" xfId="0"/>
    <cellStyle name="Normal 6 2 5 4 2 2 3 2" xfId="0"/>
    <cellStyle name="Normal 6 2 5 4 2 2 3 2 2" xfId="0"/>
    <cellStyle name="Normal 6 2 5 4 2 2 3 2 2 2" xfId="0"/>
    <cellStyle name="Normal 6 2 5 4 2 2 3 2 3" xfId="0"/>
    <cellStyle name="Normal 6 2 5 4 2 2 3 3" xfId="0"/>
    <cellStyle name="Normal 6 2 5 4 2 2 3 3 2" xfId="0"/>
    <cellStyle name="Normal 6 2 5 4 2 2 3 4" xfId="0"/>
    <cellStyle name="Normal 6 2 5 4 2 2 4" xfId="0"/>
    <cellStyle name="Normal 6 2 5 4 2 2 4 2" xfId="0"/>
    <cellStyle name="Normal 6 2 5 4 2 2 4 2 2" xfId="0"/>
    <cellStyle name="Normal 6 2 5 4 2 2 4 3" xfId="0"/>
    <cellStyle name="Normal 6 2 5 4 2 2 5" xfId="0"/>
    <cellStyle name="Normal 6 2 5 4 2 2 5 2" xfId="0"/>
    <cellStyle name="Normal 6 2 5 4 2 2 6" xfId="0"/>
    <cellStyle name="Normal 6 2 5 4 2 3" xfId="0"/>
    <cellStyle name="Normal 6 2 5 4 2 3 2" xfId="0"/>
    <cellStyle name="Normal 6 2 5 4 2 3 2 2" xfId="0"/>
    <cellStyle name="Normal 6 2 5 4 2 3 2 2 2" xfId="0"/>
    <cellStyle name="Normal 6 2 5 4 2 3 2 2 2 2" xfId="0"/>
    <cellStyle name="Normal 6 2 5 4 2 3 2 2 3" xfId="0"/>
    <cellStyle name="Normal 6 2 5 4 2 3 2 3" xfId="0"/>
    <cellStyle name="Normal 6 2 5 4 2 3 2 3 2" xfId="0"/>
    <cellStyle name="Normal 6 2 5 4 2 3 2 4" xfId="0"/>
    <cellStyle name="Normal 6 2 5 4 2 3 3" xfId="0"/>
    <cellStyle name="Normal 6 2 5 4 2 3 3 2" xfId="0"/>
    <cellStyle name="Normal 6 2 5 4 2 3 3 2 2" xfId="0"/>
    <cellStyle name="Normal 6 2 5 4 2 3 3 3" xfId="0"/>
    <cellStyle name="Normal 6 2 5 4 2 3 4" xfId="0"/>
    <cellStyle name="Normal 6 2 5 4 2 3 4 2" xfId="0"/>
    <cellStyle name="Normal 6 2 5 4 2 3 5" xfId="0"/>
    <cellStyle name="Normal 6 2 5 4 2 4" xfId="0"/>
    <cellStyle name="Normal 6 2 5 4 2 4 2" xfId="0"/>
    <cellStyle name="Normal 6 2 5 4 2 4 2 2" xfId="0"/>
    <cellStyle name="Normal 6 2 5 4 2 4 2 2 2" xfId="0"/>
    <cellStyle name="Normal 6 2 5 4 2 4 2 3" xfId="0"/>
    <cellStyle name="Normal 6 2 5 4 2 4 3" xfId="0"/>
    <cellStyle name="Normal 6 2 5 4 2 4 3 2" xfId="0"/>
    <cellStyle name="Normal 6 2 5 4 2 4 4" xfId="0"/>
    <cellStyle name="Normal 6 2 5 4 2 5" xfId="0"/>
    <cellStyle name="Normal 6 2 5 4 2 5 2" xfId="0"/>
    <cellStyle name="Normal 6 2 5 4 2 5 2 2" xfId="0"/>
    <cellStyle name="Normal 6 2 5 4 2 5 3" xfId="0"/>
    <cellStyle name="Normal 6 2 5 4 2 6" xfId="0"/>
    <cellStyle name="Normal 6 2 5 4 2 6 2" xfId="0"/>
    <cellStyle name="Normal 6 2 5 4 2 7" xfId="0"/>
    <cellStyle name="Normal 6 2 5 4 3" xfId="0"/>
    <cellStyle name="Normal 6 2 5 4 3 2" xfId="0"/>
    <cellStyle name="Normal 6 2 5 4 3 2 2" xfId="0"/>
    <cellStyle name="Normal 6 2 5 4 3 2 2 2" xfId="0"/>
    <cellStyle name="Normal 6 2 5 4 3 2 2 2 2" xfId="0"/>
    <cellStyle name="Normal 6 2 5 4 3 2 2 2 2 2" xfId="0"/>
    <cellStyle name="Normal 6 2 5 4 3 2 2 2 3" xfId="0"/>
    <cellStyle name="Normal 6 2 5 4 3 2 2 3" xfId="0"/>
    <cellStyle name="Normal 6 2 5 4 3 2 2 3 2" xfId="0"/>
    <cellStyle name="Normal 6 2 5 4 3 2 2 4" xfId="0"/>
    <cellStyle name="Normal 6 2 5 4 3 2 3" xfId="0"/>
    <cellStyle name="Normal 6 2 5 4 3 2 3 2" xfId="0"/>
    <cellStyle name="Normal 6 2 5 4 3 2 3 2 2" xfId="0"/>
    <cellStyle name="Normal 6 2 5 4 3 2 3 3" xfId="0"/>
    <cellStyle name="Normal 6 2 5 4 3 2 4" xfId="0"/>
    <cellStyle name="Normal 6 2 5 4 3 2 4 2" xfId="0"/>
    <cellStyle name="Normal 6 2 5 4 3 2 5" xfId="0"/>
    <cellStyle name="Normal 6 2 5 4 3 3" xfId="0"/>
    <cellStyle name="Normal 6 2 5 4 3 3 2" xfId="0"/>
    <cellStyle name="Normal 6 2 5 4 3 3 2 2" xfId="0"/>
    <cellStyle name="Normal 6 2 5 4 3 3 2 2 2" xfId="0"/>
    <cellStyle name="Normal 6 2 5 4 3 3 2 3" xfId="0"/>
    <cellStyle name="Normal 6 2 5 4 3 3 3" xfId="0"/>
    <cellStyle name="Normal 6 2 5 4 3 3 3 2" xfId="0"/>
    <cellStyle name="Normal 6 2 5 4 3 3 4" xfId="0"/>
    <cellStyle name="Normal 6 2 5 4 3 4" xfId="0"/>
    <cellStyle name="Normal 6 2 5 4 3 4 2" xfId="0"/>
    <cellStyle name="Normal 6 2 5 4 3 4 2 2" xfId="0"/>
    <cellStyle name="Normal 6 2 5 4 3 4 3" xfId="0"/>
    <cellStyle name="Normal 6 2 5 4 3 5" xfId="0"/>
    <cellStyle name="Normal 6 2 5 4 3 5 2" xfId="0"/>
    <cellStyle name="Normal 6 2 5 4 3 6" xfId="0"/>
    <cellStyle name="Normal 6 2 5 4 4" xfId="0"/>
    <cellStyle name="Normal 6 2 5 4 4 2" xfId="0"/>
    <cellStyle name="Normal 6 2 5 4 4 2 2" xfId="0"/>
    <cellStyle name="Normal 6 2 5 4 4 2 2 2" xfId="0"/>
    <cellStyle name="Normal 6 2 5 4 4 2 2 2 2" xfId="0"/>
    <cellStyle name="Normal 6 2 5 4 4 2 2 3" xfId="0"/>
    <cellStyle name="Normal 6 2 5 4 4 2 3" xfId="0"/>
    <cellStyle name="Normal 6 2 5 4 4 2 3 2" xfId="0"/>
    <cellStyle name="Normal 6 2 5 4 4 2 4" xfId="0"/>
    <cellStyle name="Normal 6 2 5 4 4 3" xfId="0"/>
    <cellStyle name="Normal 6 2 5 4 4 3 2" xfId="0"/>
    <cellStyle name="Normal 6 2 5 4 4 3 2 2" xfId="0"/>
    <cellStyle name="Normal 6 2 5 4 4 3 3" xfId="0"/>
    <cellStyle name="Normal 6 2 5 4 4 4" xfId="0"/>
    <cellStyle name="Normal 6 2 5 4 4 4 2" xfId="0"/>
    <cellStyle name="Normal 6 2 5 4 4 5" xfId="0"/>
    <cellStyle name="Normal 6 2 5 4 5" xfId="0"/>
    <cellStyle name="Normal 6 2 5 4 5 2" xfId="0"/>
    <cellStyle name="Normal 6 2 5 4 5 2 2" xfId="0"/>
    <cellStyle name="Normal 6 2 5 4 5 2 2 2" xfId="0"/>
    <cellStyle name="Normal 6 2 5 4 5 2 3" xfId="0"/>
    <cellStyle name="Normal 6 2 5 4 5 3" xfId="0"/>
    <cellStyle name="Normal 6 2 5 4 5 3 2" xfId="0"/>
    <cellStyle name="Normal 6 2 5 4 5 4" xfId="0"/>
    <cellStyle name="Normal 6 2 5 4 6" xfId="0"/>
    <cellStyle name="Normal 6 2 5 4 6 2" xfId="0"/>
    <cellStyle name="Normal 6 2 5 4 6 2 2" xfId="0"/>
    <cellStyle name="Normal 6 2 5 4 6 3" xfId="0"/>
    <cellStyle name="Normal 6 2 5 4 7" xfId="0"/>
    <cellStyle name="Normal 6 2 5 4 7 2" xfId="0"/>
    <cellStyle name="Normal 6 2 5 4 8" xfId="0"/>
    <cellStyle name="Normal 6 2 5 5" xfId="0"/>
    <cellStyle name="Normal 6 2 5 5 2" xfId="0"/>
    <cellStyle name="Normal 6 2 5 5 2 2" xfId="0"/>
    <cellStyle name="Normal 6 2 5 5 2 2 2" xfId="0"/>
    <cellStyle name="Normal 6 2 5 5 2 2 2 2" xfId="0"/>
    <cellStyle name="Normal 6 2 5 5 2 2 2 2 2" xfId="0"/>
    <cellStyle name="Normal 6 2 5 5 2 2 2 2 2 2" xfId="0"/>
    <cellStyle name="Normal 6 2 5 5 2 2 2 2 3" xfId="0"/>
    <cellStyle name="Normal 6 2 5 5 2 2 2 3" xfId="0"/>
    <cellStyle name="Normal 6 2 5 5 2 2 2 3 2" xfId="0"/>
    <cellStyle name="Normal 6 2 5 5 2 2 2 4" xfId="0"/>
    <cellStyle name="Normal 6 2 5 5 2 2 3" xfId="0"/>
    <cellStyle name="Normal 6 2 5 5 2 2 3 2" xfId="0"/>
    <cellStyle name="Normal 6 2 5 5 2 2 3 2 2" xfId="0"/>
    <cellStyle name="Normal 6 2 5 5 2 2 3 3" xfId="0"/>
    <cellStyle name="Normal 6 2 5 5 2 2 4" xfId="0"/>
    <cellStyle name="Normal 6 2 5 5 2 2 4 2" xfId="0"/>
    <cellStyle name="Normal 6 2 5 5 2 2 5" xfId="0"/>
    <cellStyle name="Normal 6 2 5 5 2 3" xfId="0"/>
    <cellStyle name="Normal 6 2 5 5 2 3 2" xfId="0"/>
    <cellStyle name="Normal 6 2 5 5 2 3 2 2" xfId="0"/>
    <cellStyle name="Normal 6 2 5 5 2 3 2 2 2" xfId="0"/>
    <cellStyle name="Normal 6 2 5 5 2 3 2 3" xfId="0"/>
    <cellStyle name="Normal 6 2 5 5 2 3 3" xfId="0"/>
    <cellStyle name="Normal 6 2 5 5 2 3 3 2" xfId="0"/>
    <cellStyle name="Normal 6 2 5 5 2 3 4" xfId="0"/>
    <cellStyle name="Normal 6 2 5 5 2 4" xfId="0"/>
    <cellStyle name="Normal 6 2 5 5 2 4 2" xfId="0"/>
    <cellStyle name="Normal 6 2 5 5 2 4 2 2" xfId="0"/>
    <cellStyle name="Normal 6 2 5 5 2 4 3" xfId="0"/>
    <cellStyle name="Normal 6 2 5 5 2 5" xfId="0"/>
    <cellStyle name="Normal 6 2 5 5 2 5 2" xfId="0"/>
    <cellStyle name="Normal 6 2 5 5 2 6" xfId="0"/>
    <cellStyle name="Normal 6 2 5 5 3" xfId="0"/>
    <cellStyle name="Normal 6 2 5 5 3 2" xfId="0"/>
    <cellStyle name="Normal 6 2 5 5 3 2 2" xfId="0"/>
    <cellStyle name="Normal 6 2 5 5 3 2 2 2" xfId="0"/>
    <cellStyle name="Normal 6 2 5 5 3 2 2 2 2" xfId="0"/>
    <cellStyle name="Normal 6 2 5 5 3 2 2 3" xfId="0"/>
    <cellStyle name="Normal 6 2 5 5 3 2 3" xfId="0"/>
    <cellStyle name="Normal 6 2 5 5 3 2 3 2" xfId="0"/>
    <cellStyle name="Normal 6 2 5 5 3 2 4" xfId="0"/>
    <cellStyle name="Normal 6 2 5 5 3 3" xfId="0"/>
    <cellStyle name="Normal 6 2 5 5 3 3 2" xfId="0"/>
    <cellStyle name="Normal 6 2 5 5 3 3 2 2" xfId="0"/>
    <cellStyle name="Normal 6 2 5 5 3 3 3" xfId="0"/>
    <cellStyle name="Normal 6 2 5 5 3 4" xfId="0"/>
    <cellStyle name="Normal 6 2 5 5 3 4 2" xfId="0"/>
    <cellStyle name="Normal 6 2 5 5 3 5" xfId="0"/>
    <cellStyle name="Normal 6 2 5 5 4" xfId="0"/>
    <cellStyle name="Normal 6 2 5 5 4 2" xfId="0"/>
    <cellStyle name="Normal 6 2 5 5 4 2 2" xfId="0"/>
    <cellStyle name="Normal 6 2 5 5 4 2 2 2" xfId="0"/>
    <cellStyle name="Normal 6 2 5 5 4 2 3" xfId="0"/>
    <cellStyle name="Normal 6 2 5 5 4 3" xfId="0"/>
    <cellStyle name="Normal 6 2 5 5 4 3 2" xfId="0"/>
    <cellStyle name="Normal 6 2 5 5 4 4" xfId="0"/>
    <cellStyle name="Normal 6 2 5 5 5" xfId="0"/>
    <cellStyle name="Normal 6 2 5 5 5 2" xfId="0"/>
    <cellStyle name="Normal 6 2 5 5 5 2 2" xfId="0"/>
    <cellStyle name="Normal 6 2 5 5 5 3" xfId="0"/>
    <cellStyle name="Normal 6 2 5 5 6" xfId="0"/>
    <cellStyle name="Normal 6 2 5 5 6 2" xfId="0"/>
    <cellStyle name="Normal 6 2 5 5 7" xfId="0"/>
    <cellStyle name="Normal 6 2 5 6" xfId="0"/>
    <cellStyle name="Normal 6 2 5 6 2" xfId="0"/>
    <cellStyle name="Normal 6 2 5 6 2 2" xfId="0"/>
    <cellStyle name="Normal 6 2 5 6 2 2 2" xfId="0"/>
    <cellStyle name="Normal 6 2 5 6 2 2 2 2" xfId="0"/>
    <cellStyle name="Normal 6 2 5 6 2 2 2 2 2" xfId="0"/>
    <cellStyle name="Normal 6 2 5 6 2 2 2 2 2 2" xfId="0"/>
    <cellStyle name="Normal 6 2 5 6 2 2 2 2 3" xfId="0"/>
    <cellStyle name="Normal 6 2 5 6 2 2 2 3" xfId="0"/>
    <cellStyle name="Normal 6 2 5 6 2 2 2 3 2" xfId="0"/>
    <cellStyle name="Normal 6 2 5 6 2 2 2 4" xfId="0"/>
    <cellStyle name="Normal 6 2 5 6 2 2 3" xfId="0"/>
    <cellStyle name="Normal 6 2 5 6 2 2 3 2" xfId="0"/>
    <cellStyle name="Normal 6 2 5 6 2 2 3 2 2" xfId="0"/>
    <cellStyle name="Normal 6 2 5 6 2 2 3 3" xfId="0"/>
    <cellStyle name="Normal 6 2 5 6 2 2 4" xfId="0"/>
    <cellStyle name="Normal 6 2 5 6 2 2 4 2" xfId="0"/>
    <cellStyle name="Normal 6 2 5 6 2 2 5" xfId="0"/>
    <cellStyle name="Normal 6 2 5 6 2 3" xfId="0"/>
    <cellStyle name="Normal 6 2 5 6 2 3 2" xfId="0"/>
    <cellStyle name="Normal 6 2 5 6 2 3 2 2" xfId="0"/>
    <cellStyle name="Normal 6 2 5 6 2 3 2 2 2" xfId="0"/>
    <cellStyle name="Normal 6 2 5 6 2 3 2 3" xfId="0"/>
    <cellStyle name="Normal 6 2 5 6 2 3 3" xfId="0"/>
    <cellStyle name="Normal 6 2 5 6 2 3 3 2" xfId="0"/>
    <cellStyle name="Normal 6 2 5 6 2 3 4" xfId="0"/>
    <cellStyle name="Normal 6 2 5 6 2 4" xfId="0"/>
    <cellStyle name="Normal 6 2 5 6 2 4 2" xfId="0"/>
    <cellStyle name="Normal 6 2 5 6 2 4 2 2" xfId="0"/>
    <cellStyle name="Normal 6 2 5 6 2 4 3" xfId="0"/>
    <cellStyle name="Normal 6 2 5 6 2 5" xfId="0"/>
    <cellStyle name="Normal 6 2 5 6 2 5 2" xfId="0"/>
    <cellStyle name="Normal 6 2 5 6 2 6" xfId="0"/>
    <cellStyle name="Normal 6 2 5 6 3" xfId="0"/>
    <cellStyle name="Normal 6 2 5 6 3 2" xfId="0"/>
    <cellStyle name="Normal 6 2 5 6 3 2 2" xfId="0"/>
    <cellStyle name="Normal 6 2 5 6 3 2 2 2" xfId="0"/>
    <cellStyle name="Normal 6 2 5 6 3 2 2 2 2" xfId="0"/>
    <cellStyle name="Normal 6 2 5 6 3 2 2 3" xfId="0"/>
    <cellStyle name="Normal 6 2 5 6 3 2 3" xfId="0"/>
    <cellStyle name="Normal 6 2 5 6 3 2 3 2" xfId="0"/>
    <cellStyle name="Normal 6 2 5 6 3 2 4" xfId="0"/>
    <cellStyle name="Normal 6 2 5 6 3 3" xfId="0"/>
    <cellStyle name="Normal 6 2 5 6 3 3 2" xfId="0"/>
    <cellStyle name="Normal 6 2 5 6 3 3 2 2" xfId="0"/>
    <cellStyle name="Normal 6 2 5 6 3 3 3" xfId="0"/>
    <cellStyle name="Normal 6 2 5 6 3 4" xfId="0"/>
    <cellStyle name="Normal 6 2 5 6 3 4 2" xfId="0"/>
    <cellStyle name="Normal 6 2 5 6 3 5" xfId="0"/>
    <cellStyle name="Normal 6 2 5 6 4" xfId="0"/>
    <cellStyle name="Normal 6 2 5 6 4 2" xfId="0"/>
    <cellStyle name="Normal 6 2 5 6 4 2 2" xfId="0"/>
    <cellStyle name="Normal 6 2 5 6 4 2 2 2" xfId="0"/>
    <cellStyle name="Normal 6 2 5 6 4 2 3" xfId="0"/>
    <cellStyle name="Normal 6 2 5 6 4 3" xfId="0"/>
    <cellStyle name="Normal 6 2 5 6 4 3 2" xfId="0"/>
    <cellStyle name="Normal 6 2 5 6 4 4" xfId="0"/>
    <cellStyle name="Normal 6 2 5 6 5" xfId="0"/>
    <cellStyle name="Normal 6 2 5 6 5 2" xfId="0"/>
    <cellStyle name="Normal 6 2 5 6 5 2 2" xfId="0"/>
    <cellStyle name="Normal 6 2 5 6 5 3" xfId="0"/>
    <cellStyle name="Normal 6 2 5 6 6" xfId="0"/>
    <cellStyle name="Normal 6 2 5 6 6 2" xfId="0"/>
    <cellStyle name="Normal 6 2 5 6 7" xfId="0"/>
    <cellStyle name="Normal 6 2 5 7" xfId="0"/>
    <cellStyle name="Normal 6 2 5 7 2" xfId="0"/>
    <cellStyle name="Normal 6 2 5 7 2 2" xfId="0"/>
    <cellStyle name="Normal 6 2 5 7 2 2 2" xfId="0"/>
    <cellStyle name="Normal 6 2 5 7 2 2 2 2" xfId="0"/>
    <cellStyle name="Normal 6 2 5 7 2 2 2 2 2" xfId="0"/>
    <cellStyle name="Normal 6 2 5 7 2 2 2 3" xfId="0"/>
    <cellStyle name="Normal 6 2 5 7 2 2 3" xfId="0"/>
    <cellStyle name="Normal 6 2 5 7 2 2 3 2" xfId="0"/>
    <cellStyle name="Normal 6 2 5 7 2 2 4" xfId="0"/>
    <cellStyle name="Normal 6 2 5 7 2 3" xfId="0"/>
    <cellStyle name="Normal 6 2 5 7 2 3 2" xfId="0"/>
    <cellStyle name="Normal 6 2 5 7 2 3 2 2" xfId="0"/>
    <cellStyle name="Normal 6 2 5 7 2 3 3" xfId="0"/>
    <cellStyle name="Normal 6 2 5 7 2 4" xfId="0"/>
    <cellStyle name="Normal 6 2 5 7 2 4 2" xfId="0"/>
    <cellStyle name="Normal 6 2 5 7 2 5" xfId="0"/>
    <cellStyle name="Normal 6 2 5 7 3" xfId="0"/>
    <cellStyle name="Normal 6 2 5 7 3 2" xfId="0"/>
    <cellStyle name="Normal 6 2 5 7 3 2 2" xfId="0"/>
    <cellStyle name="Normal 6 2 5 7 3 2 2 2" xfId="0"/>
    <cellStyle name="Normal 6 2 5 7 3 2 3" xfId="0"/>
    <cellStyle name="Normal 6 2 5 7 3 3" xfId="0"/>
    <cellStyle name="Normal 6 2 5 7 3 3 2" xfId="0"/>
    <cellStyle name="Normal 6 2 5 7 3 4" xfId="0"/>
    <cellStyle name="Normal 6 2 5 7 4" xfId="0"/>
    <cellStyle name="Normal 6 2 5 7 4 2" xfId="0"/>
    <cellStyle name="Normal 6 2 5 7 4 2 2" xfId="0"/>
    <cellStyle name="Normal 6 2 5 7 4 3" xfId="0"/>
    <cellStyle name="Normal 6 2 5 7 5" xfId="0"/>
    <cellStyle name="Normal 6 2 5 7 5 2" xfId="0"/>
    <cellStyle name="Normal 6 2 5 7 6" xfId="0"/>
    <cellStyle name="Normal 6 2 5 8" xfId="0"/>
    <cellStyle name="Normal 6 2 5 8 2" xfId="0"/>
    <cellStyle name="Normal 6 2 5 8 2 2" xfId="0"/>
    <cellStyle name="Normal 6 2 5 8 2 2 2" xfId="0"/>
    <cellStyle name="Normal 6 2 5 8 2 2 2 2" xfId="0"/>
    <cellStyle name="Normal 6 2 5 8 2 2 3" xfId="0"/>
    <cellStyle name="Normal 6 2 5 8 2 3" xfId="0"/>
    <cellStyle name="Normal 6 2 5 8 2 3 2" xfId="0"/>
    <cellStyle name="Normal 6 2 5 8 2 4" xfId="0"/>
    <cellStyle name="Normal 6 2 5 8 3" xfId="0"/>
    <cellStyle name="Normal 6 2 5 8 3 2" xfId="0"/>
    <cellStyle name="Normal 6 2 5 8 3 2 2" xfId="0"/>
    <cellStyle name="Normal 6 2 5 8 3 3" xfId="0"/>
    <cellStyle name="Normal 6 2 5 8 4" xfId="0"/>
    <cellStyle name="Normal 6 2 5 8 4 2" xfId="0"/>
    <cellStyle name="Normal 6 2 5 8 5" xfId="0"/>
    <cellStyle name="Normal 6 2 5 9" xfId="0"/>
    <cellStyle name="Normal 6 2 5 9 2" xfId="0"/>
    <cellStyle name="Normal 6 2 5 9 2 2" xfId="0"/>
    <cellStyle name="Normal 6 2 5 9 2 2 2" xfId="0"/>
    <cellStyle name="Normal 6 2 5 9 2 3" xfId="0"/>
    <cellStyle name="Normal 6 2 5 9 3" xfId="0"/>
    <cellStyle name="Normal 6 2 5 9 3 2" xfId="0"/>
    <cellStyle name="Normal 6 2 5 9 4" xfId="0"/>
    <cellStyle name="Normal 6 2 6" xfId="0"/>
    <cellStyle name="Normal 6 2 6 10" xfId="0"/>
    <cellStyle name="Normal 6 2 6 10 2" xfId="0"/>
    <cellStyle name="Normal 6 2 6 11" xfId="0"/>
    <cellStyle name="Normal 6 2 6 2" xfId="0"/>
    <cellStyle name="Normal 6 2 6 2 2" xfId="0"/>
    <cellStyle name="Normal 6 2 6 2 2 2" xfId="0"/>
    <cellStyle name="Normal 6 2 6 2 2 2 2" xfId="0"/>
    <cellStyle name="Normal 6 2 6 2 2 2 2 2" xfId="0"/>
    <cellStyle name="Normal 6 2 6 2 2 2 2 2 2" xfId="0"/>
    <cellStyle name="Normal 6 2 6 2 2 2 2 2 2 2" xfId="0"/>
    <cellStyle name="Normal 6 2 6 2 2 2 2 2 2 2 2" xfId="0"/>
    <cellStyle name="Normal 6 2 6 2 2 2 2 2 2 3" xfId="0"/>
    <cellStyle name="Normal 6 2 6 2 2 2 2 2 3" xfId="0"/>
    <cellStyle name="Normal 6 2 6 2 2 2 2 2 3 2" xfId="0"/>
    <cellStyle name="Normal 6 2 6 2 2 2 2 2 4" xfId="0"/>
    <cellStyle name="Normal 6 2 6 2 2 2 2 3" xfId="0"/>
    <cellStyle name="Normal 6 2 6 2 2 2 2 3 2" xfId="0"/>
    <cellStyle name="Normal 6 2 6 2 2 2 2 3 2 2" xfId="0"/>
    <cellStyle name="Normal 6 2 6 2 2 2 2 3 3" xfId="0"/>
    <cellStyle name="Normal 6 2 6 2 2 2 2 4" xfId="0"/>
    <cellStyle name="Normal 6 2 6 2 2 2 2 4 2" xfId="0"/>
    <cellStyle name="Normal 6 2 6 2 2 2 2 5" xfId="0"/>
    <cellStyle name="Normal 6 2 6 2 2 2 3" xfId="0"/>
    <cellStyle name="Normal 6 2 6 2 2 2 3 2" xfId="0"/>
    <cellStyle name="Normal 6 2 6 2 2 2 3 2 2" xfId="0"/>
    <cellStyle name="Normal 6 2 6 2 2 2 3 2 2 2" xfId="0"/>
    <cellStyle name="Normal 6 2 6 2 2 2 3 2 3" xfId="0"/>
    <cellStyle name="Normal 6 2 6 2 2 2 3 3" xfId="0"/>
    <cellStyle name="Normal 6 2 6 2 2 2 3 3 2" xfId="0"/>
    <cellStyle name="Normal 6 2 6 2 2 2 3 4" xfId="0"/>
    <cellStyle name="Normal 6 2 6 2 2 2 4" xfId="0"/>
    <cellStyle name="Normal 6 2 6 2 2 2 4 2" xfId="0"/>
    <cellStyle name="Normal 6 2 6 2 2 2 4 2 2" xfId="0"/>
    <cellStyle name="Normal 6 2 6 2 2 2 4 3" xfId="0"/>
    <cellStyle name="Normal 6 2 6 2 2 2 5" xfId="0"/>
    <cellStyle name="Normal 6 2 6 2 2 2 5 2" xfId="0"/>
    <cellStyle name="Normal 6 2 6 2 2 2 6" xfId="0"/>
    <cellStyle name="Normal 6 2 6 2 2 3" xfId="0"/>
    <cellStyle name="Normal 6 2 6 2 2 3 2" xfId="0"/>
    <cellStyle name="Normal 6 2 6 2 2 3 2 2" xfId="0"/>
    <cellStyle name="Normal 6 2 6 2 2 3 2 2 2" xfId="0"/>
    <cellStyle name="Normal 6 2 6 2 2 3 2 2 2 2" xfId="0"/>
    <cellStyle name="Normal 6 2 6 2 2 3 2 2 3" xfId="0"/>
    <cellStyle name="Normal 6 2 6 2 2 3 2 3" xfId="0"/>
    <cellStyle name="Normal 6 2 6 2 2 3 2 3 2" xfId="0"/>
    <cellStyle name="Normal 6 2 6 2 2 3 2 4" xfId="0"/>
    <cellStyle name="Normal 6 2 6 2 2 3 3" xfId="0"/>
    <cellStyle name="Normal 6 2 6 2 2 3 3 2" xfId="0"/>
    <cellStyle name="Normal 6 2 6 2 2 3 3 2 2" xfId="0"/>
    <cellStyle name="Normal 6 2 6 2 2 3 3 3" xfId="0"/>
    <cellStyle name="Normal 6 2 6 2 2 3 4" xfId="0"/>
    <cellStyle name="Normal 6 2 6 2 2 3 4 2" xfId="0"/>
    <cellStyle name="Normal 6 2 6 2 2 3 5" xfId="0"/>
    <cellStyle name="Normal 6 2 6 2 2 4" xfId="0"/>
    <cellStyle name="Normal 6 2 6 2 2 4 2" xfId="0"/>
    <cellStyle name="Normal 6 2 6 2 2 4 2 2" xfId="0"/>
    <cellStyle name="Normal 6 2 6 2 2 4 2 2 2" xfId="0"/>
    <cellStyle name="Normal 6 2 6 2 2 4 2 3" xfId="0"/>
    <cellStyle name="Normal 6 2 6 2 2 4 3" xfId="0"/>
    <cellStyle name="Normal 6 2 6 2 2 4 3 2" xfId="0"/>
    <cellStyle name="Normal 6 2 6 2 2 4 4" xfId="0"/>
    <cellStyle name="Normal 6 2 6 2 2 5" xfId="0"/>
    <cellStyle name="Normal 6 2 6 2 2 5 2" xfId="0"/>
    <cellStyle name="Normal 6 2 6 2 2 5 2 2" xfId="0"/>
    <cellStyle name="Normal 6 2 6 2 2 5 3" xfId="0"/>
    <cellStyle name="Normal 6 2 6 2 2 6" xfId="0"/>
    <cellStyle name="Normal 6 2 6 2 2 6 2" xfId="0"/>
    <cellStyle name="Normal 6 2 6 2 2 7" xfId="0"/>
    <cellStyle name="Normal 6 2 6 2 3" xfId="0"/>
    <cellStyle name="Normal 6 2 6 2 3 2" xfId="0"/>
    <cellStyle name="Normal 6 2 6 2 3 2 2" xfId="0"/>
    <cellStyle name="Normal 6 2 6 2 3 2 2 2" xfId="0"/>
    <cellStyle name="Normal 6 2 6 2 3 2 2 2 2" xfId="0"/>
    <cellStyle name="Normal 6 2 6 2 3 2 2 2 2 2" xfId="0"/>
    <cellStyle name="Normal 6 2 6 2 3 2 2 2 3" xfId="0"/>
    <cellStyle name="Normal 6 2 6 2 3 2 2 3" xfId="0"/>
    <cellStyle name="Normal 6 2 6 2 3 2 2 3 2" xfId="0"/>
    <cellStyle name="Normal 6 2 6 2 3 2 2 4" xfId="0"/>
    <cellStyle name="Normal 6 2 6 2 3 2 3" xfId="0"/>
    <cellStyle name="Normal 6 2 6 2 3 2 3 2" xfId="0"/>
    <cellStyle name="Normal 6 2 6 2 3 2 3 2 2" xfId="0"/>
    <cellStyle name="Normal 6 2 6 2 3 2 3 3" xfId="0"/>
    <cellStyle name="Normal 6 2 6 2 3 2 4" xfId="0"/>
    <cellStyle name="Normal 6 2 6 2 3 2 4 2" xfId="0"/>
    <cellStyle name="Normal 6 2 6 2 3 2 5" xfId="0"/>
    <cellStyle name="Normal 6 2 6 2 3 3" xfId="0"/>
    <cellStyle name="Normal 6 2 6 2 3 3 2" xfId="0"/>
    <cellStyle name="Normal 6 2 6 2 3 3 2 2" xfId="0"/>
    <cellStyle name="Normal 6 2 6 2 3 3 2 2 2" xfId="0"/>
    <cellStyle name="Normal 6 2 6 2 3 3 2 3" xfId="0"/>
    <cellStyle name="Normal 6 2 6 2 3 3 3" xfId="0"/>
    <cellStyle name="Normal 6 2 6 2 3 3 3 2" xfId="0"/>
    <cellStyle name="Normal 6 2 6 2 3 3 4" xfId="0"/>
    <cellStyle name="Normal 6 2 6 2 3 4" xfId="0"/>
    <cellStyle name="Normal 6 2 6 2 3 4 2" xfId="0"/>
    <cellStyle name="Normal 6 2 6 2 3 4 2 2" xfId="0"/>
    <cellStyle name="Normal 6 2 6 2 3 4 3" xfId="0"/>
    <cellStyle name="Normal 6 2 6 2 3 5" xfId="0"/>
    <cellStyle name="Normal 6 2 6 2 3 5 2" xfId="0"/>
    <cellStyle name="Normal 6 2 6 2 3 6" xfId="0"/>
    <cellStyle name="Normal 6 2 6 2 4" xfId="0"/>
    <cellStyle name="Normal 6 2 6 2 4 2" xfId="0"/>
    <cellStyle name="Normal 6 2 6 2 4 2 2" xfId="0"/>
    <cellStyle name="Normal 6 2 6 2 4 2 2 2" xfId="0"/>
    <cellStyle name="Normal 6 2 6 2 4 2 2 2 2" xfId="0"/>
    <cellStyle name="Normal 6 2 6 2 4 2 2 3" xfId="0"/>
    <cellStyle name="Normal 6 2 6 2 4 2 3" xfId="0"/>
    <cellStyle name="Normal 6 2 6 2 4 2 3 2" xfId="0"/>
    <cellStyle name="Normal 6 2 6 2 4 2 4" xfId="0"/>
    <cellStyle name="Normal 6 2 6 2 4 3" xfId="0"/>
    <cellStyle name="Normal 6 2 6 2 4 3 2" xfId="0"/>
    <cellStyle name="Normal 6 2 6 2 4 3 2 2" xfId="0"/>
    <cellStyle name="Normal 6 2 6 2 4 3 3" xfId="0"/>
    <cellStyle name="Normal 6 2 6 2 4 4" xfId="0"/>
    <cellStyle name="Normal 6 2 6 2 4 4 2" xfId="0"/>
    <cellStyle name="Normal 6 2 6 2 4 5" xfId="0"/>
    <cellStyle name="Normal 6 2 6 2 5" xfId="0"/>
    <cellStyle name="Normal 6 2 6 2 5 2" xfId="0"/>
    <cellStyle name="Normal 6 2 6 2 5 2 2" xfId="0"/>
    <cellStyle name="Normal 6 2 6 2 5 2 2 2" xfId="0"/>
    <cellStyle name="Normal 6 2 6 2 5 2 3" xfId="0"/>
    <cellStyle name="Normal 6 2 6 2 5 3" xfId="0"/>
    <cellStyle name="Normal 6 2 6 2 5 3 2" xfId="0"/>
    <cellStyle name="Normal 6 2 6 2 5 4" xfId="0"/>
    <cellStyle name="Normal 6 2 6 2 6" xfId="0"/>
    <cellStyle name="Normal 6 2 6 2 6 2" xfId="0"/>
    <cellStyle name="Normal 6 2 6 2 6 2 2" xfId="0"/>
    <cellStyle name="Normal 6 2 6 2 6 3" xfId="0"/>
    <cellStyle name="Normal 6 2 6 2 7" xfId="0"/>
    <cellStyle name="Normal 6 2 6 2 7 2" xfId="0"/>
    <cellStyle name="Normal 6 2 6 2 8" xfId="0"/>
    <cellStyle name="Normal 6 2 6 3" xfId="0"/>
    <cellStyle name="Normal 6 2 6 3 2" xfId="0"/>
    <cellStyle name="Normal 6 2 6 3 2 2" xfId="0"/>
    <cellStyle name="Normal 6 2 6 3 2 2 2" xfId="0"/>
    <cellStyle name="Normal 6 2 6 3 2 2 2 2" xfId="0"/>
    <cellStyle name="Normal 6 2 6 3 2 2 2 2 2" xfId="0"/>
    <cellStyle name="Normal 6 2 6 3 2 2 2 2 2 2" xfId="0"/>
    <cellStyle name="Normal 6 2 6 3 2 2 2 2 2 2 2" xfId="0"/>
    <cellStyle name="Normal 6 2 6 3 2 2 2 2 2 3" xfId="0"/>
    <cellStyle name="Normal 6 2 6 3 2 2 2 2 3" xfId="0"/>
    <cellStyle name="Normal 6 2 6 3 2 2 2 2 3 2" xfId="0"/>
    <cellStyle name="Normal 6 2 6 3 2 2 2 2 4" xfId="0"/>
    <cellStyle name="Normal 6 2 6 3 2 2 2 3" xfId="0"/>
    <cellStyle name="Normal 6 2 6 3 2 2 2 3 2" xfId="0"/>
    <cellStyle name="Normal 6 2 6 3 2 2 2 3 2 2" xfId="0"/>
    <cellStyle name="Normal 6 2 6 3 2 2 2 3 3" xfId="0"/>
    <cellStyle name="Normal 6 2 6 3 2 2 2 4" xfId="0"/>
    <cellStyle name="Normal 6 2 6 3 2 2 2 4 2" xfId="0"/>
    <cellStyle name="Normal 6 2 6 3 2 2 2 5" xfId="0"/>
    <cellStyle name="Normal 6 2 6 3 2 2 3" xfId="0"/>
    <cellStyle name="Normal 6 2 6 3 2 2 3 2" xfId="0"/>
    <cellStyle name="Normal 6 2 6 3 2 2 3 2 2" xfId="0"/>
    <cellStyle name="Normal 6 2 6 3 2 2 3 2 2 2" xfId="0"/>
    <cellStyle name="Normal 6 2 6 3 2 2 3 2 3" xfId="0"/>
    <cellStyle name="Normal 6 2 6 3 2 2 3 3" xfId="0"/>
    <cellStyle name="Normal 6 2 6 3 2 2 3 3 2" xfId="0"/>
    <cellStyle name="Normal 6 2 6 3 2 2 3 4" xfId="0"/>
    <cellStyle name="Normal 6 2 6 3 2 2 4" xfId="0"/>
    <cellStyle name="Normal 6 2 6 3 2 2 4 2" xfId="0"/>
    <cellStyle name="Normal 6 2 6 3 2 2 4 2 2" xfId="0"/>
    <cellStyle name="Normal 6 2 6 3 2 2 4 3" xfId="0"/>
    <cellStyle name="Normal 6 2 6 3 2 2 5" xfId="0"/>
    <cellStyle name="Normal 6 2 6 3 2 2 5 2" xfId="0"/>
    <cellStyle name="Normal 6 2 6 3 2 2 6" xfId="0"/>
    <cellStyle name="Normal 6 2 6 3 2 3" xfId="0"/>
    <cellStyle name="Normal 6 2 6 3 2 3 2" xfId="0"/>
    <cellStyle name="Normal 6 2 6 3 2 3 2 2" xfId="0"/>
    <cellStyle name="Normal 6 2 6 3 2 3 2 2 2" xfId="0"/>
    <cellStyle name="Normal 6 2 6 3 2 3 2 2 2 2" xfId="0"/>
    <cellStyle name="Normal 6 2 6 3 2 3 2 2 3" xfId="0"/>
    <cellStyle name="Normal 6 2 6 3 2 3 2 3" xfId="0"/>
    <cellStyle name="Normal 6 2 6 3 2 3 2 3 2" xfId="0"/>
    <cellStyle name="Normal 6 2 6 3 2 3 2 4" xfId="0"/>
    <cellStyle name="Normal 6 2 6 3 2 3 3" xfId="0"/>
    <cellStyle name="Normal 6 2 6 3 2 3 3 2" xfId="0"/>
    <cellStyle name="Normal 6 2 6 3 2 3 3 2 2" xfId="0"/>
    <cellStyle name="Normal 6 2 6 3 2 3 3 3" xfId="0"/>
    <cellStyle name="Normal 6 2 6 3 2 3 4" xfId="0"/>
    <cellStyle name="Normal 6 2 6 3 2 3 4 2" xfId="0"/>
    <cellStyle name="Normal 6 2 6 3 2 3 5" xfId="0"/>
    <cellStyle name="Normal 6 2 6 3 2 4" xfId="0"/>
    <cellStyle name="Normal 6 2 6 3 2 4 2" xfId="0"/>
    <cellStyle name="Normal 6 2 6 3 2 4 2 2" xfId="0"/>
    <cellStyle name="Normal 6 2 6 3 2 4 2 2 2" xfId="0"/>
    <cellStyle name="Normal 6 2 6 3 2 4 2 3" xfId="0"/>
    <cellStyle name="Normal 6 2 6 3 2 4 3" xfId="0"/>
    <cellStyle name="Normal 6 2 6 3 2 4 3 2" xfId="0"/>
    <cellStyle name="Normal 6 2 6 3 2 4 4" xfId="0"/>
    <cellStyle name="Normal 6 2 6 3 2 5" xfId="0"/>
    <cellStyle name="Normal 6 2 6 3 2 5 2" xfId="0"/>
    <cellStyle name="Normal 6 2 6 3 2 5 2 2" xfId="0"/>
    <cellStyle name="Normal 6 2 6 3 2 5 3" xfId="0"/>
    <cellStyle name="Normal 6 2 6 3 2 6" xfId="0"/>
    <cellStyle name="Normal 6 2 6 3 2 6 2" xfId="0"/>
    <cellStyle name="Normal 6 2 6 3 2 7" xfId="0"/>
    <cellStyle name="Normal 6 2 6 3 3" xfId="0"/>
    <cellStyle name="Normal 6 2 6 3 3 2" xfId="0"/>
    <cellStyle name="Normal 6 2 6 3 3 2 2" xfId="0"/>
    <cellStyle name="Normal 6 2 6 3 3 2 2 2" xfId="0"/>
    <cellStyle name="Normal 6 2 6 3 3 2 2 2 2" xfId="0"/>
    <cellStyle name="Normal 6 2 6 3 3 2 2 2 2 2" xfId="0"/>
    <cellStyle name="Normal 6 2 6 3 3 2 2 2 3" xfId="0"/>
    <cellStyle name="Normal 6 2 6 3 3 2 2 3" xfId="0"/>
    <cellStyle name="Normal 6 2 6 3 3 2 2 3 2" xfId="0"/>
    <cellStyle name="Normal 6 2 6 3 3 2 2 4" xfId="0"/>
    <cellStyle name="Normal 6 2 6 3 3 2 3" xfId="0"/>
    <cellStyle name="Normal 6 2 6 3 3 2 3 2" xfId="0"/>
    <cellStyle name="Normal 6 2 6 3 3 2 3 2 2" xfId="0"/>
    <cellStyle name="Normal 6 2 6 3 3 2 3 3" xfId="0"/>
    <cellStyle name="Normal 6 2 6 3 3 2 4" xfId="0"/>
    <cellStyle name="Normal 6 2 6 3 3 2 4 2" xfId="0"/>
    <cellStyle name="Normal 6 2 6 3 3 2 5" xfId="0"/>
    <cellStyle name="Normal 6 2 6 3 3 3" xfId="0"/>
    <cellStyle name="Normal 6 2 6 3 3 3 2" xfId="0"/>
    <cellStyle name="Normal 6 2 6 3 3 3 2 2" xfId="0"/>
    <cellStyle name="Normal 6 2 6 3 3 3 2 2 2" xfId="0"/>
    <cellStyle name="Normal 6 2 6 3 3 3 2 3" xfId="0"/>
    <cellStyle name="Normal 6 2 6 3 3 3 3" xfId="0"/>
    <cellStyle name="Normal 6 2 6 3 3 3 3 2" xfId="0"/>
    <cellStyle name="Normal 6 2 6 3 3 3 4" xfId="0"/>
    <cellStyle name="Normal 6 2 6 3 3 4" xfId="0"/>
    <cellStyle name="Normal 6 2 6 3 3 4 2" xfId="0"/>
    <cellStyle name="Normal 6 2 6 3 3 4 2 2" xfId="0"/>
    <cellStyle name="Normal 6 2 6 3 3 4 3" xfId="0"/>
    <cellStyle name="Normal 6 2 6 3 3 5" xfId="0"/>
    <cellStyle name="Normal 6 2 6 3 3 5 2" xfId="0"/>
    <cellStyle name="Normal 6 2 6 3 3 6" xfId="0"/>
    <cellStyle name="Normal 6 2 6 3 4" xfId="0"/>
    <cellStyle name="Normal 6 2 6 3 4 2" xfId="0"/>
    <cellStyle name="Normal 6 2 6 3 4 2 2" xfId="0"/>
    <cellStyle name="Normal 6 2 6 3 4 2 2 2" xfId="0"/>
    <cellStyle name="Normal 6 2 6 3 4 2 2 2 2" xfId="0"/>
    <cellStyle name="Normal 6 2 6 3 4 2 2 3" xfId="0"/>
    <cellStyle name="Normal 6 2 6 3 4 2 3" xfId="0"/>
    <cellStyle name="Normal 6 2 6 3 4 2 3 2" xfId="0"/>
    <cellStyle name="Normal 6 2 6 3 4 2 4" xfId="0"/>
    <cellStyle name="Normal 6 2 6 3 4 3" xfId="0"/>
    <cellStyle name="Normal 6 2 6 3 4 3 2" xfId="0"/>
    <cellStyle name="Normal 6 2 6 3 4 3 2 2" xfId="0"/>
    <cellStyle name="Normal 6 2 6 3 4 3 3" xfId="0"/>
    <cellStyle name="Normal 6 2 6 3 4 4" xfId="0"/>
    <cellStyle name="Normal 6 2 6 3 4 4 2" xfId="0"/>
    <cellStyle name="Normal 6 2 6 3 4 5" xfId="0"/>
    <cellStyle name="Normal 6 2 6 3 5" xfId="0"/>
    <cellStyle name="Normal 6 2 6 3 5 2" xfId="0"/>
    <cellStyle name="Normal 6 2 6 3 5 2 2" xfId="0"/>
    <cellStyle name="Normal 6 2 6 3 5 2 2 2" xfId="0"/>
    <cellStyle name="Normal 6 2 6 3 5 2 3" xfId="0"/>
    <cellStyle name="Normal 6 2 6 3 5 3" xfId="0"/>
    <cellStyle name="Normal 6 2 6 3 5 3 2" xfId="0"/>
    <cellStyle name="Normal 6 2 6 3 5 4" xfId="0"/>
    <cellStyle name="Normal 6 2 6 3 6" xfId="0"/>
    <cellStyle name="Normal 6 2 6 3 6 2" xfId="0"/>
    <cellStyle name="Normal 6 2 6 3 6 2 2" xfId="0"/>
    <cellStyle name="Normal 6 2 6 3 6 3" xfId="0"/>
    <cellStyle name="Normal 6 2 6 3 7" xfId="0"/>
    <cellStyle name="Normal 6 2 6 3 7 2" xfId="0"/>
    <cellStyle name="Normal 6 2 6 3 8" xfId="0"/>
    <cellStyle name="Normal 6 2 6 4" xfId="0"/>
    <cellStyle name="Normal 6 2 6 4 2" xfId="0"/>
    <cellStyle name="Normal 6 2 6 4 2 2" xfId="0"/>
    <cellStyle name="Normal 6 2 6 4 2 2 2" xfId="0"/>
    <cellStyle name="Normal 6 2 6 4 2 2 2 2" xfId="0"/>
    <cellStyle name="Normal 6 2 6 4 2 2 2 2 2" xfId="0"/>
    <cellStyle name="Normal 6 2 6 4 2 2 2 2 2 2" xfId="0"/>
    <cellStyle name="Normal 6 2 6 4 2 2 2 2 3" xfId="0"/>
    <cellStyle name="Normal 6 2 6 4 2 2 2 3" xfId="0"/>
    <cellStyle name="Normal 6 2 6 4 2 2 2 3 2" xfId="0"/>
    <cellStyle name="Normal 6 2 6 4 2 2 2 4" xfId="0"/>
    <cellStyle name="Normal 6 2 6 4 2 2 3" xfId="0"/>
    <cellStyle name="Normal 6 2 6 4 2 2 3 2" xfId="0"/>
    <cellStyle name="Normal 6 2 6 4 2 2 3 2 2" xfId="0"/>
    <cellStyle name="Normal 6 2 6 4 2 2 3 3" xfId="0"/>
    <cellStyle name="Normal 6 2 6 4 2 2 4" xfId="0"/>
    <cellStyle name="Normal 6 2 6 4 2 2 4 2" xfId="0"/>
    <cellStyle name="Normal 6 2 6 4 2 2 5" xfId="0"/>
    <cellStyle name="Normal 6 2 6 4 2 3" xfId="0"/>
    <cellStyle name="Normal 6 2 6 4 2 3 2" xfId="0"/>
    <cellStyle name="Normal 6 2 6 4 2 3 2 2" xfId="0"/>
    <cellStyle name="Normal 6 2 6 4 2 3 2 2 2" xfId="0"/>
    <cellStyle name="Normal 6 2 6 4 2 3 2 3" xfId="0"/>
    <cellStyle name="Normal 6 2 6 4 2 3 3" xfId="0"/>
    <cellStyle name="Normal 6 2 6 4 2 3 3 2" xfId="0"/>
    <cellStyle name="Normal 6 2 6 4 2 3 4" xfId="0"/>
    <cellStyle name="Normal 6 2 6 4 2 4" xfId="0"/>
    <cellStyle name="Normal 6 2 6 4 2 4 2" xfId="0"/>
    <cellStyle name="Normal 6 2 6 4 2 4 2 2" xfId="0"/>
    <cellStyle name="Normal 6 2 6 4 2 4 3" xfId="0"/>
    <cellStyle name="Normal 6 2 6 4 2 5" xfId="0"/>
    <cellStyle name="Normal 6 2 6 4 2 5 2" xfId="0"/>
    <cellStyle name="Normal 6 2 6 4 2 6" xfId="0"/>
    <cellStyle name="Normal 6 2 6 4 3" xfId="0"/>
    <cellStyle name="Normal 6 2 6 4 3 2" xfId="0"/>
    <cellStyle name="Normal 6 2 6 4 3 2 2" xfId="0"/>
    <cellStyle name="Normal 6 2 6 4 3 2 2 2" xfId="0"/>
    <cellStyle name="Normal 6 2 6 4 3 2 2 2 2" xfId="0"/>
    <cellStyle name="Normal 6 2 6 4 3 2 2 3" xfId="0"/>
    <cellStyle name="Normal 6 2 6 4 3 2 3" xfId="0"/>
    <cellStyle name="Normal 6 2 6 4 3 2 3 2" xfId="0"/>
    <cellStyle name="Normal 6 2 6 4 3 2 4" xfId="0"/>
    <cellStyle name="Normal 6 2 6 4 3 3" xfId="0"/>
    <cellStyle name="Normal 6 2 6 4 3 3 2" xfId="0"/>
    <cellStyle name="Normal 6 2 6 4 3 3 2 2" xfId="0"/>
    <cellStyle name="Normal 6 2 6 4 3 3 3" xfId="0"/>
    <cellStyle name="Normal 6 2 6 4 3 4" xfId="0"/>
    <cellStyle name="Normal 6 2 6 4 3 4 2" xfId="0"/>
    <cellStyle name="Normal 6 2 6 4 3 5" xfId="0"/>
    <cellStyle name="Normal 6 2 6 4 4" xfId="0"/>
    <cellStyle name="Normal 6 2 6 4 4 2" xfId="0"/>
    <cellStyle name="Normal 6 2 6 4 4 2 2" xfId="0"/>
    <cellStyle name="Normal 6 2 6 4 4 2 2 2" xfId="0"/>
    <cellStyle name="Normal 6 2 6 4 4 2 3" xfId="0"/>
    <cellStyle name="Normal 6 2 6 4 4 3" xfId="0"/>
    <cellStyle name="Normal 6 2 6 4 4 3 2" xfId="0"/>
    <cellStyle name="Normal 6 2 6 4 4 4" xfId="0"/>
    <cellStyle name="Normal 6 2 6 4 5" xfId="0"/>
    <cellStyle name="Normal 6 2 6 4 5 2" xfId="0"/>
    <cellStyle name="Normal 6 2 6 4 5 2 2" xfId="0"/>
    <cellStyle name="Normal 6 2 6 4 5 3" xfId="0"/>
    <cellStyle name="Normal 6 2 6 4 6" xfId="0"/>
    <cellStyle name="Normal 6 2 6 4 6 2" xfId="0"/>
    <cellStyle name="Normal 6 2 6 4 7" xfId="0"/>
    <cellStyle name="Normal 6 2 6 5" xfId="0"/>
    <cellStyle name="Normal 6 2 6 5 2" xfId="0"/>
    <cellStyle name="Normal 6 2 6 5 2 2" xfId="0"/>
    <cellStyle name="Normal 6 2 6 5 2 2 2" xfId="0"/>
    <cellStyle name="Normal 6 2 6 5 2 2 2 2" xfId="0"/>
    <cellStyle name="Normal 6 2 6 5 2 2 2 2 2" xfId="0"/>
    <cellStyle name="Normal 6 2 6 5 2 2 2 2 2 2" xfId="0"/>
    <cellStyle name="Normal 6 2 6 5 2 2 2 2 3" xfId="0"/>
    <cellStyle name="Normal 6 2 6 5 2 2 2 3" xfId="0"/>
    <cellStyle name="Normal 6 2 6 5 2 2 2 3 2" xfId="0"/>
    <cellStyle name="Normal 6 2 6 5 2 2 2 4" xfId="0"/>
    <cellStyle name="Normal 6 2 6 5 2 2 3" xfId="0"/>
    <cellStyle name="Normal 6 2 6 5 2 2 3 2" xfId="0"/>
    <cellStyle name="Normal 6 2 6 5 2 2 3 2 2" xfId="0"/>
    <cellStyle name="Normal 6 2 6 5 2 2 3 3" xfId="0"/>
    <cellStyle name="Normal 6 2 6 5 2 2 4" xfId="0"/>
    <cellStyle name="Normal 6 2 6 5 2 2 4 2" xfId="0"/>
    <cellStyle name="Normal 6 2 6 5 2 2 5" xfId="0"/>
    <cellStyle name="Normal 6 2 6 5 2 3" xfId="0"/>
    <cellStyle name="Normal 6 2 6 5 2 3 2" xfId="0"/>
    <cellStyle name="Normal 6 2 6 5 2 3 2 2" xfId="0"/>
    <cellStyle name="Normal 6 2 6 5 2 3 2 2 2" xfId="0"/>
    <cellStyle name="Normal 6 2 6 5 2 3 2 3" xfId="0"/>
    <cellStyle name="Normal 6 2 6 5 2 3 3" xfId="0"/>
    <cellStyle name="Normal 6 2 6 5 2 3 3 2" xfId="0"/>
    <cellStyle name="Normal 6 2 6 5 2 3 4" xfId="0"/>
    <cellStyle name="Normal 6 2 6 5 2 4" xfId="0"/>
    <cellStyle name="Normal 6 2 6 5 2 4 2" xfId="0"/>
    <cellStyle name="Normal 6 2 6 5 2 4 2 2" xfId="0"/>
    <cellStyle name="Normal 6 2 6 5 2 4 3" xfId="0"/>
    <cellStyle name="Normal 6 2 6 5 2 5" xfId="0"/>
    <cellStyle name="Normal 6 2 6 5 2 5 2" xfId="0"/>
    <cellStyle name="Normal 6 2 6 5 2 6" xfId="0"/>
    <cellStyle name="Normal 6 2 6 5 3" xfId="0"/>
    <cellStyle name="Normal 6 2 6 5 3 2" xfId="0"/>
    <cellStyle name="Normal 6 2 6 5 3 2 2" xfId="0"/>
    <cellStyle name="Normal 6 2 6 5 3 2 2 2" xfId="0"/>
    <cellStyle name="Normal 6 2 6 5 3 2 2 2 2" xfId="0"/>
    <cellStyle name="Normal 6 2 6 5 3 2 2 3" xfId="0"/>
    <cellStyle name="Normal 6 2 6 5 3 2 3" xfId="0"/>
    <cellStyle name="Normal 6 2 6 5 3 2 3 2" xfId="0"/>
    <cellStyle name="Normal 6 2 6 5 3 2 4" xfId="0"/>
    <cellStyle name="Normal 6 2 6 5 3 3" xfId="0"/>
    <cellStyle name="Normal 6 2 6 5 3 3 2" xfId="0"/>
    <cellStyle name="Normal 6 2 6 5 3 3 2 2" xfId="0"/>
    <cellStyle name="Normal 6 2 6 5 3 3 3" xfId="0"/>
    <cellStyle name="Normal 6 2 6 5 3 4" xfId="0"/>
    <cellStyle name="Normal 6 2 6 5 3 4 2" xfId="0"/>
    <cellStyle name="Normal 6 2 6 5 3 5" xfId="0"/>
    <cellStyle name="Normal 6 2 6 5 4" xfId="0"/>
    <cellStyle name="Normal 6 2 6 5 4 2" xfId="0"/>
    <cellStyle name="Normal 6 2 6 5 4 2 2" xfId="0"/>
    <cellStyle name="Normal 6 2 6 5 4 2 2 2" xfId="0"/>
    <cellStyle name="Normal 6 2 6 5 4 2 3" xfId="0"/>
    <cellStyle name="Normal 6 2 6 5 4 3" xfId="0"/>
    <cellStyle name="Normal 6 2 6 5 4 3 2" xfId="0"/>
    <cellStyle name="Normal 6 2 6 5 4 4" xfId="0"/>
    <cellStyle name="Normal 6 2 6 5 5" xfId="0"/>
    <cellStyle name="Normal 6 2 6 5 5 2" xfId="0"/>
    <cellStyle name="Normal 6 2 6 5 5 2 2" xfId="0"/>
    <cellStyle name="Normal 6 2 6 5 5 3" xfId="0"/>
    <cellStyle name="Normal 6 2 6 5 6" xfId="0"/>
    <cellStyle name="Normal 6 2 6 5 6 2" xfId="0"/>
    <cellStyle name="Normal 6 2 6 5 7" xfId="0"/>
    <cellStyle name="Normal 6 2 6 6" xfId="0"/>
    <cellStyle name="Normal 6 2 6 6 2" xfId="0"/>
    <cellStyle name="Normal 6 2 6 6 2 2" xfId="0"/>
    <cellStyle name="Normal 6 2 6 6 2 2 2" xfId="0"/>
    <cellStyle name="Normal 6 2 6 6 2 2 2 2" xfId="0"/>
    <cellStyle name="Normal 6 2 6 6 2 2 2 2 2" xfId="0"/>
    <cellStyle name="Normal 6 2 6 6 2 2 2 3" xfId="0"/>
    <cellStyle name="Normal 6 2 6 6 2 2 3" xfId="0"/>
    <cellStyle name="Normal 6 2 6 6 2 2 3 2" xfId="0"/>
    <cellStyle name="Normal 6 2 6 6 2 2 4" xfId="0"/>
    <cellStyle name="Normal 6 2 6 6 2 3" xfId="0"/>
    <cellStyle name="Normal 6 2 6 6 2 3 2" xfId="0"/>
    <cellStyle name="Normal 6 2 6 6 2 3 2 2" xfId="0"/>
    <cellStyle name="Normal 6 2 6 6 2 3 3" xfId="0"/>
    <cellStyle name="Normal 6 2 6 6 2 4" xfId="0"/>
    <cellStyle name="Normal 6 2 6 6 2 4 2" xfId="0"/>
    <cellStyle name="Normal 6 2 6 6 2 5" xfId="0"/>
    <cellStyle name="Normal 6 2 6 6 3" xfId="0"/>
    <cellStyle name="Normal 6 2 6 6 3 2" xfId="0"/>
    <cellStyle name="Normal 6 2 6 6 3 2 2" xfId="0"/>
    <cellStyle name="Normal 6 2 6 6 3 2 2 2" xfId="0"/>
    <cellStyle name="Normal 6 2 6 6 3 2 3" xfId="0"/>
    <cellStyle name="Normal 6 2 6 6 3 3" xfId="0"/>
    <cellStyle name="Normal 6 2 6 6 3 3 2" xfId="0"/>
    <cellStyle name="Normal 6 2 6 6 3 4" xfId="0"/>
    <cellStyle name="Normal 6 2 6 6 4" xfId="0"/>
    <cellStyle name="Normal 6 2 6 6 4 2" xfId="0"/>
    <cellStyle name="Normal 6 2 6 6 4 2 2" xfId="0"/>
    <cellStyle name="Normal 6 2 6 6 4 3" xfId="0"/>
    <cellStyle name="Normal 6 2 6 6 5" xfId="0"/>
    <cellStyle name="Normal 6 2 6 6 5 2" xfId="0"/>
    <cellStyle name="Normal 6 2 6 6 6" xfId="0"/>
    <cellStyle name="Normal 6 2 6 7" xfId="0"/>
    <cellStyle name="Normal 6 2 6 7 2" xfId="0"/>
    <cellStyle name="Normal 6 2 6 7 2 2" xfId="0"/>
    <cellStyle name="Normal 6 2 6 7 2 2 2" xfId="0"/>
    <cellStyle name="Normal 6 2 6 7 2 2 2 2" xfId="0"/>
    <cellStyle name="Normal 6 2 6 7 2 2 3" xfId="0"/>
    <cellStyle name="Normal 6 2 6 7 2 3" xfId="0"/>
    <cellStyle name="Normal 6 2 6 7 2 3 2" xfId="0"/>
    <cellStyle name="Normal 6 2 6 7 2 4" xfId="0"/>
    <cellStyle name="Normal 6 2 6 7 3" xfId="0"/>
    <cellStyle name="Normal 6 2 6 7 3 2" xfId="0"/>
    <cellStyle name="Normal 6 2 6 7 3 2 2" xfId="0"/>
    <cellStyle name="Normal 6 2 6 7 3 3" xfId="0"/>
    <cellStyle name="Normal 6 2 6 7 4" xfId="0"/>
    <cellStyle name="Normal 6 2 6 7 4 2" xfId="0"/>
    <cellStyle name="Normal 6 2 6 7 5" xfId="0"/>
    <cellStyle name="Normal 6 2 6 8" xfId="0"/>
    <cellStyle name="Normal 6 2 6 8 2" xfId="0"/>
    <cellStyle name="Normal 6 2 6 8 2 2" xfId="0"/>
    <cellStyle name="Normal 6 2 6 8 2 2 2" xfId="0"/>
    <cellStyle name="Normal 6 2 6 8 2 3" xfId="0"/>
    <cellStyle name="Normal 6 2 6 8 3" xfId="0"/>
    <cellStyle name="Normal 6 2 6 8 3 2" xfId="0"/>
    <cellStyle name="Normal 6 2 6 8 4" xfId="0"/>
    <cellStyle name="Normal 6 2 6 9" xfId="0"/>
    <cellStyle name="Normal 6 2 6 9 2" xfId="0"/>
    <cellStyle name="Normal 6 2 6 9 2 2" xfId="0"/>
    <cellStyle name="Normal 6 2 6 9 3" xfId="0"/>
    <cellStyle name="Normal 6 2 7" xfId="0"/>
    <cellStyle name="Normal 6 2 7 2" xfId="0"/>
    <cellStyle name="Normal 6 2 7 2 2" xfId="0"/>
    <cellStyle name="Normal 6 2 7 2 2 2" xfId="0"/>
    <cellStyle name="Normal 6 2 7 2 2 2 2" xfId="0"/>
    <cellStyle name="Normal 6 2 7 2 2 2 2 2" xfId="0"/>
    <cellStyle name="Normal 6 2 7 2 2 2 2 2 2" xfId="0"/>
    <cellStyle name="Normal 6 2 7 2 2 2 2 2 2 2" xfId="0"/>
    <cellStyle name="Normal 6 2 7 2 2 2 2 2 3" xfId="0"/>
    <cellStyle name="Normal 6 2 7 2 2 2 2 3" xfId="0"/>
    <cellStyle name="Normal 6 2 7 2 2 2 2 3 2" xfId="0"/>
    <cellStyle name="Normal 6 2 7 2 2 2 2 4" xfId="0"/>
    <cellStyle name="Normal 6 2 7 2 2 2 3" xfId="0"/>
    <cellStyle name="Normal 6 2 7 2 2 2 3 2" xfId="0"/>
    <cellStyle name="Normal 6 2 7 2 2 2 3 2 2" xfId="0"/>
    <cellStyle name="Normal 6 2 7 2 2 2 3 3" xfId="0"/>
    <cellStyle name="Normal 6 2 7 2 2 2 4" xfId="0"/>
    <cellStyle name="Normal 6 2 7 2 2 2 4 2" xfId="0"/>
    <cellStyle name="Normal 6 2 7 2 2 2 5" xfId="0"/>
    <cellStyle name="Normal 6 2 7 2 2 3" xfId="0"/>
    <cellStyle name="Normal 6 2 7 2 2 3 2" xfId="0"/>
    <cellStyle name="Normal 6 2 7 2 2 3 2 2" xfId="0"/>
    <cellStyle name="Normal 6 2 7 2 2 3 2 2 2" xfId="0"/>
    <cellStyle name="Normal 6 2 7 2 2 3 2 3" xfId="0"/>
    <cellStyle name="Normal 6 2 7 2 2 3 3" xfId="0"/>
    <cellStyle name="Normal 6 2 7 2 2 3 3 2" xfId="0"/>
    <cellStyle name="Normal 6 2 7 2 2 3 4" xfId="0"/>
    <cellStyle name="Normal 6 2 7 2 2 4" xfId="0"/>
    <cellStyle name="Normal 6 2 7 2 2 4 2" xfId="0"/>
    <cellStyle name="Normal 6 2 7 2 2 4 2 2" xfId="0"/>
    <cellStyle name="Normal 6 2 7 2 2 4 3" xfId="0"/>
    <cellStyle name="Normal 6 2 7 2 2 5" xfId="0"/>
    <cellStyle name="Normal 6 2 7 2 2 5 2" xfId="0"/>
    <cellStyle name="Normal 6 2 7 2 2 6" xfId="0"/>
    <cellStyle name="Normal 6 2 7 2 3" xfId="0"/>
    <cellStyle name="Normal 6 2 7 2 3 2" xfId="0"/>
    <cellStyle name="Normal 6 2 7 2 3 2 2" xfId="0"/>
    <cellStyle name="Normal 6 2 7 2 3 2 2 2" xfId="0"/>
    <cellStyle name="Normal 6 2 7 2 3 2 2 2 2" xfId="0"/>
    <cellStyle name="Normal 6 2 7 2 3 2 2 3" xfId="0"/>
    <cellStyle name="Normal 6 2 7 2 3 2 3" xfId="0"/>
    <cellStyle name="Normal 6 2 7 2 3 2 3 2" xfId="0"/>
    <cellStyle name="Normal 6 2 7 2 3 2 4" xfId="0"/>
    <cellStyle name="Normal 6 2 7 2 3 3" xfId="0"/>
    <cellStyle name="Normal 6 2 7 2 3 3 2" xfId="0"/>
    <cellStyle name="Normal 6 2 7 2 3 3 2 2" xfId="0"/>
    <cellStyle name="Normal 6 2 7 2 3 3 3" xfId="0"/>
    <cellStyle name="Normal 6 2 7 2 3 4" xfId="0"/>
    <cellStyle name="Normal 6 2 7 2 3 4 2" xfId="0"/>
    <cellStyle name="Normal 6 2 7 2 3 5" xfId="0"/>
    <cellStyle name="Normal 6 2 7 2 4" xfId="0"/>
    <cellStyle name="Normal 6 2 7 2 4 2" xfId="0"/>
    <cellStyle name="Normal 6 2 7 2 4 2 2" xfId="0"/>
    <cellStyle name="Normal 6 2 7 2 4 2 2 2" xfId="0"/>
    <cellStyle name="Normal 6 2 7 2 4 2 3" xfId="0"/>
    <cellStyle name="Normal 6 2 7 2 4 3" xfId="0"/>
    <cellStyle name="Normal 6 2 7 2 4 3 2" xfId="0"/>
    <cellStyle name="Normal 6 2 7 2 4 4" xfId="0"/>
    <cellStyle name="Normal 6 2 7 2 5" xfId="0"/>
    <cellStyle name="Normal 6 2 7 2 5 2" xfId="0"/>
    <cellStyle name="Normal 6 2 7 2 5 2 2" xfId="0"/>
    <cellStyle name="Normal 6 2 7 2 5 3" xfId="0"/>
    <cellStyle name="Normal 6 2 7 2 6" xfId="0"/>
    <cellStyle name="Normal 6 2 7 2 6 2" xfId="0"/>
    <cellStyle name="Normal 6 2 7 2 7" xfId="0"/>
    <cellStyle name="Normal 6 2 7 3" xfId="0"/>
    <cellStyle name="Normal 6 2 7 3 2" xfId="0"/>
    <cellStyle name="Normal 6 2 7 3 2 2" xfId="0"/>
    <cellStyle name="Normal 6 2 7 3 2 2 2" xfId="0"/>
    <cellStyle name="Normal 6 2 7 3 2 2 2 2" xfId="0"/>
    <cellStyle name="Normal 6 2 7 3 2 2 2 2 2" xfId="0"/>
    <cellStyle name="Normal 6 2 7 3 2 2 2 3" xfId="0"/>
    <cellStyle name="Normal 6 2 7 3 2 2 3" xfId="0"/>
    <cellStyle name="Normal 6 2 7 3 2 2 3 2" xfId="0"/>
    <cellStyle name="Normal 6 2 7 3 2 2 4" xfId="0"/>
    <cellStyle name="Normal 6 2 7 3 2 3" xfId="0"/>
    <cellStyle name="Normal 6 2 7 3 2 3 2" xfId="0"/>
    <cellStyle name="Normal 6 2 7 3 2 3 2 2" xfId="0"/>
    <cellStyle name="Normal 6 2 7 3 2 3 3" xfId="0"/>
    <cellStyle name="Normal 6 2 7 3 2 4" xfId="0"/>
    <cellStyle name="Normal 6 2 7 3 2 4 2" xfId="0"/>
    <cellStyle name="Normal 6 2 7 3 2 5" xfId="0"/>
    <cellStyle name="Normal 6 2 7 3 3" xfId="0"/>
    <cellStyle name="Normal 6 2 7 3 3 2" xfId="0"/>
    <cellStyle name="Normal 6 2 7 3 3 2 2" xfId="0"/>
    <cellStyle name="Normal 6 2 7 3 3 2 2 2" xfId="0"/>
    <cellStyle name="Normal 6 2 7 3 3 2 3" xfId="0"/>
    <cellStyle name="Normal 6 2 7 3 3 3" xfId="0"/>
    <cellStyle name="Normal 6 2 7 3 3 3 2" xfId="0"/>
    <cellStyle name="Normal 6 2 7 3 3 4" xfId="0"/>
    <cellStyle name="Normal 6 2 7 3 4" xfId="0"/>
    <cellStyle name="Normal 6 2 7 3 4 2" xfId="0"/>
    <cellStyle name="Normal 6 2 7 3 4 2 2" xfId="0"/>
    <cellStyle name="Normal 6 2 7 3 4 3" xfId="0"/>
    <cellStyle name="Normal 6 2 7 3 5" xfId="0"/>
    <cellStyle name="Normal 6 2 7 3 5 2" xfId="0"/>
    <cellStyle name="Normal 6 2 7 3 6" xfId="0"/>
    <cellStyle name="Normal 6 2 7 4" xfId="0"/>
    <cellStyle name="Normal 6 2 7 4 2" xfId="0"/>
    <cellStyle name="Normal 6 2 7 4 2 2" xfId="0"/>
    <cellStyle name="Normal 6 2 7 4 2 2 2" xfId="0"/>
    <cellStyle name="Normal 6 2 7 4 2 2 2 2" xfId="0"/>
    <cellStyle name="Normal 6 2 7 4 2 2 3" xfId="0"/>
    <cellStyle name="Normal 6 2 7 4 2 3" xfId="0"/>
    <cellStyle name="Normal 6 2 7 4 2 3 2" xfId="0"/>
    <cellStyle name="Normal 6 2 7 4 2 4" xfId="0"/>
    <cellStyle name="Normal 6 2 7 4 3" xfId="0"/>
    <cellStyle name="Normal 6 2 7 4 3 2" xfId="0"/>
    <cellStyle name="Normal 6 2 7 4 3 2 2" xfId="0"/>
    <cellStyle name="Normal 6 2 7 4 3 3" xfId="0"/>
    <cellStyle name="Normal 6 2 7 4 4" xfId="0"/>
    <cellStyle name="Normal 6 2 7 4 4 2" xfId="0"/>
    <cellStyle name="Normal 6 2 7 4 5" xfId="0"/>
    <cellStyle name="Normal 6 2 7 5" xfId="0"/>
    <cellStyle name="Normal 6 2 7 5 2" xfId="0"/>
    <cellStyle name="Normal 6 2 7 5 2 2" xfId="0"/>
    <cellStyle name="Normal 6 2 7 5 2 2 2" xfId="0"/>
    <cellStyle name="Normal 6 2 7 5 2 3" xfId="0"/>
    <cellStyle name="Normal 6 2 7 5 3" xfId="0"/>
    <cellStyle name="Normal 6 2 7 5 3 2" xfId="0"/>
    <cellStyle name="Normal 6 2 7 5 4" xfId="0"/>
    <cellStyle name="Normal 6 2 7 6" xfId="0"/>
    <cellStyle name="Normal 6 2 7 6 2" xfId="0"/>
    <cellStyle name="Normal 6 2 7 6 2 2" xfId="0"/>
    <cellStyle name="Normal 6 2 7 6 3" xfId="0"/>
    <cellStyle name="Normal 6 2 7 7" xfId="0"/>
    <cellStyle name="Normal 6 2 7 7 2" xfId="0"/>
    <cellStyle name="Normal 6 2 7 8" xfId="0"/>
    <cellStyle name="Normal 6 2 8" xfId="0"/>
    <cellStyle name="Normal 6 2 8 2" xfId="0"/>
    <cellStyle name="Normal 6 2 8 2 2" xfId="0"/>
    <cellStyle name="Normal 6 2 8 2 2 2" xfId="0"/>
    <cellStyle name="Normal 6 2 8 2 2 2 2" xfId="0"/>
    <cellStyle name="Normal 6 2 8 2 2 2 2 2" xfId="0"/>
    <cellStyle name="Normal 6 2 8 2 2 2 2 2 2" xfId="0"/>
    <cellStyle name="Normal 6 2 8 2 2 2 2 2 2 2" xfId="0"/>
    <cellStyle name="Normal 6 2 8 2 2 2 2 2 3" xfId="0"/>
    <cellStyle name="Normal 6 2 8 2 2 2 2 3" xfId="0"/>
    <cellStyle name="Normal 6 2 8 2 2 2 2 3 2" xfId="0"/>
    <cellStyle name="Normal 6 2 8 2 2 2 2 4" xfId="0"/>
    <cellStyle name="Normal 6 2 8 2 2 2 3" xfId="0"/>
    <cellStyle name="Normal 6 2 8 2 2 2 3 2" xfId="0"/>
    <cellStyle name="Normal 6 2 8 2 2 2 3 2 2" xfId="0"/>
    <cellStyle name="Normal 6 2 8 2 2 2 3 3" xfId="0"/>
    <cellStyle name="Normal 6 2 8 2 2 2 4" xfId="0"/>
    <cellStyle name="Normal 6 2 8 2 2 2 4 2" xfId="0"/>
    <cellStyle name="Normal 6 2 8 2 2 2 5" xfId="0"/>
    <cellStyle name="Normal 6 2 8 2 2 3" xfId="0"/>
    <cellStyle name="Normal 6 2 8 2 2 3 2" xfId="0"/>
    <cellStyle name="Normal 6 2 8 2 2 3 2 2" xfId="0"/>
    <cellStyle name="Normal 6 2 8 2 2 3 2 2 2" xfId="0"/>
    <cellStyle name="Normal 6 2 8 2 2 3 2 3" xfId="0"/>
    <cellStyle name="Normal 6 2 8 2 2 3 3" xfId="0"/>
    <cellStyle name="Normal 6 2 8 2 2 3 3 2" xfId="0"/>
    <cellStyle name="Normal 6 2 8 2 2 3 4" xfId="0"/>
    <cellStyle name="Normal 6 2 8 2 2 4" xfId="0"/>
    <cellStyle name="Normal 6 2 8 2 2 4 2" xfId="0"/>
    <cellStyle name="Normal 6 2 8 2 2 4 2 2" xfId="0"/>
    <cellStyle name="Normal 6 2 8 2 2 4 3" xfId="0"/>
    <cellStyle name="Normal 6 2 8 2 2 5" xfId="0"/>
    <cellStyle name="Normal 6 2 8 2 2 5 2" xfId="0"/>
    <cellStyle name="Normal 6 2 8 2 2 6" xfId="0"/>
    <cellStyle name="Normal 6 2 8 2 3" xfId="0"/>
    <cellStyle name="Normal 6 2 8 2 3 2" xfId="0"/>
    <cellStyle name="Normal 6 2 8 2 3 2 2" xfId="0"/>
    <cellStyle name="Normal 6 2 8 2 3 2 2 2" xfId="0"/>
    <cellStyle name="Normal 6 2 8 2 3 2 2 2 2" xfId="0"/>
    <cellStyle name="Normal 6 2 8 2 3 2 2 3" xfId="0"/>
    <cellStyle name="Normal 6 2 8 2 3 2 3" xfId="0"/>
    <cellStyle name="Normal 6 2 8 2 3 2 3 2" xfId="0"/>
    <cellStyle name="Normal 6 2 8 2 3 2 4" xfId="0"/>
    <cellStyle name="Normal 6 2 8 2 3 3" xfId="0"/>
    <cellStyle name="Normal 6 2 8 2 3 3 2" xfId="0"/>
    <cellStyle name="Normal 6 2 8 2 3 3 2 2" xfId="0"/>
    <cellStyle name="Normal 6 2 8 2 3 3 3" xfId="0"/>
    <cellStyle name="Normal 6 2 8 2 3 4" xfId="0"/>
    <cellStyle name="Normal 6 2 8 2 3 4 2" xfId="0"/>
    <cellStyle name="Normal 6 2 8 2 3 5" xfId="0"/>
    <cellStyle name="Normal 6 2 8 2 4" xfId="0"/>
    <cellStyle name="Normal 6 2 8 2 4 2" xfId="0"/>
    <cellStyle name="Normal 6 2 8 2 4 2 2" xfId="0"/>
    <cellStyle name="Normal 6 2 8 2 4 2 2 2" xfId="0"/>
    <cellStyle name="Normal 6 2 8 2 4 2 3" xfId="0"/>
    <cellStyle name="Normal 6 2 8 2 4 3" xfId="0"/>
    <cellStyle name="Normal 6 2 8 2 4 3 2" xfId="0"/>
    <cellStyle name="Normal 6 2 8 2 4 4" xfId="0"/>
    <cellStyle name="Normal 6 2 8 2 5" xfId="0"/>
    <cellStyle name="Normal 6 2 8 2 5 2" xfId="0"/>
    <cellStyle name="Normal 6 2 8 2 5 2 2" xfId="0"/>
    <cellStyle name="Normal 6 2 8 2 5 3" xfId="0"/>
    <cellStyle name="Normal 6 2 8 2 6" xfId="0"/>
    <cellStyle name="Normal 6 2 8 2 6 2" xfId="0"/>
    <cellStyle name="Normal 6 2 8 2 7" xfId="0"/>
    <cellStyle name="Normal 6 2 8 3" xfId="0"/>
    <cellStyle name="Normal 6 2 8 3 2" xfId="0"/>
    <cellStyle name="Normal 6 2 8 3 2 2" xfId="0"/>
    <cellStyle name="Normal 6 2 8 3 2 2 2" xfId="0"/>
    <cellStyle name="Normal 6 2 8 3 2 2 2 2" xfId="0"/>
    <cellStyle name="Normal 6 2 8 3 2 2 2 2 2" xfId="0"/>
    <cellStyle name="Normal 6 2 8 3 2 2 2 3" xfId="0"/>
    <cellStyle name="Normal 6 2 8 3 2 2 3" xfId="0"/>
    <cellStyle name="Normal 6 2 8 3 2 2 3 2" xfId="0"/>
    <cellStyle name="Normal 6 2 8 3 2 2 4" xfId="0"/>
    <cellStyle name="Normal 6 2 8 3 2 3" xfId="0"/>
    <cellStyle name="Normal 6 2 8 3 2 3 2" xfId="0"/>
    <cellStyle name="Normal 6 2 8 3 2 3 2 2" xfId="0"/>
    <cellStyle name="Normal 6 2 8 3 2 3 3" xfId="0"/>
    <cellStyle name="Normal 6 2 8 3 2 4" xfId="0"/>
    <cellStyle name="Normal 6 2 8 3 2 4 2" xfId="0"/>
    <cellStyle name="Normal 6 2 8 3 2 5" xfId="0"/>
    <cellStyle name="Normal 6 2 8 3 3" xfId="0"/>
    <cellStyle name="Normal 6 2 8 3 3 2" xfId="0"/>
    <cellStyle name="Normal 6 2 8 3 3 2 2" xfId="0"/>
    <cellStyle name="Normal 6 2 8 3 3 2 2 2" xfId="0"/>
    <cellStyle name="Normal 6 2 8 3 3 2 3" xfId="0"/>
    <cellStyle name="Normal 6 2 8 3 3 3" xfId="0"/>
    <cellStyle name="Normal 6 2 8 3 3 3 2" xfId="0"/>
    <cellStyle name="Normal 6 2 8 3 3 4" xfId="0"/>
    <cellStyle name="Normal 6 2 8 3 4" xfId="0"/>
    <cellStyle name="Normal 6 2 8 3 4 2" xfId="0"/>
    <cellStyle name="Normal 6 2 8 3 4 2 2" xfId="0"/>
    <cellStyle name="Normal 6 2 8 3 4 3" xfId="0"/>
    <cellStyle name="Normal 6 2 8 3 5" xfId="0"/>
    <cellStyle name="Normal 6 2 8 3 5 2" xfId="0"/>
    <cellStyle name="Normal 6 2 8 3 6" xfId="0"/>
    <cellStyle name="Normal 6 2 8 4" xfId="0"/>
    <cellStyle name="Normal 6 2 8 4 2" xfId="0"/>
    <cellStyle name="Normal 6 2 8 4 2 2" xfId="0"/>
    <cellStyle name="Normal 6 2 8 4 2 2 2" xfId="0"/>
    <cellStyle name="Normal 6 2 8 4 2 2 2 2" xfId="0"/>
    <cellStyle name="Normal 6 2 8 4 2 2 3" xfId="0"/>
    <cellStyle name="Normal 6 2 8 4 2 3" xfId="0"/>
    <cellStyle name="Normal 6 2 8 4 2 3 2" xfId="0"/>
    <cellStyle name="Normal 6 2 8 4 2 4" xfId="0"/>
    <cellStyle name="Normal 6 2 8 4 3" xfId="0"/>
    <cellStyle name="Normal 6 2 8 4 3 2" xfId="0"/>
    <cellStyle name="Normal 6 2 8 4 3 2 2" xfId="0"/>
    <cellStyle name="Normal 6 2 8 4 3 3" xfId="0"/>
    <cellStyle name="Normal 6 2 8 4 4" xfId="0"/>
    <cellStyle name="Normal 6 2 8 4 4 2" xfId="0"/>
    <cellStyle name="Normal 6 2 8 4 5" xfId="0"/>
    <cellStyle name="Normal 6 2 8 5" xfId="0"/>
    <cellStyle name="Normal 6 2 8 5 2" xfId="0"/>
    <cellStyle name="Normal 6 2 8 5 2 2" xfId="0"/>
    <cellStyle name="Normal 6 2 8 5 2 2 2" xfId="0"/>
    <cellStyle name="Normal 6 2 8 5 2 3" xfId="0"/>
    <cellStyle name="Normal 6 2 8 5 3" xfId="0"/>
    <cellStyle name="Normal 6 2 8 5 3 2" xfId="0"/>
    <cellStyle name="Normal 6 2 8 5 4" xfId="0"/>
    <cellStyle name="Normal 6 2 8 6" xfId="0"/>
    <cellStyle name="Normal 6 2 8 6 2" xfId="0"/>
    <cellStyle name="Normal 6 2 8 6 2 2" xfId="0"/>
    <cellStyle name="Normal 6 2 8 6 3" xfId="0"/>
    <cellStyle name="Normal 6 2 8 7" xfId="0"/>
    <cellStyle name="Normal 6 2 8 7 2" xfId="0"/>
    <cellStyle name="Normal 6 2 8 8" xfId="0"/>
    <cellStyle name="Normal 6 2 9" xfId="0"/>
    <cellStyle name="Normal 6 2 9 2" xfId="0"/>
    <cellStyle name="Normal 6 2 9 2 2" xfId="0"/>
    <cellStyle name="Normal 6 2 9 2 2 2" xfId="0"/>
    <cellStyle name="Normal 6 2 9 2 2 2 2" xfId="0"/>
    <cellStyle name="Normal 6 2 9 2 2 2 2 2" xfId="0"/>
    <cellStyle name="Normal 6 2 9 2 2 2 2 2 2" xfId="0"/>
    <cellStyle name="Normal 6 2 9 2 2 2 2 3" xfId="0"/>
    <cellStyle name="Normal 6 2 9 2 2 2 3" xfId="0"/>
    <cellStyle name="Normal 6 2 9 2 2 2 3 2" xfId="0"/>
    <cellStyle name="Normal 6 2 9 2 2 2 4" xfId="0"/>
    <cellStyle name="Normal 6 2 9 2 2 3" xfId="0"/>
    <cellStyle name="Normal 6 2 9 2 2 3 2" xfId="0"/>
    <cellStyle name="Normal 6 2 9 2 2 3 2 2" xfId="0"/>
    <cellStyle name="Normal 6 2 9 2 2 3 3" xfId="0"/>
    <cellStyle name="Normal 6 2 9 2 2 4" xfId="0"/>
    <cellStyle name="Normal 6 2 9 2 2 4 2" xfId="0"/>
    <cellStyle name="Normal 6 2 9 2 2 5" xfId="0"/>
    <cellStyle name="Normal 6 2 9 2 3" xfId="0"/>
    <cellStyle name="Normal 6 2 9 2 3 2" xfId="0"/>
    <cellStyle name="Normal 6 2 9 2 3 2 2" xfId="0"/>
    <cellStyle name="Normal 6 2 9 2 3 2 2 2" xfId="0"/>
    <cellStyle name="Normal 6 2 9 2 3 2 3" xfId="0"/>
    <cellStyle name="Normal 6 2 9 2 3 3" xfId="0"/>
    <cellStyle name="Normal 6 2 9 2 3 3 2" xfId="0"/>
    <cellStyle name="Normal 6 2 9 2 3 4" xfId="0"/>
    <cellStyle name="Normal 6 2 9 2 4" xfId="0"/>
    <cellStyle name="Normal 6 2 9 2 4 2" xfId="0"/>
    <cellStyle name="Normal 6 2 9 2 4 2 2" xfId="0"/>
    <cellStyle name="Normal 6 2 9 2 4 3" xfId="0"/>
    <cellStyle name="Normal 6 2 9 2 5" xfId="0"/>
    <cellStyle name="Normal 6 2 9 2 5 2" xfId="0"/>
    <cellStyle name="Normal 6 2 9 2 6" xfId="0"/>
    <cellStyle name="Normal 6 2 9 3" xfId="0"/>
    <cellStyle name="Normal 6 2 9 3 2" xfId="0"/>
    <cellStyle name="Normal 6 2 9 3 2 2" xfId="0"/>
    <cellStyle name="Normal 6 2 9 3 2 2 2" xfId="0"/>
    <cellStyle name="Normal 6 2 9 3 2 2 2 2" xfId="0"/>
    <cellStyle name="Normal 6 2 9 3 2 2 3" xfId="0"/>
    <cellStyle name="Normal 6 2 9 3 2 3" xfId="0"/>
    <cellStyle name="Normal 6 2 9 3 2 3 2" xfId="0"/>
    <cellStyle name="Normal 6 2 9 3 2 4" xfId="0"/>
    <cellStyle name="Normal 6 2 9 3 3" xfId="0"/>
    <cellStyle name="Normal 6 2 9 3 3 2" xfId="0"/>
    <cellStyle name="Normal 6 2 9 3 3 2 2" xfId="0"/>
    <cellStyle name="Normal 6 2 9 3 3 3" xfId="0"/>
    <cellStyle name="Normal 6 2 9 3 4" xfId="0"/>
    <cellStyle name="Normal 6 2 9 3 4 2" xfId="0"/>
    <cellStyle name="Normal 6 2 9 3 5" xfId="0"/>
    <cellStyle name="Normal 6 2 9 4" xfId="0"/>
    <cellStyle name="Normal 6 2 9 4 2" xfId="0"/>
    <cellStyle name="Normal 6 2 9 4 2 2" xfId="0"/>
    <cellStyle name="Normal 6 2 9 4 2 2 2" xfId="0"/>
    <cellStyle name="Normal 6 2 9 4 2 3" xfId="0"/>
    <cellStyle name="Normal 6 2 9 4 3" xfId="0"/>
    <cellStyle name="Normal 6 2 9 4 3 2" xfId="0"/>
    <cellStyle name="Normal 6 2 9 4 4" xfId="0"/>
    <cellStyle name="Normal 6 2 9 5" xfId="0"/>
    <cellStyle name="Normal 6 2 9 5 2" xfId="0"/>
    <cellStyle name="Normal 6 2 9 5 2 2" xfId="0"/>
    <cellStyle name="Normal 6 2 9 5 3" xfId="0"/>
    <cellStyle name="Normal 6 2 9 6" xfId="0"/>
    <cellStyle name="Normal 6 2 9 6 2" xfId="0"/>
    <cellStyle name="Normal 6 2 9 7" xfId="0"/>
    <cellStyle name="Normal 6 20" xfId="0"/>
    <cellStyle name="Normal 6 21" xfId="0"/>
    <cellStyle name="Normal 6 22" xfId="0"/>
    <cellStyle name="Normal 6 23" xfId="0"/>
    <cellStyle name="Normal 6 24" xfId="0"/>
    <cellStyle name="Normal 6 25" xfId="0"/>
    <cellStyle name="Normal 6 26" xfId="0"/>
    <cellStyle name="Normal 6 27" xfId="0"/>
    <cellStyle name="Normal 6 28" xfId="0"/>
    <cellStyle name="Normal 6 29" xfId="0"/>
    <cellStyle name="Normal 6 3" xfId="0"/>
    <cellStyle name="Normal 6 3 2" xfId="0"/>
    <cellStyle name="Normal 6 3 2 2" xfId="0"/>
    <cellStyle name="Normal 6 3 3" xfId="0"/>
    <cellStyle name="Normal 6 30" xfId="0"/>
    <cellStyle name="Normal 6 31" xfId="0"/>
    <cellStyle name="Normal 6 32" xfId="0"/>
    <cellStyle name="Normal 6 33" xfId="0"/>
    <cellStyle name="Normal 6 34" xfId="0"/>
    <cellStyle name="Normal 6 35" xfId="0"/>
    <cellStyle name="Normal 6 36" xfId="0"/>
    <cellStyle name="Normal 6 37" xfId="0"/>
    <cellStyle name="Normal 6 38" xfId="0"/>
    <cellStyle name="Normal 6 39" xfId="0"/>
    <cellStyle name="Normal 6 4" xfId="0"/>
    <cellStyle name="Normal 6 4 10" xfId="0"/>
    <cellStyle name="Normal 6 4 10 2" xfId="0"/>
    <cellStyle name="Normal 6 4 10 2 2" xfId="0"/>
    <cellStyle name="Normal 6 4 10 2 2 2" xfId="0"/>
    <cellStyle name="Normal 6 4 10 2 2 2 2" xfId="0"/>
    <cellStyle name="Normal 6 4 10 2 2 2 2 2" xfId="0"/>
    <cellStyle name="Normal 6 4 10 2 2 2 3" xfId="0"/>
    <cellStyle name="Normal 6 4 10 2 2 3" xfId="0"/>
    <cellStyle name="Normal 6 4 10 2 2 3 2" xfId="0"/>
    <cellStyle name="Normal 6 4 10 2 2 4" xfId="0"/>
    <cellStyle name="Normal 6 4 10 2 3" xfId="0"/>
    <cellStyle name="Normal 6 4 10 2 3 2" xfId="0"/>
    <cellStyle name="Normal 6 4 10 2 3 2 2" xfId="0"/>
    <cellStyle name="Normal 6 4 10 2 3 3" xfId="0"/>
    <cellStyle name="Normal 6 4 10 2 4" xfId="0"/>
    <cellStyle name="Normal 6 4 10 2 4 2" xfId="0"/>
    <cellStyle name="Normal 6 4 10 2 5" xfId="0"/>
    <cellStyle name="Normal 6 4 10 3" xfId="0"/>
    <cellStyle name="Normal 6 4 10 3 2" xfId="0"/>
    <cellStyle name="Normal 6 4 10 3 2 2" xfId="0"/>
    <cellStyle name="Normal 6 4 10 3 2 2 2" xfId="0"/>
    <cellStyle name="Normal 6 4 10 3 2 3" xfId="0"/>
    <cellStyle name="Normal 6 4 10 3 3" xfId="0"/>
    <cellStyle name="Normal 6 4 10 3 3 2" xfId="0"/>
    <cellStyle name="Normal 6 4 10 3 4" xfId="0"/>
    <cellStyle name="Normal 6 4 10 4" xfId="0"/>
    <cellStyle name="Normal 6 4 10 4 2" xfId="0"/>
    <cellStyle name="Normal 6 4 10 4 2 2" xfId="0"/>
    <cellStyle name="Normal 6 4 10 4 3" xfId="0"/>
    <cellStyle name="Normal 6 4 10 5" xfId="0"/>
    <cellStyle name="Normal 6 4 10 5 2" xfId="0"/>
    <cellStyle name="Normal 6 4 10 6" xfId="0"/>
    <cellStyle name="Normal 6 4 11" xfId="0"/>
    <cellStyle name="Normal 6 4 11 2" xfId="0"/>
    <cellStyle name="Normal 6 4 11 2 2" xfId="0"/>
    <cellStyle name="Normal 6 4 11 2 2 2" xfId="0"/>
    <cellStyle name="Normal 6 4 11 2 2 2 2" xfId="0"/>
    <cellStyle name="Normal 6 4 11 2 2 3" xfId="0"/>
    <cellStyle name="Normal 6 4 11 2 3" xfId="0"/>
    <cellStyle name="Normal 6 4 11 2 3 2" xfId="0"/>
    <cellStyle name="Normal 6 4 11 2 4" xfId="0"/>
    <cellStyle name="Normal 6 4 11 3" xfId="0"/>
    <cellStyle name="Normal 6 4 11 3 2" xfId="0"/>
    <cellStyle name="Normal 6 4 11 3 2 2" xfId="0"/>
    <cellStyle name="Normal 6 4 11 3 3" xfId="0"/>
    <cellStyle name="Normal 6 4 11 4" xfId="0"/>
    <cellStyle name="Normal 6 4 11 4 2" xfId="0"/>
    <cellStyle name="Normal 6 4 11 5" xfId="0"/>
    <cellStyle name="Normal 6 4 12" xfId="0"/>
    <cellStyle name="Normal 6 4 12 2" xfId="0"/>
    <cellStyle name="Normal 6 4 12 2 2" xfId="0"/>
    <cellStyle name="Normal 6 4 12 2 2 2" xfId="0"/>
    <cellStyle name="Normal 6 4 12 2 3" xfId="0"/>
    <cellStyle name="Normal 6 4 12 3" xfId="0"/>
    <cellStyle name="Normal 6 4 12 3 2" xfId="0"/>
    <cellStyle name="Normal 6 4 12 4" xfId="0"/>
    <cellStyle name="Normal 6 4 13" xfId="0"/>
    <cellStyle name="Normal 6 4 13 2" xfId="0"/>
    <cellStyle name="Normal 6 4 13 2 2" xfId="0"/>
    <cellStyle name="Normal 6 4 13 3" xfId="0"/>
    <cellStyle name="Normal 6 4 14" xfId="0"/>
    <cellStyle name="Normal 6 4 14 2" xfId="0"/>
    <cellStyle name="Normal 6 4 15" xfId="0"/>
    <cellStyle name="Normal 6 4 16" xfId="0"/>
    <cellStyle name="Normal 6 4 2" xfId="0"/>
    <cellStyle name="Normal 6 4 2 2" xfId="0"/>
    <cellStyle name="Normal 6 4 3" xfId="0"/>
    <cellStyle name="Normal 6 4 3 10" xfId="0"/>
    <cellStyle name="Normal 6 4 3 10 2" xfId="0"/>
    <cellStyle name="Normal 6 4 3 10 2 2" xfId="0"/>
    <cellStyle name="Normal 6 4 3 10 3" xfId="0"/>
    <cellStyle name="Normal 6 4 3 11" xfId="0"/>
    <cellStyle name="Normal 6 4 3 11 2" xfId="0"/>
    <cellStyle name="Normal 6 4 3 12" xfId="0"/>
    <cellStyle name="Normal 6 4 3 2" xfId="0"/>
    <cellStyle name="Normal 6 4 3 2 10" xfId="0"/>
    <cellStyle name="Normal 6 4 3 2 10 2" xfId="0"/>
    <cellStyle name="Normal 6 4 3 2 11" xfId="0"/>
    <cellStyle name="Normal 6 4 3 2 2" xfId="0"/>
    <cellStyle name="Normal 6 4 3 2 2 2" xfId="0"/>
    <cellStyle name="Normal 6 4 3 2 2 2 2" xfId="0"/>
    <cellStyle name="Normal 6 4 3 2 2 2 2 2" xfId="0"/>
    <cellStyle name="Normal 6 4 3 2 2 2 2 2 2" xfId="0"/>
    <cellStyle name="Normal 6 4 3 2 2 2 2 2 2 2" xfId="0"/>
    <cellStyle name="Normal 6 4 3 2 2 2 2 2 2 2 2" xfId="0"/>
    <cellStyle name="Normal 6 4 3 2 2 2 2 2 2 2 2 2" xfId="0"/>
    <cellStyle name="Normal 6 4 3 2 2 2 2 2 2 2 3" xfId="0"/>
    <cellStyle name="Normal 6 4 3 2 2 2 2 2 2 3" xfId="0"/>
    <cellStyle name="Normal 6 4 3 2 2 2 2 2 2 3 2" xfId="0"/>
    <cellStyle name="Normal 6 4 3 2 2 2 2 2 2 4" xfId="0"/>
    <cellStyle name="Normal 6 4 3 2 2 2 2 2 3" xfId="0"/>
    <cellStyle name="Normal 6 4 3 2 2 2 2 2 3 2" xfId="0"/>
    <cellStyle name="Normal 6 4 3 2 2 2 2 2 3 2 2" xfId="0"/>
    <cellStyle name="Normal 6 4 3 2 2 2 2 2 3 3" xfId="0"/>
    <cellStyle name="Normal 6 4 3 2 2 2 2 2 4" xfId="0"/>
    <cellStyle name="Normal 6 4 3 2 2 2 2 2 4 2" xfId="0"/>
    <cellStyle name="Normal 6 4 3 2 2 2 2 2 5" xfId="0"/>
    <cellStyle name="Normal 6 4 3 2 2 2 2 3" xfId="0"/>
    <cellStyle name="Normal 6 4 3 2 2 2 2 3 2" xfId="0"/>
    <cellStyle name="Normal 6 4 3 2 2 2 2 3 2 2" xfId="0"/>
    <cellStyle name="Normal 6 4 3 2 2 2 2 3 2 2 2" xfId="0"/>
    <cellStyle name="Normal 6 4 3 2 2 2 2 3 2 3" xfId="0"/>
    <cellStyle name="Normal 6 4 3 2 2 2 2 3 3" xfId="0"/>
    <cellStyle name="Normal 6 4 3 2 2 2 2 3 3 2" xfId="0"/>
    <cellStyle name="Normal 6 4 3 2 2 2 2 3 4" xfId="0"/>
    <cellStyle name="Normal 6 4 3 2 2 2 2 4" xfId="0"/>
    <cellStyle name="Normal 6 4 3 2 2 2 2 4 2" xfId="0"/>
    <cellStyle name="Normal 6 4 3 2 2 2 2 4 2 2" xfId="0"/>
    <cellStyle name="Normal 6 4 3 2 2 2 2 4 3" xfId="0"/>
    <cellStyle name="Normal 6 4 3 2 2 2 2 5" xfId="0"/>
    <cellStyle name="Normal 6 4 3 2 2 2 2 5 2" xfId="0"/>
    <cellStyle name="Normal 6 4 3 2 2 2 2 6" xfId="0"/>
    <cellStyle name="Normal 6 4 3 2 2 2 3" xfId="0"/>
    <cellStyle name="Normal 6 4 3 2 2 2 3 2" xfId="0"/>
    <cellStyle name="Normal 6 4 3 2 2 2 3 2 2" xfId="0"/>
    <cellStyle name="Normal 6 4 3 2 2 2 3 2 2 2" xfId="0"/>
    <cellStyle name="Normal 6 4 3 2 2 2 3 2 2 2 2" xfId="0"/>
    <cellStyle name="Normal 6 4 3 2 2 2 3 2 2 3" xfId="0"/>
    <cellStyle name="Normal 6 4 3 2 2 2 3 2 3" xfId="0"/>
    <cellStyle name="Normal 6 4 3 2 2 2 3 2 3 2" xfId="0"/>
    <cellStyle name="Normal 6 4 3 2 2 2 3 2 4" xfId="0"/>
    <cellStyle name="Normal 6 4 3 2 2 2 3 3" xfId="0"/>
    <cellStyle name="Normal 6 4 3 2 2 2 3 3 2" xfId="0"/>
    <cellStyle name="Normal 6 4 3 2 2 2 3 3 2 2" xfId="0"/>
    <cellStyle name="Normal 6 4 3 2 2 2 3 3 3" xfId="0"/>
    <cellStyle name="Normal 6 4 3 2 2 2 3 4" xfId="0"/>
    <cellStyle name="Normal 6 4 3 2 2 2 3 4 2" xfId="0"/>
    <cellStyle name="Normal 6 4 3 2 2 2 3 5" xfId="0"/>
    <cellStyle name="Normal 6 4 3 2 2 2 4" xfId="0"/>
    <cellStyle name="Normal 6 4 3 2 2 2 4 2" xfId="0"/>
    <cellStyle name="Normal 6 4 3 2 2 2 4 2 2" xfId="0"/>
    <cellStyle name="Normal 6 4 3 2 2 2 4 2 2 2" xfId="0"/>
    <cellStyle name="Normal 6 4 3 2 2 2 4 2 3" xfId="0"/>
    <cellStyle name="Normal 6 4 3 2 2 2 4 3" xfId="0"/>
    <cellStyle name="Normal 6 4 3 2 2 2 4 3 2" xfId="0"/>
    <cellStyle name="Normal 6 4 3 2 2 2 4 4" xfId="0"/>
    <cellStyle name="Normal 6 4 3 2 2 2 5" xfId="0"/>
    <cellStyle name="Normal 6 4 3 2 2 2 5 2" xfId="0"/>
    <cellStyle name="Normal 6 4 3 2 2 2 5 2 2" xfId="0"/>
    <cellStyle name="Normal 6 4 3 2 2 2 5 3" xfId="0"/>
    <cellStyle name="Normal 6 4 3 2 2 2 6" xfId="0"/>
    <cellStyle name="Normal 6 4 3 2 2 2 6 2" xfId="0"/>
    <cellStyle name="Normal 6 4 3 2 2 2 7" xfId="0"/>
    <cellStyle name="Normal 6 4 3 2 2 3" xfId="0"/>
    <cellStyle name="Normal 6 4 3 2 2 3 2" xfId="0"/>
    <cellStyle name="Normal 6 4 3 2 2 3 2 2" xfId="0"/>
    <cellStyle name="Normal 6 4 3 2 2 3 2 2 2" xfId="0"/>
    <cellStyle name="Normal 6 4 3 2 2 3 2 2 2 2" xfId="0"/>
    <cellStyle name="Normal 6 4 3 2 2 3 2 2 2 2 2" xfId="0"/>
    <cellStyle name="Normal 6 4 3 2 2 3 2 2 2 3" xfId="0"/>
    <cellStyle name="Normal 6 4 3 2 2 3 2 2 3" xfId="0"/>
    <cellStyle name="Normal 6 4 3 2 2 3 2 2 3 2" xfId="0"/>
    <cellStyle name="Normal 6 4 3 2 2 3 2 2 4" xfId="0"/>
    <cellStyle name="Normal 6 4 3 2 2 3 2 3" xfId="0"/>
    <cellStyle name="Normal 6 4 3 2 2 3 2 3 2" xfId="0"/>
    <cellStyle name="Normal 6 4 3 2 2 3 2 3 2 2" xfId="0"/>
    <cellStyle name="Normal 6 4 3 2 2 3 2 3 3" xfId="0"/>
    <cellStyle name="Normal 6 4 3 2 2 3 2 4" xfId="0"/>
    <cellStyle name="Normal 6 4 3 2 2 3 2 4 2" xfId="0"/>
    <cellStyle name="Normal 6 4 3 2 2 3 2 5" xfId="0"/>
    <cellStyle name="Normal 6 4 3 2 2 3 3" xfId="0"/>
    <cellStyle name="Normal 6 4 3 2 2 3 3 2" xfId="0"/>
    <cellStyle name="Normal 6 4 3 2 2 3 3 2 2" xfId="0"/>
    <cellStyle name="Normal 6 4 3 2 2 3 3 2 2 2" xfId="0"/>
    <cellStyle name="Normal 6 4 3 2 2 3 3 2 3" xfId="0"/>
    <cellStyle name="Normal 6 4 3 2 2 3 3 3" xfId="0"/>
    <cellStyle name="Normal 6 4 3 2 2 3 3 3 2" xfId="0"/>
    <cellStyle name="Normal 6 4 3 2 2 3 3 4" xfId="0"/>
    <cellStyle name="Normal 6 4 3 2 2 3 4" xfId="0"/>
    <cellStyle name="Normal 6 4 3 2 2 3 4 2" xfId="0"/>
    <cellStyle name="Normal 6 4 3 2 2 3 4 2 2" xfId="0"/>
    <cellStyle name="Normal 6 4 3 2 2 3 4 3" xfId="0"/>
    <cellStyle name="Normal 6 4 3 2 2 3 5" xfId="0"/>
    <cellStyle name="Normal 6 4 3 2 2 3 5 2" xfId="0"/>
    <cellStyle name="Normal 6 4 3 2 2 3 6" xfId="0"/>
    <cellStyle name="Normal 6 4 3 2 2 4" xfId="0"/>
    <cellStyle name="Normal 6 4 3 2 2 4 2" xfId="0"/>
    <cellStyle name="Normal 6 4 3 2 2 4 2 2" xfId="0"/>
    <cellStyle name="Normal 6 4 3 2 2 4 2 2 2" xfId="0"/>
    <cellStyle name="Normal 6 4 3 2 2 4 2 2 2 2" xfId="0"/>
    <cellStyle name="Normal 6 4 3 2 2 4 2 2 3" xfId="0"/>
    <cellStyle name="Normal 6 4 3 2 2 4 2 3" xfId="0"/>
    <cellStyle name="Normal 6 4 3 2 2 4 2 3 2" xfId="0"/>
    <cellStyle name="Normal 6 4 3 2 2 4 2 4" xfId="0"/>
    <cellStyle name="Normal 6 4 3 2 2 4 3" xfId="0"/>
    <cellStyle name="Normal 6 4 3 2 2 4 3 2" xfId="0"/>
    <cellStyle name="Normal 6 4 3 2 2 4 3 2 2" xfId="0"/>
    <cellStyle name="Normal 6 4 3 2 2 4 3 3" xfId="0"/>
    <cellStyle name="Normal 6 4 3 2 2 4 4" xfId="0"/>
    <cellStyle name="Normal 6 4 3 2 2 4 4 2" xfId="0"/>
    <cellStyle name="Normal 6 4 3 2 2 4 5" xfId="0"/>
    <cellStyle name="Normal 6 4 3 2 2 5" xfId="0"/>
    <cellStyle name="Normal 6 4 3 2 2 5 2" xfId="0"/>
    <cellStyle name="Normal 6 4 3 2 2 5 2 2" xfId="0"/>
    <cellStyle name="Normal 6 4 3 2 2 5 2 2 2" xfId="0"/>
    <cellStyle name="Normal 6 4 3 2 2 5 2 3" xfId="0"/>
    <cellStyle name="Normal 6 4 3 2 2 5 3" xfId="0"/>
    <cellStyle name="Normal 6 4 3 2 2 5 3 2" xfId="0"/>
    <cellStyle name="Normal 6 4 3 2 2 5 4" xfId="0"/>
    <cellStyle name="Normal 6 4 3 2 2 6" xfId="0"/>
    <cellStyle name="Normal 6 4 3 2 2 6 2" xfId="0"/>
    <cellStyle name="Normal 6 4 3 2 2 6 2 2" xfId="0"/>
    <cellStyle name="Normal 6 4 3 2 2 6 3" xfId="0"/>
    <cellStyle name="Normal 6 4 3 2 2 7" xfId="0"/>
    <cellStyle name="Normal 6 4 3 2 2 7 2" xfId="0"/>
    <cellStyle name="Normal 6 4 3 2 2 8" xfId="0"/>
    <cellStyle name="Normal 6 4 3 2 3" xfId="0"/>
    <cellStyle name="Normal 6 4 3 2 3 2" xfId="0"/>
    <cellStyle name="Normal 6 4 3 2 3 2 2" xfId="0"/>
    <cellStyle name="Normal 6 4 3 2 3 2 2 2" xfId="0"/>
    <cellStyle name="Normal 6 4 3 2 3 2 2 2 2" xfId="0"/>
    <cellStyle name="Normal 6 4 3 2 3 2 2 2 2 2" xfId="0"/>
    <cellStyle name="Normal 6 4 3 2 3 2 2 2 2 2 2" xfId="0"/>
    <cellStyle name="Normal 6 4 3 2 3 2 2 2 2 2 2 2" xfId="0"/>
    <cellStyle name="Normal 6 4 3 2 3 2 2 2 2 2 3" xfId="0"/>
    <cellStyle name="Normal 6 4 3 2 3 2 2 2 2 3" xfId="0"/>
    <cellStyle name="Normal 6 4 3 2 3 2 2 2 2 3 2" xfId="0"/>
    <cellStyle name="Normal 6 4 3 2 3 2 2 2 2 4" xfId="0"/>
    <cellStyle name="Normal 6 4 3 2 3 2 2 2 3" xfId="0"/>
    <cellStyle name="Normal 6 4 3 2 3 2 2 2 3 2" xfId="0"/>
    <cellStyle name="Normal 6 4 3 2 3 2 2 2 3 2 2" xfId="0"/>
    <cellStyle name="Normal 6 4 3 2 3 2 2 2 3 3" xfId="0"/>
    <cellStyle name="Normal 6 4 3 2 3 2 2 2 4" xfId="0"/>
    <cellStyle name="Normal 6 4 3 2 3 2 2 2 4 2" xfId="0"/>
    <cellStyle name="Normal 6 4 3 2 3 2 2 2 5" xfId="0"/>
    <cellStyle name="Normal 6 4 3 2 3 2 2 3" xfId="0"/>
    <cellStyle name="Normal 6 4 3 2 3 2 2 3 2" xfId="0"/>
    <cellStyle name="Normal 6 4 3 2 3 2 2 3 2 2" xfId="0"/>
    <cellStyle name="Normal 6 4 3 2 3 2 2 3 2 2 2" xfId="0"/>
    <cellStyle name="Normal 6 4 3 2 3 2 2 3 2 3" xfId="0"/>
    <cellStyle name="Normal 6 4 3 2 3 2 2 3 3" xfId="0"/>
    <cellStyle name="Normal 6 4 3 2 3 2 2 3 3 2" xfId="0"/>
    <cellStyle name="Normal 6 4 3 2 3 2 2 3 4" xfId="0"/>
    <cellStyle name="Normal 6 4 3 2 3 2 2 4" xfId="0"/>
    <cellStyle name="Normal 6 4 3 2 3 2 2 4 2" xfId="0"/>
    <cellStyle name="Normal 6 4 3 2 3 2 2 4 2 2" xfId="0"/>
    <cellStyle name="Normal 6 4 3 2 3 2 2 4 3" xfId="0"/>
    <cellStyle name="Normal 6 4 3 2 3 2 2 5" xfId="0"/>
    <cellStyle name="Normal 6 4 3 2 3 2 2 5 2" xfId="0"/>
    <cellStyle name="Normal 6 4 3 2 3 2 2 6" xfId="0"/>
    <cellStyle name="Normal 6 4 3 2 3 2 3" xfId="0"/>
    <cellStyle name="Normal 6 4 3 2 3 2 3 2" xfId="0"/>
    <cellStyle name="Normal 6 4 3 2 3 2 3 2 2" xfId="0"/>
    <cellStyle name="Normal 6 4 3 2 3 2 3 2 2 2" xfId="0"/>
    <cellStyle name="Normal 6 4 3 2 3 2 3 2 2 2 2" xfId="0"/>
    <cellStyle name="Normal 6 4 3 2 3 2 3 2 2 3" xfId="0"/>
    <cellStyle name="Normal 6 4 3 2 3 2 3 2 3" xfId="0"/>
    <cellStyle name="Normal 6 4 3 2 3 2 3 2 3 2" xfId="0"/>
    <cellStyle name="Normal 6 4 3 2 3 2 3 2 4" xfId="0"/>
    <cellStyle name="Normal 6 4 3 2 3 2 3 3" xfId="0"/>
    <cellStyle name="Normal 6 4 3 2 3 2 3 3 2" xfId="0"/>
    <cellStyle name="Normal 6 4 3 2 3 2 3 3 2 2" xfId="0"/>
    <cellStyle name="Normal 6 4 3 2 3 2 3 3 3" xfId="0"/>
    <cellStyle name="Normal 6 4 3 2 3 2 3 4" xfId="0"/>
    <cellStyle name="Normal 6 4 3 2 3 2 3 4 2" xfId="0"/>
    <cellStyle name="Normal 6 4 3 2 3 2 3 5" xfId="0"/>
    <cellStyle name="Normal 6 4 3 2 3 2 4" xfId="0"/>
    <cellStyle name="Normal 6 4 3 2 3 2 4 2" xfId="0"/>
    <cellStyle name="Normal 6 4 3 2 3 2 4 2 2" xfId="0"/>
    <cellStyle name="Normal 6 4 3 2 3 2 4 2 2 2" xfId="0"/>
    <cellStyle name="Normal 6 4 3 2 3 2 4 2 3" xfId="0"/>
    <cellStyle name="Normal 6 4 3 2 3 2 4 3" xfId="0"/>
    <cellStyle name="Normal 6 4 3 2 3 2 4 3 2" xfId="0"/>
    <cellStyle name="Normal 6 4 3 2 3 2 4 4" xfId="0"/>
    <cellStyle name="Normal 6 4 3 2 3 2 5" xfId="0"/>
    <cellStyle name="Normal 6 4 3 2 3 2 5 2" xfId="0"/>
    <cellStyle name="Normal 6 4 3 2 3 2 5 2 2" xfId="0"/>
    <cellStyle name="Normal 6 4 3 2 3 2 5 3" xfId="0"/>
    <cellStyle name="Normal 6 4 3 2 3 2 6" xfId="0"/>
    <cellStyle name="Normal 6 4 3 2 3 2 6 2" xfId="0"/>
    <cellStyle name="Normal 6 4 3 2 3 2 7" xfId="0"/>
    <cellStyle name="Normal 6 4 3 2 3 3" xfId="0"/>
    <cellStyle name="Normal 6 4 3 2 3 3 2" xfId="0"/>
    <cellStyle name="Normal 6 4 3 2 3 3 2 2" xfId="0"/>
    <cellStyle name="Normal 6 4 3 2 3 3 2 2 2" xfId="0"/>
    <cellStyle name="Normal 6 4 3 2 3 3 2 2 2 2" xfId="0"/>
    <cellStyle name="Normal 6 4 3 2 3 3 2 2 2 2 2" xfId="0"/>
    <cellStyle name="Normal 6 4 3 2 3 3 2 2 2 3" xfId="0"/>
    <cellStyle name="Normal 6 4 3 2 3 3 2 2 3" xfId="0"/>
    <cellStyle name="Normal 6 4 3 2 3 3 2 2 3 2" xfId="0"/>
    <cellStyle name="Normal 6 4 3 2 3 3 2 2 4" xfId="0"/>
    <cellStyle name="Normal 6 4 3 2 3 3 2 3" xfId="0"/>
    <cellStyle name="Normal 6 4 3 2 3 3 2 3 2" xfId="0"/>
    <cellStyle name="Normal 6 4 3 2 3 3 2 3 2 2" xfId="0"/>
    <cellStyle name="Normal 6 4 3 2 3 3 2 3 3" xfId="0"/>
    <cellStyle name="Normal 6 4 3 2 3 3 2 4" xfId="0"/>
    <cellStyle name="Normal 6 4 3 2 3 3 2 4 2" xfId="0"/>
    <cellStyle name="Normal 6 4 3 2 3 3 2 5" xfId="0"/>
    <cellStyle name="Normal 6 4 3 2 3 3 3" xfId="0"/>
    <cellStyle name="Normal 6 4 3 2 3 3 3 2" xfId="0"/>
    <cellStyle name="Normal 6 4 3 2 3 3 3 2 2" xfId="0"/>
    <cellStyle name="Normal 6 4 3 2 3 3 3 2 2 2" xfId="0"/>
    <cellStyle name="Normal 6 4 3 2 3 3 3 2 3" xfId="0"/>
    <cellStyle name="Normal 6 4 3 2 3 3 3 3" xfId="0"/>
    <cellStyle name="Normal 6 4 3 2 3 3 3 3 2" xfId="0"/>
    <cellStyle name="Normal 6 4 3 2 3 3 3 4" xfId="0"/>
    <cellStyle name="Normal 6 4 3 2 3 3 4" xfId="0"/>
    <cellStyle name="Normal 6 4 3 2 3 3 4 2" xfId="0"/>
    <cellStyle name="Normal 6 4 3 2 3 3 4 2 2" xfId="0"/>
    <cellStyle name="Normal 6 4 3 2 3 3 4 3" xfId="0"/>
    <cellStyle name="Normal 6 4 3 2 3 3 5" xfId="0"/>
    <cellStyle name="Normal 6 4 3 2 3 3 5 2" xfId="0"/>
    <cellStyle name="Normal 6 4 3 2 3 3 6" xfId="0"/>
    <cellStyle name="Normal 6 4 3 2 3 4" xfId="0"/>
    <cellStyle name="Normal 6 4 3 2 3 4 2" xfId="0"/>
    <cellStyle name="Normal 6 4 3 2 3 4 2 2" xfId="0"/>
    <cellStyle name="Normal 6 4 3 2 3 4 2 2 2" xfId="0"/>
    <cellStyle name="Normal 6 4 3 2 3 4 2 2 2 2" xfId="0"/>
    <cellStyle name="Normal 6 4 3 2 3 4 2 2 3" xfId="0"/>
    <cellStyle name="Normal 6 4 3 2 3 4 2 3" xfId="0"/>
    <cellStyle name="Normal 6 4 3 2 3 4 2 3 2" xfId="0"/>
    <cellStyle name="Normal 6 4 3 2 3 4 2 4" xfId="0"/>
    <cellStyle name="Normal 6 4 3 2 3 4 3" xfId="0"/>
    <cellStyle name="Normal 6 4 3 2 3 4 3 2" xfId="0"/>
    <cellStyle name="Normal 6 4 3 2 3 4 3 2 2" xfId="0"/>
    <cellStyle name="Normal 6 4 3 2 3 4 3 3" xfId="0"/>
    <cellStyle name="Normal 6 4 3 2 3 4 4" xfId="0"/>
    <cellStyle name="Normal 6 4 3 2 3 4 4 2" xfId="0"/>
    <cellStyle name="Normal 6 4 3 2 3 4 5" xfId="0"/>
    <cellStyle name="Normal 6 4 3 2 3 5" xfId="0"/>
    <cellStyle name="Normal 6 4 3 2 3 5 2" xfId="0"/>
    <cellStyle name="Normal 6 4 3 2 3 5 2 2" xfId="0"/>
    <cellStyle name="Normal 6 4 3 2 3 5 2 2 2" xfId="0"/>
    <cellStyle name="Normal 6 4 3 2 3 5 2 3" xfId="0"/>
    <cellStyle name="Normal 6 4 3 2 3 5 3" xfId="0"/>
    <cellStyle name="Normal 6 4 3 2 3 5 3 2" xfId="0"/>
    <cellStyle name="Normal 6 4 3 2 3 5 4" xfId="0"/>
    <cellStyle name="Normal 6 4 3 2 3 6" xfId="0"/>
    <cellStyle name="Normal 6 4 3 2 3 6 2" xfId="0"/>
    <cellStyle name="Normal 6 4 3 2 3 6 2 2" xfId="0"/>
    <cellStyle name="Normal 6 4 3 2 3 6 3" xfId="0"/>
    <cellStyle name="Normal 6 4 3 2 3 7" xfId="0"/>
    <cellStyle name="Normal 6 4 3 2 3 7 2" xfId="0"/>
    <cellStyle name="Normal 6 4 3 2 3 8" xfId="0"/>
    <cellStyle name="Normal 6 4 3 2 4" xfId="0"/>
    <cellStyle name="Normal 6 4 3 2 4 2" xfId="0"/>
    <cellStyle name="Normal 6 4 3 2 4 2 2" xfId="0"/>
    <cellStyle name="Normal 6 4 3 2 4 2 2 2" xfId="0"/>
    <cellStyle name="Normal 6 4 3 2 4 2 2 2 2" xfId="0"/>
    <cellStyle name="Normal 6 4 3 2 4 2 2 2 2 2" xfId="0"/>
    <cellStyle name="Normal 6 4 3 2 4 2 2 2 2 2 2" xfId="0"/>
    <cellStyle name="Normal 6 4 3 2 4 2 2 2 2 3" xfId="0"/>
    <cellStyle name="Normal 6 4 3 2 4 2 2 2 3" xfId="0"/>
    <cellStyle name="Normal 6 4 3 2 4 2 2 2 3 2" xfId="0"/>
    <cellStyle name="Normal 6 4 3 2 4 2 2 2 4" xfId="0"/>
    <cellStyle name="Normal 6 4 3 2 4 2 2 3" xfId="0"/>
    <cellStyle name="Normal 6 4 3 2 4 2 2 3 2" xfId="0"/>
    <cellStyle name="Normal 6 4 3 2 4 2 2 3 2 2" xfId="0"/>
    <cellStyle name="Normal 6 4 3 2 4 2 2 3 3" xfId="0"/>
    <cellStyle name="Normal 6 4 3 2 4 2 2 4" xfId="0"/>
    <cellStyle name="Normal 6 4 3 2 4 2 2 4 2" xfId="0"/>
    <cellStyle name="Normal 6 4 3 2 4 2 2 5" xfId="0"/>
    <cellStyle name="Normal 6 4 3 2 4 2 3" xfId="0"/>
    <cellStyle name="Normal 6 4 3 2 4 2 3 2" xfId="0"/>
    <cellStyle name="Normal 6 4 3 2 4 2 3 2 2" xfId="0"/>
    <cellStyle name="Normal 6 4 3 2 4 2 3 2 2 2" xfId="0"/>
    <cellStyle name="Normal 6 4 3 2 4 2 3 2 3" xfId="0"/>
    <cellStyle name="Normal 6 4 3 2 4 2 3 3" xfId="0"/>
    <cellStyle name="Normal 6 4 3 2 4 2 3 3 2" xfId="0"/>
    <cellStyle name="Normal 6 4 3 2 4 2 3 4" xfId="0"/>
    <cellStyle name="Normal 6 4 3 2 4 2 4" xfId="0"/>
    <cellStyle name="Normal 6 4 3 2 4 2 4 2" xfId="0"/>
    <cellStyle name="Normal 6 4 3 2 4 2 4 2 2" xfId="0"/>
    <cellStyle name="Normal 6 4 3 2 4 2 4 3" xfId="0"/>
    <cellStyle name="Normal 6 4 3 2 4 2 5" xfId="0"/>
    <cellStyle name="Normal 6 4 3 2 4 2 5 2" xfId="0"/>
    <cellStyle name="Normal 6 4 3 2 4 2 6" xfId="0"/>
    <cellStyle name="Normal 6 4 3 2 4 3" xfId="0"/>
    <cellStyle name="Normal 6 4 3 2 4 3 2" xfId="0"/>
    <cellStyle name="Normal 6 4 3 2 4 3 2 2" xfId="0"/>
    <cellStyle name="Normal 6 4 3 2 4 3 2 2 2" xfId="0"/>
    <cellStyle name="Normal 6 4 3 2 4 3 2 2 2 2" xfId="0"/>
    <cellStyle name="Normal 6 4 3 2 4 3 2 2 3" xfId="0"/>
    <cellStyle name="Normal 6 4 3 2 4 3 2 3" xfId="0"/>
    <cellStyle name="Normal 6 4 3 2 4 3 2 3 2" xfId="0"/>
    <cellStyle name="Normal 6 4 3 2 4 3 2 4" xfId="0"/>
    <cellStyle name="Normal 6 4 3 2 4 3 3" xfId="0"/>
    <cellStyle name="Normal 6 4 3 2 4 3 3 2" xfId="0"/>
    <cellStyle name="Normal 6 4 3 2 4 3 3 2 2" xfId="0"/>
    <cellStyle name="Normal 6 4 3 2 4 3 3 3" xfId="0"/>
    <cellStyle name="Normal 6 4 3 2 4 3 4" xfId="0"/>
    <cellStyle name="Normal 6 4 3 2 4 3 4 2" xfId="0"/>
    <cellStyle name="Normal 6 4 3 2 4 3 5" xfId="0"/>
    <cellStyle name="Normal 6 4 3 2 4 4" xfId="0"/>
    <cellStyle name="Normal 6 4 3 2 4 4 2" xfId="0"/>
    <cellStyle name="Normal 6 4 3 2 4 4 2 2" xfId="0"/>
    <cellStyle name="Normal 6 4 3 2 4 4 2 2 2" xfId="0"/>
    <cellStyle name="Normal 6 4 3 2 4 4 2 3" xfId="0"/>
    <cellStyle name="Normal 6 4 3 2 4 4 3" xfId="0"/>
    <cellStyle name="Normal 6 4 3 2 4 4 3 2" xfId="0"/>
    <cellStyle name="Normal 6 4 3 2 4 4 4" xfId="0"/>
    <cellStyle name="Normal 6 4 3 2 4 5" xfId="0"/>
    <cellStyle name="Normal 6 4 3 2 4 5 2" xfId="0"/>
    <cellStyle name="Normal 6 4 3 2 4 5 2 2" xfId="0"/>
    <cellStyle name="Normal 6 4 3 2 4 5 3" xfId="0"/>
    <cellStyle name="Normal 6 4 3 2 4 6" xfId="0"/>
    <cellStyle name="Normal 6 4 3 2 4 6 2" xfId="0"/>
    <cellStyle name="Normal 6 4 3 2 4 7" xfId="0"/>
    <cellStyle name="Normal 6 4 3 2 5" xfId="0"/>
    <cellStyle name="Normal 6 4 3 2 5 2" xfId="0"/>
    <cellStyle name="Normal 6 4 3 2 5 2 2" xfId="0"/>
    <cellStyle name="Normal 6 4 3 2 5 2 2 2" xfId="0"/>
    <cellStyle name="Normal 6 4 3 2 5 2 2 2 2" xfId="0"/>
    <cellStyle name="Normal 6 4 3 2 5 2 2 2 2 2" xfId="0"/>
    <cellStyle name="Normal 6 4 3 2 5 2 2 2 2 2 2" xfId="0"/>
    <cellStyle name="Normal 6 4 3 2 5 2 2 2 2 3" xfId="0"/>
    <cellStyle name="Normal 6 4 3 2 5 2 2 2 3" xfId="0"/>
    <cellStyle name="Normal 6 4 3 2 5 2 2 2 3 2" xfId="0"/>
    <cellStyle name="Normal 6 4 3 2 5 2 2 2 4" xfId="0"/>
    <cellStyle name="Normal 6 4 3 2 5 2 2 3" xfId="0"/>
    <cellStyle name="Normal 6 4 3 2 5 2 2 3 2" xfId="0"/>
    <cellStyle name="Normal 6 4 3 2 5 2 2 3 2 2" xfId="0"/>
    <cellStyle name="Normal 6 4 3 2 5 2 2 3 3" xfId="0"/>
    <cellStyle name="Normal 6 4 3 2 5 2 2 4" xfId="0"/>
    <cellStyle name="Normal 6 4 3 2 5 2 2 4 2" xfId="0"/>
    <cellStyle name="Normal 6 4 3 2 5 2 2 5" xfId="0"/>
    <cellStyle name="Normal 6 4 3 2 5 2 3" xfId="0"/>
    <cellStyle name="Normal 6 4 3 2 5 2 3 2" xfId="0"/>
    <cellStyle name="Normal 6 4 3 2 5 2 3 2 2" xfId="0"/>
    <cellStyle name="Normal 6 4 3 2 5 2 3 2 2 2" xfId="0"/>
    <cellStyle name="Normal 6 4 3 2 5 2 3 2 3" xfId="0"/>
    <cellStyle name="Normal 6 4 3 2 5 2 3 3" xfId="0"/>
    <cellStyle name="Normal 6 4 3 2 5 2 3 3 2" xfId="0"/>
    <cellStyle name="Normal 6 4 3 2 5 2 3 4" xfId="0"/>
    <cellStyle name="Normal 6 4 3 2 5 2 4" xfId="0"/>
    <cellStyle name="Normal 6 4 3 2 5 2 4 2" xfId="0"/>
    <cellStyle name="Normal 6 4 3 2 5 2 4 2 2" xfId="0"/>
    <cellStyle name="Normal 6 4 3 2 5 2 4 3" xfId="0"/>
    <cellStyle name="Normal 6 4 3 2 5 2 5" xfId="0"/>
    <cellStyle name="Normal 6 4 3 2 5 2 5 2" xfId="0"/>
    <cellStyle name="Normal 6 4 3 2 5 2 6" xfId="0"/>
    <cellStyle name="Normal 6 4 3 2 5 3" xfId="0"/>
    <cellStyle name="Normal 6 4 3 2 5 3 2" xfId="0"/>
    <cellStyle name="Normal 6 4 3 2 5 3 2 2" xfId="0"/>
    <cellStyle name="Normal 6 4 3 2 5 3 2 2 2" xfId="0"/>
    <cellStyle name="Normal 6 4 3 2 5 3 2 2 2 2" xfId="0"/>
    <cellStyle name="Normal 6 4 3 2 5 3 2 2 3" xfId="0"/>
    <cellStyle name="Normal 6 4 3 2 5 3 2 3" xfId="0"/>
    <cellStyle name="Normal 6 4 3 2 5 3 2 3 2" xfId="0"/>
    <cellStyle name="Normal 6 4 3 2 5 3 2 4" xfId="0"/>
    <cellStyle name="Normal 6 4 3 2 5 3 3" xfId="0"/>
    <cellStyle name="Normal 6 4 3 2 5 3 3 2" xfId="0"/>
    <cellStyle name="Normal 6 4 3 2 5 3 3 2 2" xfId="0"/>
    <cellStyle name="Normal 6 4 3 2 5 3 3 3" xfId="0"/>
    <cellStyle name="Normal 6 4 3 2 5 3 4" xfId="0"/>
    <cellStyle name="Normal 6 4 3 2 5 3 4 2" xfId="0"/>
    <cellStyle name="Normal 6 4 3 2 5 3 5" xfId="0"/>
    <cellStyle name="Normal 6 4 3 2 5 4" xfId="0"/>
    <cellStyle name="Normal 6 4 3 2 5 4 2" xfId="0"/>
    <cellStyle name="Normal 6 4 3 2 5 4 2 2" xfId="0"/>
    <cellStyle name="Normal 6 4 3 2 5 4 2 2 2" xfId="0"/>
    <cellStyle name="Normal 6 4 3 2 5 4 2 3" xfId="0"/>
    <cellStyle name="Normal 6 4 3 2 5 4 3" xfId="0"/>
    <cellStyle name="Normal 6 4 3 2 5 4 3 2" xfId="0"/>
    <cellStyle name="Normal 6 4 3 2 5 4 4" xfId="0"/>
    <cellStyle name="Normal 6 4 3 2 5 5" xfId="0"/>
    <cellStyle name="Normal 6 4 3 2 5 5 2" xfId="0"/>
    <cellStyle name="Normal 6 4 3 2 5 5 2 2" xfId="0"/>
    <cellStyle name="Normal 6 4 3 2 5 5 3" xfId="0"/>
    <cellStyle name="Normal 6 4 3 2 5 6" xfId="0"/>
    <cellStyle name="Normal 6 4 3 2 5 6 2" xfId="0"/>
    <cellStyle name="Normal 6 4 3 2 5 7" xfId="0"/>
    <cellStyle name="Normal 6 4 3 2 6" xfId="0"/>
    <cellStyle name="Normal 6 4 3 2 6 2" xfId="0"/>
    <cellStyle name="Normal 6 4 3 2 6 2 2" xfId="0"/>
    <cellStyle name="Normal 6 4 3 2 6 2 2 2" xfId="0"/>
    <cellStyle name="Normal 6 4 3 2 6 2 2 2 2" xfId="0"/>
    <cellStyle name="Normal 6 4 3 2 6 2 2 2 2 2" xfId="0"/>
    <cellStyle name="Normal 6 4 3 2 6 2 2 2 3" xfId="0"/>
    <cellStyle name="Normal 6 4 3 2 6 2 2 3" xfId="0"/>
    <cellStyle name="Normal 6 4 3 2 6 2 2 3 2" xfId="0"/>
    <cellStyle name="Normal 6 4 3 2 6 2 2 4" xfId="0"/>
    <cellStyle name="Normal 6 4 3 2 6 2 3" xfId="0"/>
    <cellStyle name="Normal 6 4 3 2 6 2 3 2" xfId="0"/>
    <cellStyle name="Normal 6 4 3 2 6 2 3 2 2" xfId="0"/>
    <cellStyle name="Normal 6 4 3 2 6 2 3 3" xfId="0"/>
    <cellStyle name="Normal 6 4 3 2 6 2 4" xfId="0"/>
    <cellStyle name="Normal 6 4 3 2 6 2 4 2" xfId="0"/>
    <cellStyle name="Normal 6 4 3 2 6 2 5" xfId="0"/>
    <cellStyle name="Normal 6 4 3 2 6 3" xfId="0"/>
    <cellStyle name="Normal 6 4 3 2 6 3 2" xfId="0"/>
    <cellStyle name="Normal 6 4 3 2 6 3 2 2" xfId="0"/>
    <cellStyle name="Normal 6 4 3 2 6 3 2 2 2" xfId="0"/>
    <cellStyle name="Normal 6 4 3 2 6 3 2 3" xfId="0"/>
    <cellStyle name="Normal 6 4 3 2 6 3 3" xfId="0"/>
    <cellStyle name="Normal 6 4 3 2 6 3 3 2" xfId="0"/>
    <cellStyle name="Normal 6 4 3 2 6 3 4" xfId="0"/>
    <cellStyle name="Normal 6 4 3 2 6 4" xfId="0"/>
    <cellStyle name="Normal 6 4 3 2 6 4 2" xfId="0"/>
    <cellStyle name="Normal 6 4 3 2 6 4 2 2" xfId="0"/>
    <cellStyle name="Normal 6 4 3 2 6 4 3" xfId="0"/>
    <cellStyle name="Normal 6 4 3 2 6 5" xfId="0"/>
    <cellStyle name="Normal 6 4 3 2 6 5 2" xfId="0"/>
    <cellStyle name="Normal 6 4 3 2 6 6" xfId="0"/>
    <cellStyle name="Normal 6 4 3 2 7" xfId="0"/>
    <cellStyle name="Normal 6 4 3 2 7 2" xfId="0"/>
    <cellStyle name="Normal 6 4 3 2 7 2 2" xfId="0"/>
    <cellStyle name="Normal 6 4 3 2 7 2 2 2" xfId="0"/>
    <cellStyle name="Normal 6 4 3 2 7 2 2 2 2" xfId="0"/>
    <cellStyle name="Normal 6 4 3 2 7 2 2 3" xfId="0"/>
    <cellStyle name="Normal 6 4 3 2 7 2 3" xfId="0"/>
    <cellStyle name="Normal 6 4 3 2 7 2 3 2" xfId="0"/>
    <cellStyle name="Normal 6 4 3 2 7 2 4" xfId="0"/>
    <cellStyle name="Normal 6 4 3 2 7 3" xfId="0"/>
    <cellStyle name="Normal 6 4 3 2 7 3 2" xfId="0"/>
    <cellStyle name="Normal 6 4 3 2 7 3 2 2" xfId="0"/>
    <cellStyle name="Normal 6 4 3 2 7 3 3" xfId="0"/>
    <cellStyle name="Normal 6 4 3 2 7 4" xfId="0"/>
    <cellStyle name="Normal 6 4 3 2 7 4 2" xfId="0"/>
    <cellStyle name="Normal 6 4 3 2 7 5" xfId="0"/>
    <cellStyle name="Normal 6 4 3 2 8" xfId="0"/>
    <cellStyle name="Normal 6 4 3 2 8 2" xfId="0"/>
    <cellStyle name="Normal 6 4 3 2 8 2 2" xfId="0"/>
    <cellStyle name="Normal 6 4 3 2 8 2 2 2" xfId="0"/>
    <cellStyle name="Normal 6 4 3 2 8 2 3" xfId="0"/>
    <cellStyle name="Normal 6 4 3 2 8 3" xfId="0"/>
    <cellStyle name="Normal 6 4 3 2 8 3 2" xfId="0"/>
    <cellStyle name="Normal 6 4 3 2 8 4" xfId="0"/>
    <cellStyle name="Normal 6 4 3 2 9" xfId="0"/>
    <cellStyle name="Normal 6 4 3 2 9 2" xfId="0"/>
    <cellStyle name="Normal 6 4 3 2 9 2 2" xfId="0"/>
    <cellStyle name="Normal 6 4 3 2 9 3" xfId="0"/>
    <cellStyle name="Normal 6 4 3 3" xfId="0"/>
    <cellStyle name="Normal 6 4 3 3 2" xfId="0"/>
    <cellStyle name="Normal 6 4 3 3 2 2" xfId="0"/>
    <cellStyle name="Normal 6 4 3 3 2 2 2" xfId="0"/>
    <cellStyle name="Normal 6 4 3 3 2 2 2 2" xfId="0"/>
    <cellStyle name="Normal 6 4 3 3 2 2 2 2 2" xfId="0"/>
    <cellStyle name="Normal 6 4 3 3 2 2 2 2 2 2" xfId="0"/>
    <cellStyle name="Normal 6 4 3 3 2 2 2 2 2 2 2" xfId="0"/>
    <cellStyle name="Normal 6 4 3 3 2 2 2 2 2 3" xfId="0"/>
    <cellStyle name="Normal 6 4 3 3 2 2 2 2 3" xfId="0"/>
    <cellStyle name="Normal 6 4 3 3 2 2 2 2 3 2" xfId="0"/>
    <cellStyle name="Normal 6 4 3 3 2 2 2 2 4" xfId="0"/>
    <cellStyle name="Normal 6 4 3 3 2 2 2 3" xfId="0"/>
    <cellStyle name="Normal 6 4 3 3 2 2 2 3 2" xfId="0"/>
    <cellStyle name="Normal 6 4 3 3 2 2 2 3 2 2" xfId="0"/>
    <cellStyle name="Normal 6 4 3 3 2 2 2 3 3" xfId="0"/>
    <cellStyle name="Normal 6 4 3 3 2 2 2 4" xfId="0"/>
    <cellStyle name="Normal 6 4 3 3 2 2 2 4 2" xfId="0"/>
    <cellStyle name="Normal 6 4 3 3 2 2 2 5" xfId="0"/>
    <cellStyle name="Normal 6 4 3 3 2 2 3" xfId="0"/>
    <cellStyle name="Normal 6 4 3 3 2 2 3 2" xfId="0"/>
    <cellStyle name="Normal 6 4 3 3 2 2 3 2 2" xfId="0"/>
    <cellStyle name="Normal 6 4 3 3 2 2 3 2 2 2" xfId="0"/>
    <cellStyle name="Normal 6 4 3 3 2 2 3 2 3" xfId="0"/>
    <cellStyle name="Normal 6 4 3 3 2 2 3 3" xfId="0"/>
    <cellStyle name="Normal 6 4 3 3 2 2 3 3 2" xfId="0"/>
    <cellStyle name="Normal 6 4 3 3 2 2 3 4" xfId="0"/>
    <cellStyle name="Normal 6 4 3 3 2 2 4" xfId="0"/>
    <cellStyle name="Normal 6 4 3 3 2 2 4 2" xfId="0"/>
    <cellStyle name="Normal 6 4 3 3 2 2 4 2 2" xfId="0"/>
    <cellStyle name="Normal 6 4 3 3 2 2 4 3" xfId="0"/>
    <cellStyle name="Normal 6 4 3 3 2 2 5" xfId="0"/>
    <cellStyle name="Normal 6 4 3 3 2 2 5 2" xfId="0"/>
    <cellStyle name="Normal 6 4 3 3 2 2 6" xfId="0"/>
    <cellStyle name="Normal 6 4 3 3 2 3" xfId="0"/>
    <cellStyle name="Normal 6 4 3 3 2 3 2" xfId="0"/>
    <cellStyle name="Normal 6 4 3 3 2 3 2 2" xfId="0"/>
    <cellStyle name="Normal 6 4 3 3 2 3 2 2 2" xfId="0"/>
    <cellStyle name="Normal 6 4 3 3 2 3 2 2 2 2" xfId="0"/>
    <cellStyle name="Normal 6 4 3 3 2 3 2 2 3" xfId="0"/>
    <cellStyle name="Normal 6 4 3 3 2 3 2 3" xfId="0"/>
    <cellStyle name="Normal 6 4 3 3 2 3 2 3 2" xfId="0"/>
    <cellStyle name="Normal 6 4 3 3 2 3 2 4" xfId="0"/>
    <cellStyle name="Normal 6 4 3 3 2 3 3" xfId="0"/>
    <cellStyle name="Normal 6 4 3 3 2 3 3 2" xfId="0"/>
    <cellStyle name="Normal 6 4 3 3 2 3 3 2 2" xfId="0"/>
    <cellStyle name="Normal 6 4 3 3 2 3 3 3" xfId="0"/>
    <cellStyle name="Normal 6 4 3 3 2 3 4" xfId="0"/>
    <cellStyle name="Normal 6 4 3 3 2 3 4 2" xfId="0"/>
    <cellStyle name="Normal 6 4 3 3 2 3 5" xfId="0"/>
    <cellStyle name="Normal 6 4 3 3 2 4" xfId="0"/>
    <cellStyle name="Normal 6 4 3 3 2 4 2" xfId="0"/>
    <cellStyle name="Normal 6 4 3 3 2 4 2 2" xfId="0"/>
    <cellStyle name="Normal 6 4 3 3 2 4 2 2 2" xfId="0"/>
    <cellStyle name="Normal 6 4 3 3 2 4 2 3" xfId="0"/>
    <cellStyle name="Normal 6 4 3 3 2 4 3" xfId="0"/>
    <cellStyle name="Normal 6 4 3 3 2 4 3 2" xfId="0"/>
    <cellStyle name="Normal 6 4 3 3 2 4 4" xfId="0"/>
    <cellStyle name="Normal 6 4 3 3 2 5" xfId="0"/>
    <cellStyle name="Normal 6 4 3 3 2 5 2" xfId="0"/>
    <cellStyle name="Normal 6 4 3 3 2 5 2 2" xfId="0"/>
    <cellStyle name="Normal 6 4 3 3 2 5 3" xfId="0"/>
    <cellStyle name="Normal 6 4 3 3 2 6" xfId="0"/>
    <cellStyle name="Normal 6 4 3 3 2 6 2" xfId="0"/>
    <cellStyle name="Normal 6 4 3 3 2 7" xfId="0"/>
    <cellStyle name="Normal 6 4 3 3 3" xfId="0"/>
    <cellStyle name="Normal 6 4 3 3 3 2" xfId="0"/>
    <cellStyle name="Normal 6 4 3 3 3 2 2" xfId="0"/>
    <cellStyle name="Normal 6 4 3 3 3 2 2 2" xfId="0"/>
    <cellStyle name="Normal 6 4 3 3 3 2 2 2 2" xfId="0"/>
    <cellStyle name="Normal 6 4 3 3 3 2 2 2 2 2" xfId="0"/>
    <cellStyle name="Normal 6 4 3 3 3 2 2 2 3" xfId="0"/>
    <cellStyle name="Normal 6 4 3 3 3 2 2 3" xfId="0"/>
    <cellStyle name="Normal 6 4 3 3 3 2 2 3 2" xfId="0"/>
    <cellStyle name="Normal 6 4 3 3 3 2 2 4" xfId="0"/>
    <cellStyle name="Normal 6 4 3 3 3 2 3" xfId="0"/>
    <cellStyle name="Normal 6 4 3 3 3 2 3 2" xfId="0"/>
    <cellStyle name="Normal 6 4 3 3 3 2 3 2 2" xfId="0"/>
    <cellStyle name="Normal 6 4 3 3 3 2 3 3" xfId="0"/>
    <cellStyle name="Normal 6 4 3 3 3 2 4" xfId="0"/>
    <cellStyle name="Normal 6 4 3 3 3 2 4 2" xfId="0"/>
    <cellStyle name="Normal 6 4 3 3 3 2 5" xfId="0"/>
    <cellStyle name="Normal 6 4 3 3 3 3" xfId="0"/>
    <cellStyle name="Normal 6 4 3 3 3 3 2" xfId="0"/>
    <cellStyle name="Normal 6 4 3 3 3 3 2 2" xfId="0"/>
    <cellStyle name="Normal 6 4 3 3 3 3 2 2 2" xfId="0"/>
    <cellStyle name="Normal 6 4 3 3 3 3 2 3" xfId="0"/>
    <cellStyle name="Normal 6 4 3 3 3 3 3" xfId="0"/>
    <cellStyle name="Normal 6 4 3 3 3 3 3 2" xfId="0"/>
    <cellStyle name="Normal 6 4 3 3 3 3 4" xfId="0"/>
    <cellStyle name="Normal 6 4 3 3 3 4" xfId="0"/>
    <cellStyle name="Normal 6 4 3 3 3 4 2" xfId="0"/>
    <cellStyle name="Normal 6 4 3 3 3 4 2 2" xfId="0"/>
    <cellStyle name="Normal 6 4 3 3 3 4 3" xfId="0"/>
    <cellStyle name="Normal 6 4 3 3 3 5" xfId="0"/>
    <cellStyle name="Normal 6 4 3 3 3 5 2" xfId="0"/>
    <cellStyle name="Normal 6 4 3 3 3 6" xfId="0"/>
    <cellStyle name="Normal 6 4 3 3 4" xfId="0"/>
    <cellStyle name="Normal 6 4 3 3 4 2" xfId="0"/>
    <cellStyle name="Normal 6 4 3 3 4 2 2" xfId="0"/>
    <cellStyle name="Normal 6 4 3 3 4 2 2 2" xfId="0"/>
    <cellStyle name="Normal 6 4 3 3 4 2 2 2 2" xfId="0"/>
    <cellStyle name="Normal 6 4 3 3 4 2 2 3" xfId="0"/>
    <cellStyle name="Normal 6 4 3 3 4 2 3" xfId="0"/>
    <cellStyle name="Normal 6 4 3 3 4 2 3 2" xfId="0"/>
    <cellStyle name="Normal 6 4 3 3 4 2 4" xfId="0"/>
    <cellStyle name="Normal 6 4 3 3 4 3" xfId="0"/>
    <cellStyle name="Normal 6 4 3 3 4 3 2" xfId="0"/>
    <cellStyle name="Normal 6 4 3 3 4 3 2 2" xfId="0"/>
    <cellStyle name="Normal 6 4 3 3 4 3 3" xfId="0"/>
    <cellStyle name="Normal 6 4 3 3 4 4" xfId="0"/>
    <cellStyle name="Normal 6 4 3 3 4 4 2" xfId="0"/>
    <cellStyle name="Normal 6 4 3 3 4 5" xfId="0"/>
    <cellStyle name="Normal 6 4 3 3 5" xfId="0"/>
    <cellStyle name="Normal 6 4 3 3 5 2" xfId="0"/>
    <cellStyle name="Normal 6 4 3 3 5 2 2" xfId="0"/>
    <cellStyle name="Normal 6 4 3 3 5 2 2 2" xfId="0"/>
    <cellStyle name="Normal 6 4 3 3 5 2 3" xfId="0"/>
    <cellStyle name="Normal 6 4 3 3 5 3" xfId="0"/>
    <cellStyle name="Normal 6 4 3 3 5 3 2" xfId="0"/>
    <cellStyle name="Normal 6 4 3 3 5 4" xfId="0"/>
    <cellStyle name="Normal 6 4 3 3 6" xfId="0"/>
    <cellStyle name="Normal 6 4 3 3 6 2" xfId="0"/>
    <cellStyle name="Normal 6 4 3 3 6 2 2" xfId="0"/>
    <cellStyle name="Normal 6 4 3 3 6 3" xfId="0"/>
    <cellStyle name="Normal 6 4 3 3 7" xfId="0"/>
    <cellStyle name="Normal 6 4 3 3 7 2" xfId="0"/>
    <cellStyle name="Normal 6 4 3 3 8" xfId="0"/>
    <cellStyle name="Normal 6 4 3 4" xfId="0"/>
    <cellStyle name="Normal 6 4 3 4 2" xfId="0"/>
    <cellStyle name="Normal 6 4 3 4 2 2" xfId="0"/>
    <cellStyle name="Normal 6 4 3 4 2 2 2" xfId="0"/>
    <cellStyle name="Normal 6 4 3 4 2 2 2 2" xfId="0"/>
    <cellStyle name="Normal 6 4 3 4 2 2 2 2 2" xfId="0"/>
    <cellStyle name="Normal 6 4 3 4 2 2 2 2 2 2" xfId="0"/>
    <cellStyle name="Normal 6 4 3 4 2 2 2 2 2 2 2" xfId="0"/>
    <cellStyle name="Normal 6 4 3 4 2 2 2 2 2 3" xfId="0"/>
    <cellStyle name="Normal 6 4 3 4 2 2 2 2 3" xfId="0"/>
    <cellStyle name="Normal 6 4 3 4 2 2 2 2 3 2" xfId="0"/>
    <cellStyle name="Normal 6 4 3 4 2 2 2 2 4" xfId="0"/>
    <cellStyle name="Normal 6 4 3 4 2 2 2 3" xfId="0"/>
    <cellStyle name="Normal 6 4 3 4 2 2 2 3 2" xfId="0"/>
    <cellStyle name="Normal 6 4 3 4 2 2 2 3 2 2" xfId="0"/>
    <cellStyle name="Normal 6 4 3 4 2 2 2 3 3" xfId="0"/>
    <cellStyle name="Normal 6 4 3 4 2 2 2 4" xfId="0"/>
    <cellStyle name="Normal 6 4 3 4 2 2 2 4 2" xfId="0"/>
    <cellStyle name="Normal 6 4 3 4 2 2 2 5" xfId="0"/>
    <cellStyle name="Normal 6 4 3 4 2 2 3" xfId="0"/>
    <cellStyle name="Normal 6 4 3 4 2 2 3 2" xfId="0"/>
    <cellStyle name="Normal 6 4 3 4 2 2 3 2 2" xfId="0"/>
    <cellStyle name="Normal 6 4 3 4 2 2 3 2 2 2" xfId="0"/>
    <cellStyle name="Normal 6 4 3 4 2 2 3 2 3" xfId="0"/>
    <cellStyle name="Normal 6 4 3 4 2 2 3 3" xfId="0"/>
    <cellStyle name="Normal 6 4 3 4 2 2 3 3 2" xfId="0"/>
    <cellStyle name="Normal 6 4 3 4 2 2 3 4" xfId="0"/>
    <cellStyle name="Normal 6 4 3 4 2 2 4" xfId="0"/>
    <cellStyle name="Normal 6 4 3 4 2 2 4 2" xfId="0"/>
    <cellStyle name="Normal 6 4 3 4 2 2 4 2 2" xfId="0"/>
    <cellStyle name="Normal 6 4 3 4 2 2 4 3" xfId="0"/>
    <cellStyle name="Normal 6 4 3 4 2 2 5" xfId="0"/>
    <cellStyle name="Normal 6 4 3 4 2 2 5 2" xfId="0"/>
    <cellStyle name="Normal 6 4 3 4 2 2 6" xfId="0"/>
    <cellStyle name="Normal 6 4 3 4 2 3" xfId="0"/>
    <cellStyle name="Normal 6 4 3 4 2 3 2" xfId="0"/>
    <cellStyle name="Normal 6 4 3 4 2 3 2 2" xfId="0"/>
    <cellStyle name="Normal 6 4 3 4 2 3 2 2 2" xfId="0"/>
    <cellStyle name="Normal 6 4 3 4 2 3 2 2 2 2" xfId="0"/>
    <cellStyle name="Normal 6 4 3 4 2 3 2 2 3" xfId="0"/>
    <cellStyle name="Normal 6 4 3 4 2 3 2 3" xfId="0"/>
    <cellStyle name="Normal 6 4 3 4 2 3 2 3 2" xfId="0"/>
    <cellStyle name="Normal 6 4 3 4 2 3 2 4" xfId="0"/>
    <cellStyle name="Normal 6 4 3 4 2 3 3" xfId="0"/>
    <cellStyle name="Normal 6 4 3 4 2 3 3 2" xfId="0"/>
    <cellStyle name="Normal 6 4 3 4 2 3 3 2 2" xfId="0"/>
    <cellStyle name="Normal 6 4 3 4 2 3 3 3" xfId="0"/>
    <cellStyle name="Normal 6 4 3 4 2 3 4" xfId="0"/>
    <cellStyle name="Normal 6 4 3 4 2 3 4 2" xfId="0"/>
    <cellStyle name="Normal 6 4 3 4 2 3 5" xfId="0"/>
    <cellStyle name="Normal 6 4 3 4 2 4" xfId="0"/>
    <cellStyle name="Normal 6 4 3 4 2 4 2" xfId="0"/>
    <cellStyle name="Normal 6 4 3 4 2 4 2 2" xfId="0"/>
    <cellStyle name="Normal 6 4 3 4 2 4 2 2 2" xfId="0"/>
    <cellStyle name="Normal 6 4 3 4 2 4 2 3" xfId="0"/>
    <cellStyle name="Normal 6 4 3 4 2 4 3" xfId="0"/>
    <cellStyle name="Normal 6 4 3 4 2 4 3 2" xfId="0"/>
    <cellStyle name="Normal 6 4 3 4 2 4 4" xfId="0"/>
    <cellStyle name="Normal 6 4 3 4 2 5" xfId="0"/>
    <cellStyle name="Normal 6 4 3 4 2 5 2" xfId="0"/>
    <cellStyle name="Normal 6 4 3 4 2 5 2 2" xfId="0"/>
    <cellStyle name="Normal 6 4 3 4 2 5 3" xfId="0"/>
    <cellStyle name="Normal 6 4 3 4 2 6" xfId="0"/>
    <cellStyle name="Normal 6 4 3 4 2 6 2" xfId="0"/>
    <cellStyle name="Normal 6 4 3 4 2 7" xfId="0"/>
    <cellStyle name="Normal 6 4 3 4 3" xfId="0"/>
    <cellStyle name="Normal 6 4 3 4 3 2" xfId="0"/>
    <cellStyle name="Normal 6 4 3 4 3 2 2" xfId="0"/>
    <cellStyle name="Normal 6 4 3 4 3 2 2 2" xfId="0"/>
    <cellStyle name="Normal 6 4 3 4 3 2 2 2 2" xfId="0"/>
    <cellStyle name="Normal 6 4 3 4 3 2 2 2 2 2" xfId="0"/>
    <cellStyle name="Normal 6 4 3 4 3 2 2 2 3" xfId="0"/>
    <cellStyle name="Normal 6 4 3 4 3 2 2 3" xfId="0"/>
    <cellStyle name="Normal 6 4 3 4 3 2 2 3 2" xfId="0"/>
    <cellStyle name="Normal 6 4 3 4 3 2 2 4" xfId="0"/>
    <cellStyle name="Normal 6 4 3 4 3 2 3" xfId="0"/>
    <cellStyle name="Normal 6 4 3 4 3 2 3 2" xfId="0"/>
    <cellStyle name="Normal 6 4 3 4 3 2 3 2 2" xfId="0"/>
    <cellStyle name="Normal 6 4 3 4 3 2 3 3" xfId="0"/>
    <cellStyle name="Normal 6 4 3 4 3 2 4" xfId="0"/>
    <cellStyle name="Normal 6 4 3 4 3 2 4 2" xfId="0"/>
    <cellStyle name="Normal 6 4 3 4 3 2 5" xfId="0"/>
    <cellStyle name="Normal 6 4 3 4 3 3" xfId="0"/>
    <cellStyle name="Normal 6 4 3 4 3 3 2" xfId="0"/>
    <cellStyle name="Normal 6 4 3 4 3 3 2 2" xfId="0"/>
    <cellStyle name="Normal 6 4 3 4 3 3 2 2 2" xfId="0"/>
    <cellStyle name="Normal 6 4 3 4 3 3 2 3" xfId="0"/>
    <cellStyle name="Normal 6 4 3 4 3 3 3" xfId="0"/>
    <cellStyle name="Normal 6 4 3 4 3 3 3 2" xfId="0"/>
    <cellStyle name="Normal 6 4 3 4 3 3 4" xfId="0"/>
    <cellStyle name="Normal 6 4 3 4 3 4" xfId="0"/>
    <cellStyle name="Normal 6 4 3 4 3 4 2" xfId="0"/>
    <cellStyle name="Normal 6 4 3 4 3 4 2 2" xfId="0"/>
    <cellStyle name="Normal 6 4 3 4 3 4 3" xfId="0"/>
    <cellStyle name="Normal 6 4 3 4 3 5" xfId="0"/>
    <cellStyle name="Normal 6 4 3 4 3 5 2" xfId="0"/>
    <cellStyle name="Normal 6 4 3 4 3 6" xfId="0"/>
    <cellStyle name="Normal 6 4 3 4 4" xfId="0"/>
    <cellStyle name="Normal 6 4 3 4 4 2" xfId="0"/>
    <cellStyle name="Normal 6 4 3 4 4 2 2" xfId="0"/>
    <cellStyle name="Normal 6 4 3 4 4 2 2 2" xfId="0"/>
    <cellStyle name="Normal 6 4 3 4 4 2 2 2 2" xfId="0"/>
    <cellStyle name="Normal 6 4 3 4 4 2 2 3" xfId="0"/>
    <cellStyle name="Normal 6 4 3 4 4 2 3" xfId="0"/>
    <cellStyle name="Normal 6 4 3 4 4 2 3 2" xfId="0"/>
    <cellStyle name="Normal 6 4 3 4 4 2 4" xfId="0"/>
    <cellStyle name="Normal 6 4 3 4 4 3" xfId="0"/>
    <cellStyle name="Normal 6 4 3 4 4 3 2" xfId="0"/>
    <cellStyle name="Normal 6 4 3 4 4 3 2 2" xfId="0"/>
    <cellStyle name="Normal 6 4 3 4 4 3 3" xfId="0"/>
    <cellStyle name="Normal 6 4 3 4 4 4" xfId="0"/>
    <cellStyle name="Normal 6 4 3 4 4 4 2" xfId="0"/>
    <cellStyle name="Normal 6 4 3 4 4 5" xfId="0"/>
    <cellStyle name="Normal 6 4 3 4 5" xfId="0"/>
    <cellStyle name="Normal 6 4 3 4 5 2" xfId="0"/>
    <cellStyle name="Normal 6 4 3 4 5 2 2" xfId="0"/>
    <cellStyle name="Normal 6 4 3 4 5 2 2 2" xfId="0"/>
    <cellStyle name="Normal 6 4 3 4 5 2 3" xfId="0"/>
    <cellStyle name="Normal 6 4 3 4 5 3" xfId="0"/>
    <cellStyle name="Normal 6 4 3 4 5 3 2" xfId="0"/>
    <cellStyle name="Normal 6 4 3 4 5 4" xfId="0"/>
    <cellStyle name="Normal 6 4 3 4 6" xfId="0"/>
    <cellStyle name="Normal 6 4 3 4 6 2" xfId="0"/>
    <cellStyle name="Normal 6 4 3 4 6 2 2" xfId="0"/>
    <cellStyle name="Normal 6 4 3 4 6 3" xfId="0"/>
    <cellStyle name="Normal 6 4 3 4 7" xfId="0"/>
    <cellStyle name="Normal 6 4 3 4 7 2" xfId="0"/>
    <cellStyle name="Normal 6 4 3 4 8" xfId="0"/>
    <cellStyle name="Normal 6 4 3 5" xfId="0"/>
    <cellStyle name="Normal 6 4 3 5 2" xfId="0"/>
    <cellStyle name="Normal 6 4 3 5 2 2" xfId="0"/>
    <cellStyle name="Normal 6 4 3 5 2 2 2" xfId="0"/>
    <cellStyle name="Normal 6 4 3 5 2 2 2 2" xfId="0"/>
    <cellStyle name="Normal 6 4 3 5 2 2 2 2 2" xfId="0"/>
    <cellStyle name="Normal 6 4 3 5 2 2 2 2 2 2" xfId="0"/>
    <cellStyle name="Normal 6 4 3 5 2 2 2 2 3" xfId="0"/>
    <cellStyle name="Normal 6 4 3 5 2 2 2 3" xfId="0"/>
    <cellStyle name="Normal 6 4 3 5 2 2 2 3 2" xfId="0"/>
    <cellStyle name="Normal 6 4 3 5 2 2 2 4" xfId="0"/>
    <cellStyle name="Normal 6 4 3 5 2 2 3" xfId="0"/>
    <cellStyle name="Normal 6 4 3 5 2 2 3 2" xfId="0"/>
    <cellStyle name="Normal 6 4 3 5 2 2 3 2 2" xfId="0"/>
    <cellStyle name="Normal 6 4 3 5 2 2 3 3" xfId="0"/>
    <cellStyle name="Normal 6 4 3 5 2 2 4" xfId="0"/>
    <cellStyle name="Normal 6 4 3 5 2 2 4 2" xfId="0"/>
    <cellStyle name="Normal 6 4 3 5 2 2 5" xfId="0"/>
    <cellStyle name="Normal 6 4 3 5 2 3" xfId="0"/>
    <cellStyle name="Normal 6 4 3 5 2 3 2" xfId="0"/>
    <cellStyle name="Normal 6 4 3 5 2 3 2 2" xfId="0"/>
    <cellStyle name="Normal 6 4 3 5 2 3 2 2 2" xfId="0"/>
    <cellStyle name="Normal 6 4 3 5 2 3 2 3" xfId="0"/>
    <cellStyle name="Normal 6 4 3 5 2 3 3" xfId="0"/>
    <cellStyle name="Normal 6 4 3 5 2 3 3 2" xfId="0"/>
    <cellStyle name="Normal 6 4 3 5 2 3 4" xfId="0"/>
    <cellStyle name="Normal 6 4 3 5 2 4" xfId="0"/>
    <cellStyle name="Normal 6 4 3 5 2 4 2" xfId="0"/>
    <cellStyle name="Normal 6 4 3 5 2 4 2 2" xfId="0"/>
    <cellStyle name="Normal 6 4 3 5 2 4 3" xfId="0"/>
    <cellStyle name="Normal 6 4 3 5 2 5" xfId="0"/>
    <cellStyle name="Normal 6 4 3 5 2 5 2" xfId="0"/>
    <cellStyle name="Normal 6 4 3 5 2 6" xfId="0"/>
    <cellStyle name="Normal 6 4 3 5 3" xfId="0"/>
    <cellStyle name="Normal 6 4 3 5 3 2" xfId="0"/>
    <cellStyle name="Normal 6 4 3 5 3 2 2" xfId="0"/>
    <cellStyle name="Normal 6 4 3 5 3 2 2 2" xfId="0"/>
    <cellStyle name="Normal 6 4 3 5 3 2 2 2 2" xfId="0"/>
    <cellStyle name="Normal 6 4 3 5 3 2 2 3" xfId="0"/>
    <cellStyle name="Normal 6 4 3 5 3 2 3" xfId="0"/>
    <cellStyle name="Normal 6 4 3 5 3 2 3 2" xfId="0"/>
    <cellStyle name="Normal 6 4 3 5 3 2 4" xfId="0"/>
    <cellStyle name="Normal 6 4 3 5 3 3" xfId="0"/>
    <cellStyle name="Normal 6 4 3 5 3 3 2" xfId="0"/>
    <cellStyle name="Normal 6 4 3 5 3 3 2 2" xfId="0"/>
    <cellStyle name="Normal 6 4 3 5 3 3 3" xfId="0"/>
    <cellStyle name="Normal 6 4 3 5 3 4" xfId="0"/>
    <cellStyle name="Normal 6 4 3 5 3 4 2" xfId="0"/>
    <cellStyle name="Normal 6 4 3 5 3 5" xfId="0"/>
    <cellStyle name="Normal 6 4 3 5 4" xfId="0"/>
    <cellStyle name="Normal 6 4 3 5 4 2" xfId="0"/>
    <cellStyle name="Normal 6 4 3 5 4 2 2" xfId="0"/>
    <cellStyle name="Normal 6 4 3 5 4 2 2 2" xfId="0"/>
    <cellStyle name="Normal 6 4 3 5 4 2 3" xfId="0"/>
    <cellStyle name="Normal 6 4 3 5 4 3" xfId="0"/>
    <cellStyle name="Normal 6 4 3 5 4 3 2" xfId="0"/>
    <cellStyle name="Normal 6 4 3 5 4 4" xfId="0"/>
    <cellStyle name="Normal 6 4 3 5 5" xfId="0"/>
    <cellStyle name="Normal 6 4 3 5 5 2" xfId="0"/>
    <cellStyle name="Normal 6 4 3 5 5 2 2" xfId="0"/>
    <cellStyle name="Normal 6 4 3 5 5 3" xfId="0"/>
    <cellStyle name="Normal 6 4 3 5 6" xfId="0"/>
    <cellStyle name="Normal 6 4 3 5 6 2" xfId="0"/>
    <cellStyle name="Normal 6 4 3 5 7" xfId="0"/>
    <cellStyle name="Normal 6 4 3 6" xfId="0"/>
    <cellStyle name="Normal 6 4 3 6 2" xfId="0"/>
    <cellStyle name="Normal 6 4 3 6 2 2" xfId="0"/>
    <cellStyle name="Normal 6 4 3 6 2 2 2" xfId="0"/>
    <cellStyle name="Normal 6 4 3 6 2 2 2 2" xfId="0"/>
    <cellStyle name="Normal 6 4 3 6 2 2 2 2 2" xfId="0"/>
    <cellStyle name="Normal 6 4 3 6 2 2 2 2 2 2" xfId="0"/>
    <cellStyle name="Normal 6 4 3 6 2 2 2 2 3" xfId="0"/>
    <cellStyle name="Normal 6 4 3 6 2 2 2 3" xfId="0"/>
    <cellStyle name="Normal 6 4 3 6 2 2 2 3 2" xfId="0"/>
    <cellStyle name="Normal 6 4 3 6 2 2 2 4" xfId="0"/>
    <cellStyle name="Normal 6 4 3 6 2 2 3" xfId="0"/>
    <cellStyle name="Normal 6 4 3 6 2 2 3 2" xfId="0"/>
    <cellStyle name="Normal 6 4 3 6 2 2 3 2 2" xfId="0"/>
    <cellStyle name="Normal 6 4 3 6 2 2 3 3" xfId="0"/>
    <cellStyle name="Normal 6 4 3 6 2 2 4" xfId="0"/>
    <cellStyle name="Normal 6 4 3 6 2 2 4 2" xfId="0"/>
    <cellStyle name="Normal 6 4 3 6 2 2 5" xfId="0"/>
    <cellStyle name="Normal 6 4 3 6 2 3" xfId="0"/>
    <cellStyle name="Normal 6 4 3 6 2 3 2" xfId="0"/>
    <cellStyle name="Normal 6 4 3 6 2 3 2 2" xfId="0"/>
    <cellStyle name="Normal 6 4 3 6 2 3 2 2 2" xfId="0"/>
    <cellStyle name="Normal 6 4 3 6 2 3 2 3" xfId="0"/>
    <cellStyle name="Normal 6 4 3 6 2 3 3" xfId="0"/>
    <cellStyle name="Normal 6 4 3 6 2 3 3 2" xfId="0"/>
    <cellStyle name="Normal 6 4 3 6 2 3 4" xfId="0"/>
    <cellStyle name="Normal 6 4 3 6 2 4" xfId="0"/>
    <cellStyle name="Normal 6 4 3 6 2 4 2" xfId="0"/>
    <cellStyle name="Normal 6 4 3 6 2 4 2 2" xfId="0"/>
    <cellStyle name="Normal 6 4 3 6 2 4 3" xfId="0"/>
    <cellStyle name="Normal 6 4 3 6 2 5" xfId="0"/>
    <cellStyle name="Normal 6 4 3 6 2 5 2" xfId="0"/>
    <cellStyle name="Normal 6 4 3 6 2 6" xfId="0"/>
    <cellStyle name="Normal 6 4 3 6 3" xfId="0"/>
    <cellStyle name="Normal 6 4 3 6 3 2" xfId="0"/>
    <cellStyle name="Normal 6 4 3 6 3 2 2" xfId="0"/>
    <cellStyle name="Normal 6 4 3 6 3 2 2 2" xfId="0"/>
    <cellStyle name="Normal 6 4 3 6 3 2 2 2 2" xfId="0"/>
    <cellStyle name="Normal 6 4 3 6 3 2 2 3" xfId="0"/>
    <cellStyle name="Normal 6 4 3 6 3 2 3" xfId="0"/>
    <cellStyle name="Normal 6 4 3 6 3 2 3 2" xfId="0"/>
    <cellStyle name="Normal 6 4 3 6 3 2 4" xfId="0"/>
    <cellStyle name="Normal 6 4 3 6 3 3" xfId="0"/>
    <cellStyle name="Normal 6 4 3 6 3 3 2" xfId="0"/>
    <cellStyle name="Normal 6 4 3 6 3 3 2 2" xfId="0"/>
    <cellStyle name="Normal 6 4 3 6 3 3 3" xfId="0"/>
    <cellStyle name="Normal 6 4 3 6 3 4" xfId="0"/>
    <cellStyle name="Normal 6 4 3 6 3 4 2" xfId="0"/>
    <cellStyle name="Normal 6 4 3 6 3 5" xfId="0"/>
    <cellStyle name="Normal 6 4 3 6 4" xfId="0"/>
    <cellStyle name="Normal 6 4 3 6 4 2" xfId="0"/>
    <cellStyle name="Normal 6 4 3 6 4 2 2" xfId="0"/>
    <cellStyle name="Normal 6 4 3 6 4 2 2 2" xfId="0"/>
    <cellStyle name="Normal 6 4 3 6 4 2 3" xfId="0"/>
    <cellStyle name="Normal 6 4 3 6 4 3" xfId="0"/>
    <cellStyle name="Normal 6 4 3 6 4 3 2" xfId="0"/>
    <cellStyle name="Normal 6 4 3 6 4 4" xfId="0"/>
    <cellStyle name="Normal 6 4 3 6 5" xfId="0"/>
    <cellStyle name="Normal 6 4 3 6 5 2" xfId="0"/>
    <cellStyle name="Normal 6 4 3 6 5 2 2" xfId="0"/>
    <cellStyle name="Normal 6 4 3 6 5 3" xfId="0"/>
    <cellStyle name="Normal 6 4 3 6 6" xfId="0"/>
    <cellStyle name="Normal 6 4 3 6 6 2" xfId="0"/>
    <cellStyle name="Normal 6 4 3 6 7" xfId="0"/>
    <cellStyle name="Normal 6 4 3 7" xfId="0"/>
    <cellStyle name="Normal 6 4 3 7 2" xfId="0"/>
    <cellStyle name="Normal 6 4 3 7 2 2" xfId="0"/>
    <cellStyle name="Normal 6 4 3 7 2 2 2" xfId="0"/>
    <cellStyle name="Normal 6 4 3 7 2 2 2 2" xfId="0"/>
    <cellStyle name="Normal 6 4 3 7 2 2 2 2 2" xfId="0"/>
    <cellStyle name="Normal 6 4 3 7 2 2 2 3" xfId="0"/>
    <cellStyle name="Normal 6 4 3 7 2 2 3" xfId="0"/>
    <cellStyle name="Normal 6 4 3 7 2 2 3 2" xfId="0"/>
    <cellStyle name="Normal 6 4 3 7 2 2 4" xfId="0"/>
    <cellStyle name="Normal 6 4 3 7 2 3" xfId="0"/>
    <cellStyle name="Normal 6 4 3 7 2 3 2" xfId="0"/>
    <cellStyle name="Normal 6 4 3 7 2 3 2 2" xfId="0"/>
    <cellStyle name="Normal 6 4 3 7 2 3 3" xfId="0"/>
    <cellStyle name="Normal 6 4 3 7 2 4" xfId="0"/>
    <cellStyle name="Normal 6 4 3 7 2 4 2" xfId="0"/>
    <cellStyle name="Normal 6 4 3 7 2 5" xfId="0"/>
    <cellStyle name="Normal 6 4 3 7 3" xfId="0"/>
    <cellStyle name="Normal 6 4 3 7 3 2" xfId="0"/>
    <cellStyle name="Normal 6 4 3 7 3 2 2" xfId="0"/>
    <cellStyle name="Normal 6 4 3 7 3 2 2 2" xfId="0"/>
    <cellStyle name="Normal 6 4 3 7 3 2 3" xfId="0"/>
    <cellStyle name="Normal 6 4 3 7 3 3" xfId="0"/>
    <cellStyle name="Normal 6 4 3 7 3 3 2" xfId="0"/>
    <cellStyle name="Normal 6 4 3 7 3 4" xfId="0"/>
    <cellStyle name="Normal 6 4 3 7 4" xfId="0"/>
    <cellStyle name="Normal 6 4 3 7 4 2" xfId="0"/>
    <cellStyle name="Normal 6 4 3 7 4 2 2" xfId="0"/>
    <cellStyle name="Normal 6 4 3 7 4 3" xfId="0"/>
    <cellStyle name="Normal 6 4 3 7 5" xfId="0"/>
    <cellStyle name="Normal 6 4 3 7 5 2" xfId="0"/>
    <cellStyle name="Normal 6 4 3 7 6" xfId="0"/>
    <cellStyle name="Normal 6 4 3 8" xfId="0"/>
    <cellStyle name="Normal 6 4 3 8 2" xfId="0"/>
    <cellStyle name="Normal 6 4 3 8 2 2" xfId="0"/>
    <cellStyle name="Normal 6 4 3 8 2 2 2" xfId="0"/>
    <cellStyle name="Normal 6 4 3 8 2 2 2 2" xfId="0"/>
    <cellStyle name="Normal 6 4 3 8 2 2 3" xfId="0"/>
    <cellStyle name="Normal 6 4 3 8 2 3" xfId="0"/>
    <cellStyle name="Normal 6 4 3 8 2 3 2" xfId="0"/>
    <cellStyle name="Normal 6 4 3 8 2 4" xfId="0"/>
    <cellStyle name="Normal 6 4 3 8 3" xfId="0"/>
    <cellStyle name="Normal 6 4 3 8 3 2" xfId="0"/>
    <cellStyle name="Normal 6 4 3 8 3 2 2" xfId="0"/>
    <cellStyle name="Normal 6 4 3 8 3 3" xfId="0"/>
    <cellStyle name="Normal 6 4 3 8 4" xfId="0"/>
    <cellStyle name="Normal 6 4 3 8 4 2" xfId="0"/>
    <cellStyle name="Normal 6 4 3 8 5" xfId="0"/>
    <cellStyle name="Normal 6 4 3 9" xfId="0"/>
    <cellStyle name="Normal 6 4 3 9 2" xfId="0"/>
    <cellStyle name="Normal 6 4 3 9 2 2" xfId="0"/>
    <cellStyle name="Normal 6 4 3 9 2 2 2" xfId="0"/>
    <cellStyle name="Normal 6 4 3 9 2 3" xfId="0"/>
    <cellStyle name="Normal 6 4 3 9 3" xfId="0"/>
    <cellStyle name="Normal 6 4 3 9 3 2" xfId="0"/>
    <cellStyle name="Normal 6 4 3 9 4" xfId="0"/>
    <cellStyle name="Normal 6 4 4" xfId="0"/>
    <cellStyle name="Normal 6 4 4 10" xfId="0"/>
    <cellStyle name="Normal 6 4 4 10 2" xfId="0"/>
    <cellStyle name="Normal 6 4 4 10 2 2" xfId="0"/>
    <cellStyle name="Normal 6 4 4 10 3" xfId="0"/>
    <cellStyle name="Normal 6 4 4 11" xfId="0"/>
    <cellStyle name="Normal 6 4 4 11 2" xfId="0"/>
    <cellStyle name="Normal 6 4 4 12" xfId="0"/>
    <cellStyle name="Normal 6 4 4 2" xfId="0"/>
    <cellStyle name="Normal 6 4 4 2 10" xfId="0"/>
    <cellStyle name="Normal 6 4 4 2 10 2" xfId="0"/>
    <cellStyle name="Normal 6 4 4 2 11" xfId="0"/>
    <cellStyle name="Normal 6 4 4 2 2" xfId="0"/>
    <cellStyle name="Normal 6 4 4 2 2 2" xfId="0"/>
    <cellStyle name="Normal 6 4 4 2 2 2 2" xfId="0"/>
    <cellStyle name="Normal 6 4 4 2 2 2 2 2" xfId="0"/>
    <cellStyle name="Normal 6 4 4 2 2 2 2 2 2" xfId="0"/>
    <cellStyle name="Normal 6 4 4 2 2 2 2 2 2 2" xfId="0"/>
    <cellStyle name="Normal 6 4 4 2 2 2 2 2 2 2 2" xfId="0"/>
    <cellStyle name="Normal 6 4 4 2 2 2 2 2 2 2 2 2" xfId="0"/>
    <cellStyle name="Normal 6 4 4 2 2 2 2 2 2 2 3" xfId="0"/>
    <cellStyle name="Normal 6 4 4 2 2 2 2 2 2 3" xfId="0"/>
    <cellStyle name="Normal 6 4 4 2 2 2 2 2 2 3 2" xfId="0"/>
    <cellStyle name="Normal 6 4 4 2 2 2 2 2 2 4" xfId="0"/>
    <cellStyle name="Normal 6 4 4 2 2 2 2 2 3" xfId="0"/>
    <cellStyle name="Normal 6 4 4 2 2 2 2 2 3 2" xfId="0"/>
    <cellStyle name="Normal 6 4 4 2 2 2 2 2 3 2 2" xfId="0"/>
    <cellStyle name="Normal 6 4 4 2 2 2 2 2 3 3" xfId="0"/>
    <cellStyle name="Normal 6 4 4 2 2 2 2 2 4" xfId="0"/>
    <cellStyle name="Normal 6 4 4 2 2 2 2 2 4 2" xfId="0"/>
    <cellStyle name="Normal 6 4 4 2 2 2 2 2 5" xfId="0"/>
    <cellStyle name="Normal 6 4 4 2 2 2 2 3" xfId="0"/>
    <cellStyle name="Normal 6 4 4 2 2 2 2 3 2" xfId="0"/>
    <cellStyle name="Normal 6 4 4 2 2 2 2 3 2 2" xfId="0"/>
    <cellStyle name="Normal 6 4 4 2 2 2 2 3 2 2 2" xfId="0"/>
    <cellStyle name="Normal 6 4 4 2 2 2 2 3 2 3" xfId="0"/>
    <cellStyle name="Normal 6 4 4 2 2 2 2 3 3" xfId="0"/>
    <cellStyle name="Normal 6 4 4 2 2 2 2 3 3 2" xfId="0"/>
    <cellStyle name="Normal 6 4 4 2 2 2 2 3 4" xfId="0"/>
    <cellStyle name="Normal 6 4 4 2 2 2 2 4" xfId="0"/>
    <cellStyle name="Normal 6 4 4 2 2 2 2 4 2" xfId="0"/>
    <cellStyle name="Normal 6 4 4 2 2 2 2 4 2 2" xfId="0"/>
    <cellStyle name="Normal 6 4 4 2 2 2 2 4 3" xfId="0"/>
    <cellStyle name="Normal 6 4 4 2 2 2 2 5" xfId="0"/>
    <cellStyle name="Normal 6 4 4 2 2 2 2 5 2" xfId="0"/>
    <cellStyle name="Normal 6 4 4 2 2 2 2 6" xfId="0"/>
    <cellStyle name="Normal 6 4 4 2 2 2 3" xfId="0"/>
    <cellStyle name="Normal 6 4 4 2 2 2 3 2" xfId="0"/>
    <cellStyle name="Normal 6 4 4 2 2 2 3 2 2" xfId="0"/>
    <cellStyle name="Normal 6 4 4 2 2 2 3 2 2 2" xfId="0"/>
    <cellStyle name="Normal 6 4 4 2 2 2 3 2 2 2 2" xfId="0"/>
    <cellStyle name="Normal 6 4 4 2 2 2 3 2 2 3" xfId="0"/>
    <cellStyle name="Normal 6 4 4 2 2 2 3 2 3" xfId="0"/>
    <cellStyle name="Normal 6 4 4 2 2 2 3 2 3 2" xfId="0"/>
    <cellStyle name="Normal 6 4 4 2 2 2 3 2 4" xfId="0"/>
    <cellStyle name="Normal 6 4 4 2 2 2 3 3" xfId="0"/>
    <cellStyle name="Normal 6 4 4 2 2 2 3 3 2" xfId="0"/>
    <cellStyle name="Normal 6 4 4 2 2 2 3 3 2 2" xfId="0"/>
    <cellStyle name="Normal 6 4 4 2 2 2 3 3 3" xfId="0"/>
    <cellStyle name="Normal 6 4 4 2 2 2 3 4" xfId="0"/>
    <cellStyle name="Normal 6 4 4 2 2 2 3 4 2" xfId="0"/>
    <cellStyle name="Normal 6 4 4 2 2 2 3 5" xfId="0"/>
    <cellStyle name="Normal 6 4 4 2 2 2 4" xfId="0"/>
    <cellStyle name="Normal 6 4 4 2 2 2 4 2" xfId="0"/>
    <cellStyle name="Normal 6 4 4 2 2 2 4 2 2" xfId="0"/>
    <cellStyle name="Normal 6 4 4 2 2 2 4 2 2 2" xfId="0"/>
    <cellStyle name="Normal 6 4 4 2 2 2 4 2 3" xfId="0"/>
    <cellStyle name="Normal 6 4 4 2 2 2 4 3" xfId="0"/>
    <cellStyle name="Normal 6 4 4 2 2 2 4 3 2" xfId="0"/>
    <cellStyle name="Normal 6 4 4 2 2 2 4 4" xfId="0"/>
    <cellStyle name="Normal 6 4 4 2 2 2 5" xfId="0"/>
    <cellStyle name="Normal 6 4 4 2 2 2 5 2" xfId="0"/>
    <cellStyle name="Normal 6 4 4 2 2 2 5 2 2" xfId="0"/>
    <cellStyle name="Normal 6 4 4 2 2 2 5 3" xfId="0"/>
    <cellStyle name="Normal 6 4 4 2 2 2 6" xfId="0"/>
    <cellStyle name="Normal 6 4 4 2 2 2 6 2" xfId="0"/>
    <cellStyle name="Normal 6 4 4 2 2 2 7" xfId="0"/>
    <cellStyle name="Normal 6 4 4 2 2 3" xfId="0"/>
    <cellStyle name="Normal 6 4 4 2 2 3 2" xfId="0"/>
    <cellStyle name="Normal 6 4 4 2 2 3 2 2" xfId="0"/>
    <cellStyle name="Normal 6 4 4 2 2 3 2 2 2" xfId="0"/>
    <cellStyle name="Normal 6 4 4 2 2 3 2 2 2 2" xfId="0"/>
    <cellStyle name="Normal 6 4 4 2 2 3 2 2 2 2 2" xfId="0"/>
    <cellStyle name="Normal 6 4 4 2 2 3 2 2 2 3" xfId="0"/>
    <cellStyle name="Normal 6 4 4 2 2 3 2 2 3" xfId="0"/>
    <cellStyle name="Normal 6 4 4 2 2 3 2 2 3 2" xfId="0"/>
    <cellStyle name="Normal 6 4 4 2 2 3 2 2 4" xfId="0"/>
    <cellStyle name="Normal 6 4 4 2 2 3 2 3" xfId="0"/>
    <cellStyle name="Normal 6 4 4 2 2 3 2 3 2" xfId="0"/>
    <cellStyle name="Normal 6 4 4 2 2 3 2 3 2 2" xfId="0"/>
    <cellStyle name="Normal 6 4 4 2 2 3 2 3 3" xfId="0"/>
    <cellStyle name="Normal 6 4 4 2 2 3 2 4" xfId="0"/>
    <cellStyle name="Normal 6 4 4 2 2 3 2 4 2" xfId="0"/>
    <cellStyle name="Normal 6 4 4 2 2 3 2 5" xfId="0"/>
    <cellStyle name="Normal 6 4 4 2 2 3 3" xfId="0"/>
    <cellStyle name="Normal 6 4 4 2 2 3 3 2" xfId="0"/>
    <cellStyle name="Normal 6 4 4 2 2 3 3 2 2" xfId="0"/>
    <cellStyle name="Normal 6 4 4 2 2 3 3 2 2 2" xfId="0"/>
    <cellStyle name="Normal 6 4 4 2 2 3 3 2 3" xfId="0"/>
    <cellStyle name="Normal 6 4 4 2 2 3 3 3" xfId="0"/>
    <cellStyle name="Normal 6 4 4 2 2 3 3 3 2" xfId="0"/>
    <cellStyle name="Normal 6 4 4 2 2 3 3 4" xfId="0"/>
    <cellStyle name="Normal 6 4 4 2 2 3 4" xfId="0"/>
    <cellStyle name="Normal 6 4 4 2 2 3 4 2" xfId="0"/>
    <cellStyle name="Normal 6 4 4 2 2 3 4 2 2" xfId="0"/>
    <cellStyle name="Normal 6 4 4 2 2 3 4 3" xfId="0"/>
    <cellStyle name="Normal 6 4 4 2 2 3 5" xfId="0"/>
    <cellStyle name="Normal 6 4 4 2 2 3 5 2" xfId="0"/>
    <cellStyle name="Normal 6 4 4 2 2 3 6" xfId="0"/>
    <cellStyle name="Normal 6 4 4 2 2 4" xfId="0"/>
    <cellStyle name="Normal 6 4 4 2 2 4 2" xfId="0"/>
    <cellStyle name="Normal 6 4 4 2 2 4 2 2" xfId="0"/>
    <cellStyle name="Normal 6 4 4 2 2 4 2 2 2" xfId="0"/>
    <cellStyle name="Normal 6 4 4 2 2 4 2 2 2 2" xfId="0"/>
    <cellStyle name="Normal 6 4 4 2 2 4 2 2 3" xfId="0"/>
    <cellStyle name="Normal 6 4 4 2 2 4 2 3" xfId="0"/>
    <cellStyle name="Normal 6 4 4 2 2 4 2 3 2" xfId="0"/>
    <cellStyle name="Normal 6 4 4 2 2 4 2 4" xfId="0"/>
    <cellStyle name="Normal 6 4 4 2 2 4 3" xfId="0"/>
    <cellStyle name="Normal 6 4 4 2 2 4 3 2" xfId="0"/>
    <cellStyle name="Normal 6 4 4 2 2 4 3 2 2" xfId="0"/>
    <cellStyle name="Normal 6 4 4 2 2 4 3 3" xfId="0"/>
    <cellStyle name="Normal 6 4 4 2 2 4 4" xfId="0"/>
    <cellStyle name="Normal 6 4 4 2 2 4 4 2" xfId="0"/>
    <cellStyle name="Normal 6 4 4 2 2 4 5" xfId="0"/>
    <cellStyle name="Normal 6 4 4 2 2 5" xfId="0"/>
    <cellStyle name="Normal 6 4 4 2 2 5 2" xfId="0"/>
    <cellStyle name="Normal 6 4 4 2 2 5 2 2" xfId="0"/>
    <cellStyle name="Normal 6 4 4 2 2 5 2 2 2" xfId="0"/>
    <cellStyle name="Normal 6 4 4 2 2 5 2 3" xfId="0"/>
    <cellStyle name="Normal 6 4 4 2 2 5 3" xfId="0"/>
    <cellStyle name="Normal 6 4 4 2 2 5 3 2" xfId="0"/>
    <cellStyle name="Normal 6 4 4 2 2 5 4" xfId="0"/>
    <cellStyle name="Normal 6 4 4 2 2 6" xfId="0"/>
    <cellStyle name="Normal 6 4 4 2 2 6 2" xfId="0"/>
    <cellStyle name="Normal 6 4 4 2 2 6 2 2" xfId="0"/>
    <cellStyle name="Normal 6 4 4 2 2 6 3" xfId="0"/>
    <cellStyle name="Normal 6 4 4 2 2 7" xfId="0"/>
    <cellStyle name="Normal 6 4 4 2 2 7 2" xfId="0"/>
    <cellStyle name="Normal 6 4 4 2 2 8" xfId="0"/>
    <cellStyle name="Normal 6 4 4 2 3" xfId="0"/>
    <cellStyle name="Normal 6 4 4 2 3 2" xfId="0"/>
    <cellStyle name="Normal 6 4 4 2 3 2 2" xfId="0"/>
    <cellStyle name="Normal 6 4 4 2 3 2 2 2" xfId="0"/>
    <cellStyle name="Normal 6 4 4 2 3 2 2 2 2" xfId="0"/>
    <cellStyle name="Normal 6 4 4 2 3 2 2 2 2 2" xfId="0"/>
    <cellStyle name="Normal 6 4 4 2 3 2 2 2 2 2 2" xfId="0"/>
    <cellStyle name="Normal 6 4 4 2 3 2 2 2 2 2 2 2" xfId="0"/>
    <cellStyle name="Normal 6 4 4 2 3 2 2 2 2 2 3" xfId="0"/>
    <cellStyle name="Normal 6 4 4 2 3 2 2 2 2 3" xfId="0"/>
    <cellStyle name="Normal 6 4 4 2 3 2 2 2 2 3 2" xfId="0"/>
    <cellStyle name="Normal 6 4 4 2 3 2 2 2 2 4" xfId="0"/>
    <cellStyle name="Normal 6 4 4 2 3 2 2 2 3" xfId="0"/>
    <cellStyle name="Normal 6 4 4 2 3 2 2 2 3 2" xfId="0"/>
    <cellStyle name="Normal 6 4 4 2 3 2 2 2 3 2 2" xfId="0"/>
    <cellStyle name="Normal 6 4 4 2 3 2 2 2 3 3" xfId="0"/>
    <cellStyle name="Normal 6 4 4 2 3 2 2 2 4" xfId="0"/>
    <cellStyle name="Normal 6 4 4 2 3 2 2 2 4 2" xfId="0"/>
    <cellStyle name="Normal 6 4 4 2 3 2 2 2 5" xfId="0"/>
    <cellStyle name="Normal 6 4 4 2 3 2 2 3" xfId="0"/>
    <cellStyle name="Normal 6 4 4 2 3 2 2 3 2" xfId="0"/>
    <cellStyle name="Normal 6 4 4 2 3 2 2 3 2 2" xfId="0"/>
    <cellStyle name="Normal 6 4 4 2 3 2 2 3 2 2 2" xfId="0"/>
    <cellStyle name="Normal 6 4 4 2 3 2 2 3 2 3" xfId="0"/>
    <cellStyle name="Normal 6 4 4 2 3 2 2 3 3" xfId="0"/>
    <cellStyle name="Normal 6 4 4 2 3 2 2 3 3 2" xfId="0"/>
    <cellStyle name="Normal 6 4 4 2 3 2 2 3 4" xfId="0"/>
    <cellStyle name="Normal 6 4 4 2 3 2 2 4" xfId="0"/>
    <cellStyle name="Normal 6 4 4 2 3 2 2 4 2" xfId="0"/>
    <cellStyle name="Normal 6 4 4 2 3 2 2 4 2 2" xfId="0"/>
    <cellStyle name="Normal 6 4 4 2 3 2 2 4 3" xfId="0"/>
    <cellStyle name="Normal 6 4 4 2 3 2 2 5" xfId="0"/>
    <cellStyle name="Normal 6 4 4 2 3 2 2 5 2" xfId="0"/>
    <cellStyle name="Normal 6 4 4 2 3 2 2 6" xfId="0"/>
    <cellStyle name="Normal 6 4 4 2 3 2 3" xfId="0"/>
    <cellStyle name="Normal 6 4 4 2 3 2 3 2" xfId="0"/>
    <cellStyle name="Normal 6 4 4 2 3 2 3 2 2" xfId="0"/>
    <cellStyle name="Normal 6 4 4 2 3 2 3 2 2 2" xfId="0"/>
    <cellStyle name="Normal 6 4 4 2 3 2 3 2 2 2 2" xfId="0"/>
    <cellStyle name="Normal 6 4 4 2 3 2 3 2 2 3" xfId="0"/>
    <cellStyle name="Normal 6 4 4 2 3 2 3 2 3" xfId="0"/>
    <cellStyle name="Normal 6 4 4 2 3 2 3 2 3 2" xfId="0"/>
    <cellStyle name="Normal 6 4 4 2 3 2 3 2 4" xfId="0"/>
    <cellStyle name="Normal 6 4 4 2 3 2 3 3" xfId="0"/>
    <cellStyle name="Normal 6 4 4 2 3 2 3 3 2" xfId="0"/>
    <cellStyle name="Normal 6 4 4 2 3 2 3 3 2 2" xfId="0"/>
    <cellStyle name="Normal 6 4 4 2 3 2 3 3 3" xfId="0"/>
    <cellStyle name="Normal 6 4 4 2 3 2 3 4" xfId="0"/>
    <cellStyle name="Normal 6 4 4 2 3 2 3 4 2" xfId="0"/>
    <cellStyle name="Normal 6 4 4 2 3 2 3 5" xfId="0"/>
    <cellStyle name="Normal 6 4 4 2 3 2 4" xfId="0"/>
    <cellStyle name="Normal 6 4 4 2 3 2 4 2" xfId="0"/>
    <cellStyle name="Normal 6 4 4 2 3 2 4 2 2" xfId="0"/>
    <cellStyle name="Normal 6 4 4 2 3 2 4 2 2 2" xfId="0"/>
    <cellStyle name="Normal 6 4 4 2 3 2 4 2 3" xfId="0"/>
    <cellStyle name="Normal 6 4 4 2 3 2 4 3" xfId="0"/>
    <cellStyle name="Normal 6 4 4 2 3 2 4 3 2" xfId="0"/>
    <cellStyle name="Normal 6 4 4 2 3 2 4 4" xfId="0"/>
    <cellStyle name="Normal 6 4 4 2 3 2 5" xfId="0"/>
    <cellStyle name="Normal 6 4 4 2 3 2 5 2" xfId="0"/>
    <cellStyle name="Normal 6 4 4 2 3 2 5 2 2" xfId="0"/>
    <cellStyle name="Normal 6 4 4 2 3 2 5 3" xfId="0"/>
    <cellStyle name="Normal 6 4 4 2 3 2 6" xfId="0"/>
    <cellStyle name="Normal 6 4 4 2 3 2 6 2" xfId="0"/>
    <cellStyle name="Normal 6 4 4 2 3 2 7" xfId="0"/>
    <cellStyle name="Normal 6 4 4 2 3 3" xfId="0"/>
    <cellStyle name="Normal 6 4 4 2 3 3 2" xfId="0"/>
    <cellStyle name="Normal 6 4 4 2 3 3 2 2" xfId="0"/>
    <cellStyle name="Normal 6 4 4 2 3 3 2 2 2" xfId="0"/>
    <cellStyle name="Normal 6 4 4 2 3 3 2 2 2 2" xfId="0"/>
    <cellStyle name="Normal 6 4 4 2 3 3 2 2 2 2 2" xfId="0"/>
    <cellStyle name="Normal 6 4 4 2 3 3 2 2 2 3" xfId="0"/>
    <cellStyle name="Normal 6 4 4 2 3 3 2 2 3" xfId="0"/>
    <cellStyle name="Normal 6 4 4 2 3 3 2 2 3 2" xfId="0"/>
    <cellStyle name="Normal 6 4 4 2 3 3 2 2 4" xfId="0"/>
    <cellStyle name="Normal 6 4 4 2 3 3 2 3" xfId="0"/>
    <cellStyle name="Normal 6 4 4 2 3 3 2 3 2" xfId="0"/>
    <cellStyle name="Normal 6 4 4 2 3 3 2 3 2 2" xfId="0"/>
    <cellStyle name="Normal 6 4 4 2 3 3 2 3 3" xfId="0"/>
    <cellStyle name="Normal 6 4 4 2 3 3 2 4" xfId="0"/>
    <cellStyle name="Normal 6 4 4 2 3 3 2 4 2" xfId="0"/>
    <cellStyle name="Normal 6 4 4 2 3 3 2 5" xfId="0"/>
    <cellStyle name="Normal 6 4 4 2 3 3 3" xfId="0"/>
    <cellStyle name="Normal 6 4 4 2 3 3 3 2" xfId="0"/>
    <cellStyle name="Normal 6 4 4 2 3 3 3 2 2" xfId="0"/>
    <cellStyle name="Normal 6 4 4 2 3 3 3 2 2 2" xfId="0"/>
    <cellStyle name="Normal 6 4 4 2 3 3 3 2 3" xfId="0"/>
    <cellStyle name="Normal 6 4 4 2 3 3 3 3" xfId="0"/>
    <cellStyle name="Normal 6 4 4 2 3 3 3 3 2" xfId="0"/>
    <cellStyle name="Normal 6 4 4 2 3 3 3 4" xfId="0"/>
    <cellStyle name="Normal 6 4 4 2 3 3 4" xfId="0"/>
    <cellStyle name="Normal 6 4 4 2 3 3 4 2" xfId="0"/>
    <cellStyle name="Normal 6 4 4 2 3 3 4 2 2" xfId="0"/>
    <cellStyle name="Normal 6 4 4 2 3 3 4 3" xfId="0"/>
    <cellStyle name="Normal 6 4 4 2 3 3 5" xfId="0"/>
    <cellStyle name="Normal 6 4 4 2 3 3 5 2" xfId="0"/>
    <cellStyle name="Normal 6 4 4 2 3 3 6" xfId="0"/>
    <cellStyle name="Normal 6 4 4 2 3 4" xfId="0"/>
    <cellStyle name="Normal 6 4 4 2 3 4 2" xfId="0"/>
    <cellStyle name="Normal 6 4 4 2 3 4 2 2" xfId="0"/>
    <cellStyle name="Normal 6 4 4 2 3 4 2 2 2" xfId="0"/>
    <cellStyle name="Normal 6 4 4 2 3 4 2 2 2 2" xfId="0"/>
    <cellStyle name="Normal 6 4 4 2 3 4 2 2 3" xfId="0"/>
    <cellStyle name="Normal 6 4 4 2 3 4 2 3" xfId="0"/>
    <cellStyle name="Normal 6 4 4 2 3 4 2 3 2" xfId="0"/>
    <cellStyle name="Normal 6 4 4 2 3 4 2 4" xfId="0"/>
    <cellStyle name="Normal 6 4 4 2 3 4 3" xfId="0"/>
    <cellStyle name="Normal 6 4 4 2 3 4 3 2" xfId="0"/>
    <cellStyle name="Normal 6 4 4 2 3 4 3 2 2" xfId="0"/>
    <cellStyle name="Normal 6 4 4 2 3 4 3 3" xfId="0"/>
    <cellStyle name="Normal 6 4 4 2 3 4 4" xfId="0"/>
    <cellStyle name="Normal 6 4 4 2 3 4 4 2" xfId="0"/>
    <cellStyle name="Normal 6 4 4 2 3 4 5" xfId="0"/>
    <cellStyle name="Normal 6 4 4 2 3 5" xfId="0"/>
    <cellStyle name="Normal 6 4 4 2 3 5 2" xfId="0"/>
    <cellStyle name="Normal 6 4 4 2 3 5 2 2" xfId="0"/>
    <cellStyle name="Normal 6 4 4 2 3 5 2 2 2" xfId="0"/>
    <cellStyle name="Normal 6 4 4 2 3 5 2 3" xfId="0"/>
    <cellStyle name="Normal 6 4 4 2 3 5 3" xfId="0"/>
    <cellStyle name="Normal 6 4 4 2 3 5 3 2" xfId="0"/>
    <cellStyle name="Normal 6 4 4 2 3 5 4" xfId="0"/>
    <cellStyle name="Normal 6 4 4 2 3 6" xfId="0"/>
    <cellStyle name="Normal 6 4 4 2 3 6 2" xfId="0"/>
    <cellStyle name="Normal 6 4 4 2 3 6 2 2" xfId="0"/>
    <cellStyle name="Normal 6 4 4 2 3 6 3" xfId="0"/>
    <cellStyle name="Normal 6 4 4 2 3 7" xfId="0"/>
    <cellStyle name="Normal 6 4 4 2 3 7 2" xfId="0"/>
    <cellStyle name="Normal 6 4 4 2 3 8" xfId="0"/>
    <cellStyle name="Normal 6 4 4 2 4" xfId="0"/>
    <cellStyle name="Normal 6 4 4 2 4 2" xfId="0"/>
    <cellStyle name="Normal 6 4 4 2 4 2 2" xfId="0"/>
    <cellStyle name="Normal 6 4 4 2 4 2 2 2" xfId="0"/>
    <cellStyle name="Normal 6 4 4 2 4 2 2 2 2" xfId="0"/>
    <cellStyle name="Normal 6 4 4 2 4 2 2 2 2 2" xfId="0"/>
    <cellStyle name="Normal 6 4 4 2 4 2 2 2 2 2 2" xfId="0"/>
    <cellStyle name="Normal 6 4 4 2 4 2 2 2 2 3" xfId="0"/>
    <cellStyle name="Normal 6 4 4 2 4 2 2 2 3" xfId="0"/>
    <cellStyle name="Normal 6 4 4 2 4 2 2 2 3 2" xfId="0"/>
    <cellStyle name="Normal 6 4 4 2 4 2 2 2 4" xfId="0"/>
    <cellStyle name="Normal 6 4 4 2 4 2 2 3" xfId="0"/>
    <cellStyle name="Normal 6 4 4 2 4 2 2 3 2" xfId="0"/>
    <cellStyle name="Normal 6 4 4 2 4 2 2 3 2 2" xfId="0"/>
    <cellStyle name="Normal 6 4 4 2 4 2 2 3 3" xfId="0"/>
    <cellStyle name="Normal 6 4 4 2 4 2 2 4" xfId="0"/>
    <cellStyle name="Normal 6 4 4 2 4 2 2 4 2" xfId="0"/>
    <cellStyle name="Normal 6 4 4 2 4 2 2 5" xfId="0"/>
    <cellStyle name="Normal 6 4 4 2 4 2 3" xfId="0"/>
    <cellStyle name="Normal 6 4 4 2 4 2 3 2" xfId="0"/>
    <cellStyle name="Normal 6 4 4 2 4 2 3 2 2" xfId="0"/>
    <cellStyle name="Normal 6 4 4 2 4 2 3 2 2 2" xfId="0"/>
    <cellStyle name="Normal 6 4 4 2 4 2 3 2 3" xfId="0"/>
    <cellStyle name="Normal 6 4 4 2 4 2 3 3" xfId="0"/>
    <cellStyle name="Normal 6 4 4 2 4 2 3 3 2" xfId="0"/>
    <cellStyle name="Normal 6 4 4 2 4 2 3 4" xfId="0"/>
    <cellStyle name="Normal 6 4 4 2 4 2 4" xfId="0"/>
    <cellStyle name="Normal 6 4 4 2 4 2 4 2" xfId="0"/>
    <cellStyle name="Normal 6 4 4 2 4 2 4 2 2" xfId="0"/>
    <cellStyle name="Normal 6 4 4 2 4 2 4 3" xfId="0"/>
    <cellStyle name="Normal 6 4 4 2 4 2 5" xfId="0"/>
    <cellStyle name="Normal 6 4 4 2 4 2 5 2" xfId="0"/>
    <cellStyle name="Normal 6 4 4 2 4 2 6" xfId="0"/>
    <cellStyle name="Normal 6 4 4 2 4 3" xfId="0"/>
    <cellStyle name="Normal 6 4 4 2 4 3 2" xfId="0"/>
    <cellStyle name="Normal 6 4 4 2 4 3 2 2" xfId="0"/>
    <cellStyle name="Normal 6 4 4 2 4 3 2 2 2" xfId="0"/>
    <cellStyle name="Normal 6 4 4 2 4 3 2 2 2 2" xfId="0"/>
    <cellStyle name="Normal 6 4 4 2 4 3 2 2 3" xfId="0"/>
    <cellStyle name="Normal 6 4 4 2 4 3 2 3" xfId="0"/>
    <cellStyle name="Normal 6 4 4 2 4 3 2 3 2" xfId="0"/>
    <cellStyle name="Normal 6 4 4 2 4 3 2 4" xfId="0"/>
    <cellStyle name="Normal 6 4 4 2 4 3 3" xfId="0"/>
    <cellStyle name="Normal 6 4 4 2 4 3 3 2" xfId="0"/>
    <cellStyle name="Normal 6 4 4 2 4 3 3 2 2" xfId="0"/>
    <cellStyle name="Normal 6 4 4 2 4 3 3 3" xfId="0"/>
    <cellStyle name="Normal 6 4 4 2 4 3 4" xfId="0"/>
    <cellStyle name="Normal 6 4 4 2 4 3 4 2" xfId="0"/>
    <cellStyle name="Normal 6 4 4 2 4 3 5" xfId="0"/>
    <cellStyle name="Normal 6 4 4 2 4 4" xfId="0"/>
    <cellStyle name="Normal 6 4 4 2 4 4 2" xfId="0"/>
    <cellStyle name="Normal 6 4 4 2 4 4 2 2" xfId="0"/>
    <cellStyle name="Normal 6 4 4 2 4 4 2 2 2" xfId="0"/>
    <cellStyle name="Normal 6 4 4 2 4 4 2 3" xfId="0"/>
    <cellStyle name="Normal 6 4 4 2 4 4 3" xfId="0"/>
    <cellStyle name="Normal 6 4 4 2 4 4 3 2" xfId="0"/>
    <cellStyle name="Normal 6 4 4 2 4 4 4" xfId="0"/>
    <cellStyle name="Normal 6 4 4 2 4 5" xfId="0"/>
    <cellStyle name="Normal 6 4 4 2 4 5 2" xfId="0"/>
    <cellStyle name="Normal 6 4 4 2 4 5 2 2" xfId="0"/>
    <cellStyle name="Normal 6 4 4 2 4 5 3" xfId="0"/>
    <cellStyle name="Normal 6 4 4 2 4 6" xfId="0"/>
    <cellStyle name="Normal 6 4 4 2 4 6 2" xfId="0"/>
    <cellStyle name="Normal 6 4 4 2 4 7" xfId="0"/>
    <cellStyle name="Normal 6 4 4 2 5" xfId="0"/>
    <cellStyle name="Normal 6 4 4 2 5 2" xfId="0"/>
    <cellStyle name="Normal 6 4 4 2 5 2 2" xfId="0"/>
    <cellStyle name="Normal 6 4 4 2 5 2 2 2" xfId="0"/>
    <cellStyle name="Normal 6 4 4 2 5 2 2 2 2" xfId="0"/>
    <cellStyle name="Normal 6 4 4 2 5 2 2 2 2 2" xfId="0"/>
    <cellStyle name="Normal 6 4 4 2 5 2 2 2 2 2 2" xfId="0"/>
    <cellStyle name="Normal 6 4 4 2 5 2 2 2 2 3" xfId="0"/>
    <cellStyle name="Normal 6 4 4 2 5 2 2 2 3" xfId="0"/>
    <cellStyle name="Normal 6 4 4 2 5 2 2 2 3 2" xfId="0"/>
    <cellStyle name="Normal 6 4 4 2 5 2 2 2 4" xfId="0"/>
    <cellStyle name="Normal 6 4 4 2 5 2 2 3" xfId="0"/>
    <cellStyle name="Normal 6 4 4 2 5 2 2 3 2" xfId="0"/>
    <cellStyle name="Normal 6 4 4 2 5 2 2 3 2 2" xfId="0"/>
    <cellStyle name="Normal 6 4 4 2 5 2 2 3 3" xfId="0"/>
    <cellStyle name="Normal 6 4 4 2 5 2 2 4" xfId="0"/>
    <cellStyle name="Normal 6 4 4 2 5 2 2 4 2" xfId="0"/>
    <cellStyle name="Normal 6 4 4 2 5 2 2 5" xfId="0"/>
    <cellStyle name="Normal 6 4 4 2 5 2 3" xfId="0"/>
    <cellStyle name="Normal 6 4 4 2 5 2 3 2" xfId="0"/>
    <cellStyle name="Normal 6 4 4 2 5 2 3 2 2" xfId="0"/>
    <cellStyle name="Normal 6 4 4 2 5 2 3 2 2 2" xfId="0"/>
    <cellStyle name="Normal 6 4 4 2 5 2 3 2 3" xfId="0"/>
    <cellStyle name="Normal 6 4 4 2 5 2 3 3" xfId="0"/>
    <cellStyle name="Normal 6 4 4 2 5 2 3 3 2" xfId="0"/>
    <cellStyle name="Normal 6 4 4 2 5 2 3 4" xfId="0"/>
    <cellStyle name="Normal 6 4 4 2 5 2 4" xfId="0"/>
    <cellStyle name="Normal 6 4 4 2 5 2 4 2" xfId="0"/>
    <cellStyle name="Normal 6 4 4 2 5 2 4 2 2" xfId="0"/>
    <cellStyle name="Normal 6 4 4 2 5 2 4 3" xfId="0"/>
    <cellStyle name="Normal 6 4 4 2 5 2 5" xfId="0"/>
    <cellStyle name="Normal 6 4 4 2 5 2 5 2" xfId="0"/>
    <cellStyle name="Normal 6 4 4 2 5 2 6" xfId="0"/>
    <cellStyle name="Normal 6 4 4 2 5 3" xfId="0"/>
    <cellStyle name="Normal 6 4 4 2 5 3 2" xfId="0"/>
    <cellStyle name="Normal 6 4 4 2 5 3 2 2" xfId="0"/>
    <cellStyle name="Normal 6 4 4 2 5 3 2 2 2" xfId="0"/>
    <cellStyle name="Normal 6 4 4 2 5 3 2 2 2 2" xfId="0"/>
    <cellStyle name="Normal 6 4 4 2 5 3 2 2 3" xfId="0"/>
    <cellStyle name="Normal 6 4 4 2 5 3 2 3" xfId="0"/>
    <cellStyle name="Normal 6 4 4 2 5 3 2 3 2" xfId="0"/>
    <cellStyle name="Normal 6 4 4 2 5 3 2 4" xfId="0"/>
    <cellStyle name="Normal 6 4 4 2 5 3 3" xfId="0"/>
    <cellStyle name="Normal 6 4 4 2 5 3 3 2" xfId="0"/>
    <cellStyle name="Normal 6 4 4 2 5 3 3 2 2" xfId="0"/>
    <cellStyle name="Normal 6 4 4 2 5 3 3 3" xfId="0"/>
    <cellStyle name="Normal 6 4 4 2 5 3 4" xfId="0"/>
    <cellStyle name="Normal 6 4 4 2 5 3 4 2" xfId="0"/>
    <cellStyle name="Normal 6 4 4 2 5 3 5" xfId="0"/>
    <cellStyle name="Normal 6 4 4 2 5 4" xfId="0"/>
    <cellStyle name="Normal 6 4 4 2 5 4 2" xfId="0"/>
    <cellStyle name="Normal 6 4 4 2 5 4 2 2" xfId="0"/>
    <cellStyle name="Normal 6 4 4 2 5 4 2 2 2" xfId="0"/>
    <cellStyle name="Normal 6 4 4 2 5 4 2 3" xfId="0"/>
    <cellStyle name="Normal 6 4 4 2 5 4 3" xfId="0"/>
    <cellStyle name="Normal 6 4 4 2 5 4 3 2" xfId="0"/>
    <cellStyle name="Normal 6 4 4 2 5 4 4" xfId="0"/>
    <cellStyle name="Normal 6 4 4 2 5 5" xfId="0"/>
    <cellStyle name="Normal 6 4 4 2 5 5 2" xfId="0"/>
    <cellStyle name="Normal 6 4 4 2 5 5 2 2" xfId="0"/>
    <cellStyle name="Normal 6 4 4 2 5 5 3" xfId="0"/>
    <cellStyle name="Normal 6 4 4 2 5 6" xfId="0"/>
    <cellStyle name="Normal 6 4 4 2 5 6 2" xfId="0"/>
    <cellStyle name="Normal 6 4 4 2 5 7" xfId="0"/>
    <cellStyle name="Normal 6 4 4 2 6" xfId="0"/>
    <cellStyle name="Normal 6 4 4 2 6 2" xfId="0"/>
    <cellStyle name="Normal 6 4 4 2 6 2 2" xfId="0"/>
    <cellStyle name="Normal 6 4 4 2 6 2 2 2" xfId="0"/>
    <cellStyle name="Normal 6 4 4 2 6 2 2 2 2" xfId="0"/>
    <cellStyle name="Normal 6 4 4 2 6 2 2 2 2 2" xfId="0"/>
    <cellStyle name="Normal 6 4 4 2 6 2 2 2 3" xfId="0"/>
    <cellStyle name="Normal 6 4 4 2 6 2 2 3" xfId="0"/>
    <cellStyle name="Normal 6 4 4 2 6 2 2 3 2" xfId="0"/>
    <cellStyle name="Normal 6 4 4 2 6 2 2 4" xfId="0"/>
    <cellStyle name="Normal 6 4 4 2 6 2 3" xfId="0"/>
    <cellStyle name="Normal 6 4 4 2 6 2 3 2" xfId="0"/>
    <cellStyle name="Normal 6 4 4 2 6 2 3 2 2" xfId="0"/>
    <cellStyle name="Normal 6 4 4 2 6 2 3 3" xfId="0"/>
    <cellStyle name="Normal 6 4 4 2 6 2 4" xfId="0"/>
    <cellStyle name="Normal 6 4 4 2 6 2 4 2" xfId="0"/>
    <cellStyle name="Normal 6 4 4 2 6 2 5" xfId="0"/>
    <cellStyle name="Normal 6 4 4 2 6 3" xfId="0"/>
    <cellStyle name="Normal 6 4 4 2 6 3 2" xfId="0"/>
    <cellStyle name="Normal 6 4 4 2 6 3 2 2" xfId="0"/>
    <cellStyle name="Normal 6 4 4 2 6 3 2 2 2" xfId="0"/>
    <cellStyle name="Normal 6 4 4 2 6 3 2 3" xfId="0"/>
    <cellStyle name="Normal 6 4 4 2 6 3 3" xfId="0"/>
    <cellStyle name="Normal 6 4 4 2 6 3 3 2" xfId="0"/>
    <cellStyle name="Normal 6 4 4 2 6 3 4" xfId="0"/>
    <cellStyle name="Normal 6 4 4 2 6 4" xfId="0"/>
    <cellStyle name="Normal 6 4 4 2 6 4 2" xfId="0"/>
    <cellStyle name="Normal 6 4 4 2 6 4 2 2" xfId="0"/>
    <cellStyle name="Normal 6 4 4 2 6 4 3" xfId="0"/>
    <cellStyle name="Normal 6 4 4 2 6 5" xfId="0"/>
    <cellStyle name="Normal 6 4 4 2 6 5 2" xfId="0"/>
    <cellStyle name="Normal 6 4 4 2 6 6" xfId="0"/>
    <cellStyle name="Normal 6 4 4 2 7" xfId="0"/>
    <cellStyle name="Normal 6 4 4 2 7 2" xfId="0"/>
    <cellStyle name="Normal 6 4 4 2 7 2 2" xfId="0"/>
    <cellStyle name="Normal 6 4 4 2 7 2 2 2" xfId="0"/>
    <cellStyle name="Normal 6 4 4 2 7 2 2 2 2" xfId="0"/>
    <cellStyle name="Normal 6 4 4 2 7 2 2 3" xfId="0"/>
    <cellStyle name="Normal 6 4 4 2 7 2 3" xfId="0"/>
    <cellStyle name="Normal 6 4 4 2 7 2 3 2" xfId="0"/>
    <cellStyle name="Normal 6 4 4 2 7 2 4" xfId="0"/>
    <cellStyle name="Normal 6 4 4 2 7 3" xfId="0"/>
    <cellStyle name="Normal 6 4 4 2 7 3 2" xfId="0"/>
    <cellStyle name="Normal 6 4 4 2 7 3 2 2" xfId="0"/>
    <cellStyle name="Normal 6 4 4 2 7 3 3" xfId="0"/>
    <cellStyle name="Normal 6 4 4 2 7 4" xfId="0"/>
    <cellStyle name="Normal 6 4 4 2 7 4 2" xfId="0"/>
    <cellStyle name="Normal 6 4 4 2 7 5" xfId="0"/>
    <cellStyle name="Normal 6 4 4 2 8" xfId="0"/>
    <cellStyle name="Normal 6 4 4 2 8 2" xfId="0"/>
    <cellStyle name="Normal 6 4 4 2 8 2 2" xfId="0"/>
    <cellStyle name="Normal 6 4 4 2 8 2 2 2" xfId="0"/>
    <cellStyle name="Normal 6 4 4 2 8 2 3" xfId="0"/>
    <cellStyle name="Normal 6 4 4 2 8 3" xfId="0"/>
    <cellStyle name="Normal 6 4 4 2 8 3 2" xfId="0"/>
    <cellStyle name="Normal 6 4 4 2 8 4" xfId="0"/>
    <cellStyle name="Normal 6 4 4 2 9" xfId="0"/>
    <cellStyle name="Normal 6 4 4 2 9 2" xfId="0"/>
    <cellStyle name="Normal 6 4 4 2 9 2 2" xfId="0"/>
    <cellStyle name="Normal 6 4 4 2 9 3" xfId="0"/>
    <cellStyle name="Normal 6 4 4 3" xfId="0"/>
    <cellStyle name="Normal 6 4 4 3 2" xfId="0"/>
    <cellStyle name="Normal 6 4 4 3 2 2" xfId="0"/>
    <cellStyle name="Normal 6 4 4 3 2 2 2" xfId="0"/>
    <cellStyle name="Normal 6 4 4 3 2 2 2 2" xfId="0"/>
    <cellStyle name="Normal 6 4 4 3 2 2 2 2 2" xfId="0"/>
    <cellStyle name="Normal 6 4 4 3 2 2 2 2 2 2" xfId="0"/>
    <cellStyle name="Normal 6 4 4 3 2 2 2 2 2 2 2" xfId="0"/>
    <cellStyle name="Normal 6 4 4 3 2 2 2 2 2 3" xfId="0"/>
    <cellStyle name="Normal 6 4 4 3 2 2 2 2 3" xfId="0"/>
    <cellStyle name="Normal 6 4 4 3 2 2 2 2 3 2" xfId="0"/>
    <cellStyle name="Normal 6 4 4 3 2 2 2 2 4" xfId="0"/>
    <cellStyle name="Normal 6 4 4 3 2 2 2 3" xfId="0"/>
    <cellStyle name="Normal 6 4 4 3 2 2 2 3 2" xfId="0"/>
    <cellStyle name="Normal 6 4 4 3 2 2 2 3 2 2" xfId="0"/>
    <cellStyle name="Normal 6 4 4 3 2 2 2 3 3" xfId="0"/>
    <cellStyle name="Normal 6 4 4 3 2 2 2 4" xfId="0"/>
    <cellStyle name="Normal 6 4 4 3 2 2 2 4 2" xfId="0"/>
    <cellStyle name="Normal 6 4 4 3 2 2 2 5" xfId="0"/>
    <cellStyle name="Normal 6 4 4 3 2 2 3" xfId="0"/>
    <cellStyle name="Normal 6 4 4 3 2 2 3 2" xfId="0"/>
    <cellStyle name="Normal 6 4 4 3 2 2 3 2 2" xfId="0"/>
    <cellStyle name="Normal 6 4 4 3 2 2 3 2 2 2" xfId="0"/>
    <cellStyle name="Normal 6 4 4 3 2 2 3 2 3" xfId="0"/>
    <cellStyle name="Normal 6 4 4 3 2 2 3 3" xfId="0"/>
    <cellStyle name="Normal 6 4 4 3 2 2 3 3 2" xfId="0"/>
    <cellStyle name="Normal 6 4 4 3 2 2 3 4" xfId="0"/>
    <cellStyle name="Normal 6 4 4 3 2 2 4" xfId="0"/>
    <cellStyle name="Normal 6 4 4 3 2 2 4 2" xfId="0"/>
    <cellStyle name="Normal 6 4 4 3 2 2 4 2 2" xfId="0"/>
    <cellStyle name="Normal 6 4 4 3 2 2 4 3" xfId="0"/>
    <cellStyle name="Normal 6 4 4 3 2 2 5" xfId="0"/>
    <cellStyle name="Normal 6 4 4 3 2 2 5 2" xfId="0"/>
    <cellStyle name="Normal 6 4 4 3 2 2 6" xfId="0"/>
    <cellStyle name="Normal 6 4 4 3 2 3" xfId="0"/>
    <cellStyle name="Normal 6 4 4 3 2 3 2" xfId="0"/>
    <cellStyle name="Normal 6 4 4 3 2 3 2 2" xfId="0"/>
    <cellStyle name="Normal 6 4 4 3 2 3 2 2 2" xfId="0"/>
    <cellStyle name="Normal 6 4 4 3 2 3 2 2 2 2" xfId="0"/>
    <cellStyle name="Normal 6 4 4 3 2 3 2 2 3" xfId="0"/>
    <cellStyle name="Normal 6 4 4 3 2 3 2 3" xfId="0"/>
    <cellStyle name="Normal 6 4 4 3 2 3 2 3 2" xfId="0"/>
    <cellStyle name="Normal 6 4 4 3 2 3 2 4" xfId="0"/>
    <cellStyle name="Normal 6 4 4 3 2 3 3" xfId="0"/>
    <cellStyle name="Normal 6 4 4 3 2 3 3 2" xfId="0"/>
    <cellStyle name="Normal 6 4 4 3 2 3 3 2 2" xfId="0"/>
    <cellStyle name="Normal 6 4 4 3 2 3 3 3" xfId="0"/>
    <cellStyle name="Normal 6 4 4 3 2 3 4" xfId="0"/>
    <cellStyle name="Normal 6 4 4 3 2 3 4 2" xfId="0"/>
    <cellStyle name="Normal 6 4 4 3 2 3 5" xfId="0"/>
    <cellStyle name="Normal 6 4 4 3 2 4" xfId="0"/>
    <cellStyle name="Normal 6 4 4 3 2 4 2" xfId="0"/>
    <cellStyle name="Normal 6 4 4 3 2 4 2 2" xfId="0"/>
    <cellStyle name="Normal 6 4 4 3 2 4 2 2 2" xfId="0"/>
    <cellStyle name="Normal 6 4 4 3 2 4 2 3" xfId="0"/>
    <cellStyle name="Normal 6 4 4 3 2 4 3" xfId="0"/>
    <cellStyle name="Normal 6 4 4 3 2 4 3 2" xfId="0"/>
    <cellStyle name="Normal 6 4 4 3 2 4 4" xfId="0"/>
    <cellStyle name="Normal 6 4 4 3 2 5" xfId="0"/>
    <cellStyle name="Normal 6 4 4 3 2 5 2" xfId="0"/>
    <cellStyle name="Normal 6 4 4 3 2 5 2 2" xfId="0"/>
    <cellStyle name="Normal 6 4 4 3 2 5 3" xfId="0"/>
    <cellStyle name="Normal 6 4 4 3 2 6" xfId="0"/>
    <cellStyle name="Normal 6 4 4 3 2 6 2" xfId="0"/>
    <cellStyle name="Normal 6 4 4 3 2 7" xfId="0"/>
    <cellStyle name="Normal 6 4 4 3 3" xfId="0"/>
    <cellStyle name="Normal 6 4 4 3 3 2" xfId="0"/>
    <cellStyle name="Normal 6 4 4 3 3 2 2" xfId="0"/>
    <cellStyle name="Normal 6 4 4 3 3 2 2 2" xfId="0"/>
    <cellStyle name="Normal 6 4 4 3 3 2 2 2 2" xfId="0"/>
    <cellStyle name="Normal 6 4 4 3 3 2 2 2 2 2" xfId="0"/>
    <cellStyle name="Normal 6 4 4 3 3 2 2 2 3" xfId="0"/>
    <cellStyle name="Normal 6 4 4 3 3 2 2 3" xfId="0"/>
    <cellStyle name="Normal 6 4 4 3 3 2 2 3 2" xfId="0"/>
    <cellStyle name="Normal 6 4 4 3 3 2 2 4" xfId="0"/>
    <cellStyle name="Normal 6 4 4 3 3 2 3" xfId="0"/>
    <cellStyle name="Normal 6 4 4 3 3 2 3 2" xfId="0"/>
    <cellStyle name="Normal 6 4 4 3 3 2 3 2 2" xfId="0"/>
    <cellStyle name="Normal 6 4 4 3 3 2 3 3" xfId="0"/>
    <cellStyle name="Normal 6 4 4 3 3 2 4" xfId="0"/>
    <cellStyle name="Normal 6 4 4 3 3 2 4 2" xfId="0"/>
    <cellStyle name="Normal 6 4 4 3 3 2 5" xfId="0"/>
    <cellStyle name="Normal 6 4 4 3 3 3" xfId="0"/>
    <cellStyle name="Normal 6 4 4 3 3 3 2" xfId="0"/>
    <cellStyle name="Normal 6 4 4 3 3 3 2 2" xfId="0"/>
    <cellStyle name="Normal 6 4 4 3 3 3 2 2 2" xfId="0"/>
    <cellStyle name="Normal 6 4 4 3 3 3 2 3" xfId="0"/>
    <cellStyle name="Normal 6 4 4 3 3 3 3" xfId="0"/>
    <cellStyle name="Normal 6 4 4 3 3 3 3 2" xfId="0"/>
    <cellStyle name="Normal 6 4 4 3 3 3 4" xfId="0"/>
    <cellStyle name="Normal 6 4 4 3 3 4" xfId="0"/>
    <cellStyle name="Normal 6 4 4 3 3 4 2" xfId="0"/>
    <cellStyle name="Normal 6 4 4 3 3 4 2 2" xfId="0"/>
    <cellStyle name="Normal 6 4 4 3 3 4 3" xfId="0"/>
    <cellStyle name="Normal 6 4 4 3 3 5" xfId="0"/>
    <cellStyle name="Normal 6 4 4 3 3 5 2" xfId="0"/>
    <cellStyle name="Normal 6 4 4 3 3 6" xfId="0"/>
    <cellStyle name="Normal 6 4 4 3 4" xfId="0"/>
    <cellStyle name="Normal 6 4 4 3 4 2" xfId="0"/>
    <cellStyle name="Normal 6 4 4 3 4 2 2" xfId="0"/>
    <cellStyle name="Normal 6 4 4 3 4 2 2 2" xfId="0"/>
    <cellStyle name="Normal 6 4 4 3 4 2 2 2 2" xfId="0"/>
    <cellStyle name="Normal 6 4 4 3 4 2 2 3" xfId="0"/>
    <cellStyle name="Normal 6 4 4 3 4 2 3" xfId="0"/>
    <cellStyle name="Normal 6 4 4 3 4 2 3 2" xfId="0"/>
    <cellStyle name="Normal 6 4 4 3 4 2 4" xfId="0"/>
    <cellStyle name="Normal 6 4 4 3 4 3" xfId="0"/>
    <cellStyle name="Normal 6 4 4 3 4 3 2" xfId="0"/>
    <cellStyle name="Normal 6 4 4 3 4 3 2 2" xfId="0"/>
    <cellStyle name="Normal 6 4 4 3 4 3 3" xfId="0"/>
    <cellStyle name="Normal 6 4 4 3 4 4" xfId="0"/>
    <cellStyle name="Normal 6 4 4 3 4 4 2" xfId="0"/>
    <cellStyle name="Normal 6 4 4 3 4 5" xfId="0"/>
    <cellStyle name="Normal 6 4 4 3 5" xfId="0"/>
    <cellStyle name="Normal 6 4 4 3 5 2" xfId="0"/>
    <cellStyle name="Normal 6 4 4 3 5 2 2" xfId="0"/>
    <cellStyle name="Normal 6 4 4 3 5 2 2 2" xfId="0"/>
    <cellStyle name="Normal 6 4 4 3 5 2 3" xfId="0"/>
    <cellStyle name="Normal 6 4 4 3 5 3" xfId="0"/>
    <cellStyle name="Normal 6 4 4 3 5 3 2" xfId="0"/>
    <cellStyle name="Normal 6 4 4 3 5 4" xfId="0"/>
    <cellStyle name="Normal 6 4 4 3 6" xfId="0"/>
    <cellStyle name="Normal 6 4 4 3 6 2" xfId="0"/>
    <cellStyle name="Normal 6 4 4 3 6 2 2" xfId="0"/>
    <cellStyle name="Normal 6 4 4 3 6 3" xfId="0"/>
    <cellStyle name="Normal 6 4 4 3 7" xfId="0"/>
    <cellStyle name="Normal 6 4 4 3 7 2" xfId="0"/>
    <cellStyle name="Normal 6 4 4 3 8" xfId="0"/>
    <cellStyle name="Normal 6 4 4 4" xfId="0"/>
    <cellStyle name="Normal 6 4 4 4 2" xfId="0"/>
    <cellStyle name="Normal 6 4 4 4 2 2" xfId="0"/>
    <cellStyle name="Normal 6 4 4 4 2 2 2" xfId="0"/>
    <cellStyle name="Normal 6 4 4 4 2 2 2 2" xfId="0"/>
    <cellStyle name="Normal 6 4 4 4 2 2 2 2 2" xfId="0"/>
    <cellStyle name="Normal 6 4 4 4 2 2 2 2 2 2" xfId="0"/>
    <cellStyle name="Normal 6 4 4 4 2 2 2 2 2 2 2" xfId="0"/>
    <cellStyle name="Normal 6 4 4 4 2 2 2 2 2 3" xfId="0"/>
    <cellStyle name="Normal 6 4 4 4 2 2 2 2 3" xfId="0"/>
    <cellStyle name="Normal 6 4 4 4 2 2 2 2 3 2" xfId="0"/>
    <cellStyle name="Normal 6 4 4 4 2 2 2 2 4" xfId="0"/>
    <cellStyle name="Normal 6 4 4 4 2 2 2 3" xfId="0"/>
    <cellStyle name="Normal 6 4 4 4 2 2 2 3 2" xfId="0"/>
    <cellStyle name="Normal 6 4 4 4 2 2 2 3 2 2" xfId="0"/>
    <cellStyle name="Normal 6 4 4 4 2 2 2 3 3" xfId="0"/>
    <cellStyle name="Normal 6 4 4 4 2 2 2 4" xfId="0"/>
    <cellStyle name="Normal 6 4 4 4 2 2 2 4 2" xfId="0"/>
    <cellStyle name="Normal 6 4 4 4 2 2 2 5" xfId="0"/>
    <cellStyle name="Normal 6 4 4 4 2 2 3" xfId="0"/>
    <cellStyle name="Normal 6 4 4 4 2 2 3 2" xfId="0"/>
    <cellStyle name="Normal 6 4 4 4 2 2 3 2 2" xfId="0"/>
    <cellStyle name="Normal 6 4 4 4 2 2 3 2 2 2" xfId="0"/>
    <cellStyle name="Normal 6 4 4 4 2 2 3 2 3" xfId="0"/>
    <cellStyle name="Normal 6 4 4 4 2 2 3 3" xfId="0"/>
    <cellStyle name="Normal 6 4 4 4 2 2 3 3 2" xfId="0"/>
    <cellStyle name="Normal 6 4 4 4 2 2 3 4" xfId="0"/>
    <cellStyle name="Normal 6 4 4 4 2 2 4" xfId="0"/>
    <cellStyle name="Normal 6 4 4 4 2 2 4 2" xfId="0"/>
    <cellStyle name="Normal 6 4 4 4 2 2 4 2 2" xfId="0"/>
    <cellStyle name="Normal 6 4 4 4 2 2 4 3" xfId="0"/>
    <cellStyle name="Normal 6 4 4 4 2 2 5" xfId="0"/>
    <cellStyle name="Normal 6 4 4 4 2 2 5 2" xfId="0"/>
    <cellStyle name="Normal 6 4 4 4 2 2 6" xfId="0"/>
    <cellStyle name="Normal 6 4 4 4 2 3" xfId="0"/>
    <cellStyle name="Normal 6 4 4 4 2 3 2" xfId="0"/>
    <cellStyle name="Normal 6 4 4 4 2 3 2 2" xfId="0"/>
    <cellStyle name="Normal 6 4 4 4 2 3 2 2 2" xfId="0"/>
    <cellStyle name="Normal 6 4 4 4 2 3 2 2 2 2" xfId="0"/>
    <cellStyle name="Normal 6 4 4 4 2 3 2 2 3" xfId="0"/>
    <cellStyle name="Normal 6 4 4 4 2 3 2 3" xfId="0"/>
    <cellStyle name="Normal 6 4 4 4 2 3 2 3 2" xfId="0"/>
    <cellStyle name="Normal 6 4 4 4 2 3 2 4" xfId="0"/>
    <cellStyle name="Normal 6 4 4 4 2 3 3" xfId="0"/>
    <cellStyle name="Normal 6 4 4 4 2 3 3 2" xfId="0"/>
    <cellStyle name="Normal 6 4 4 4 2 3 3 2 2" xfId="0"/>
    <cellStyle name="Normal 6 4 4 4 2 3 3 3" xfId="0"/>
    <cellStyle name="Normal 6 4 4 4 2 3 4" xfId="0"/>
    <cellStyle name="Normal 6 4 4 4 2 3 4 2" xfId="0"/>
    <cellStyle name="Normal 6 4 4 4 2 3 5" xfId="0"/>
    <cellStyle name="Normal 6 4 4 4 2 4" xfId="0"/>
    <cellStyle name="Normal 6 4 4 4 2 4 2" xfId="0"/>
    <cellStyle name="Normal 6 4 4 4 2 4 2 2" xfId="0"/>
    <cellStyle name="Normal 6 4 4 4 2 4 2 2 2" xfId="0"/>
    <cellStyle name="Normal 6 4 4 4 2 4 2 3" xfId="0"/>
    <cellStyle name="Normal 6 4 4 4 2 4 3" xfId="0"/>
    <cellStyle name="Normal 6 4 4 4 2 4 3 2" xfId="0"/>
    <cellStyle name="Normal 6 4 4 4 2 4 4" xfId="0"/>
    <cellStyle name="Normal 6 4 4 4 2 5" xfId="0"/>
    <cellStyle name="Normal 6 4 4 4 2 5 2" xfId="0"/>
    <cellStyle name="Normal 6 4 4 4 2 5 2 2" xfId="0"/>
    <cellStyle name="Normal 6 4 4 4 2 5 3" xfId="0"/>
    <cellStyle name="Normal 6 4 4 4 2 6" xfId="0"/>
    <cellStyle name="Normal 6 4 4 4 2 6 2" xfId="0"/>
    <cellStyle name="Normal 6 4 4 4 2 7" xfId="0"/>
    <cellStyle name="Normal 6 4 4 4 3" xfId="0"/>
    <cellStyle name="Normal 6 4 4 4 3 2" xfId="0"/>
    <cellStyle name="Normal 6 4 4 4 3 2 2" xfId="0"/>
    <cellStyle name="Normal 6 4 4 4 3 2 2 2" xfId="0"/>
    <cellStyle name="Normal 6 4 4 4 3 2 2 2 2" xfId="0"/>
    <cellStyle name="Normal 6 4 4 4 3 2 2 2 2 2" xfId="0"/>
    <cellStyle name="Normal 6 4 4 4 3 2 2 2 3" xfId="0"/>
    <cellStyle name="Normal 6 4 4 4 3 2 2 3" xfId="0"/>
    <cellStyle name="Normal 6 4 4 4 3 2 2 3 2" xfId="0"/>
    <cellStyle name="Normal 6 4 4 4 3 2 2 4" xfId="0"/>
    <cellStyle name="Normal 6 4 4 4 3 2 3" xfId="0"/>
    <cellStyle name="Normal 6 4 4 4 3 2 3 2" xfId="0"/>
    <cellStyle name="Normal 6 4 4 4 3 2 3 2 2" xfId="0"/>
    <cellStyle name="Normal 6 4 4 4 3 2 3 3" xfId="0"/>
    <cellStyle name="Normal 6 4 4 4 3 2 4" xfId="0"/>
    <cellStyle name="Normal 6 4 4 4 3 2 4 2" xfId="0"/>
    <cellStyle name="Normal 6 4 4 4 3 2 5" xfId="0"/>
    <cellStyle name="Normal 6 4 4 4 3 3" xfId="0"/>
    <cellStyle name="Normal 6 4 4 4 3 3 2" xfId="0"/>
    <cellStyle name="Normal 6 4 4 4 3 3 2 2" xfId="0"/>
    <cellStyle name="Normal 6 4 4 4 3 3 2 2 2" xfId="0"/>
    <cellStyle name="Normal 6 4 4 4 3 3 2 3" xfId="0"/>
    <cellStyle name="Normal 6 4 4 4 3 3 3" xfId="0"/>
    <cellStyle name="Normal 6 4 4 4 3 3 3 2" xfId="0"/>
    <cellStyle name="Normal 6 4 4 4 3 3 4" xfId="0"/>
    <cellStyle name="Normal 6 4 4 4 3 4" xfId="0"/>
    <cellStyle name="Normal 6 4 4 4 3 4 2" xfId="0"/>
    <cellStyle name="Normal 6 4 4 4 3 4 2 2" xfId="0"/>
    <cellStyle name="Normal 6 4 4 4 3 4 3" xfId="0"/>
    <cellStyle name="Normal 6 4 4 4 3 5" xfId="0"/>
    <cellStyle name="Normal 6 4 4 4 3 5 2" xfId="0"/>
    <cellStyle name="Normal 6 4 4 4 3 6" xfId="0"/>
    <cellStyle name="Normal 6 4 4 4 4" xfId="0"/>
    <cellStyle name="Normal 6 4 4 4 4 2" xfId="0"/>
    <cellStyle name="Normal 6 4 4 4 4 2 2" xfId="0"/>
    <cellStyle name="Normal 6 4 4 4 4 2 2 2" xfId="0"/>
    <cellStyle name="Normal 6 4 4 4 4 2 2 2 2" xfId="0"/>
    <cellStyle name="Normal 6 4 4 4 4 2 2 3" xfId="0"/>
    <cellStyle name="Normal 6 4 4 4 4 2 3" xfId="0"/>
    <cellStyle name="Normal 6 4 4 4 4 2 3 2" xfId="0"/>
    <cellStyle name="Normal 6 4 4 4 4 2 4" xfId="0"/>
    <cellStyle name="Normal 6 4 4 4 4 3" xfId="0"/>
    <cellStyle name="Normal 6 4 4 4 4 3 2" xfId="0"/>
    <cellStyle name="Normal 6 4 4 4 4 3 2 2" xfId="0"/>
    <cellStyle name="Normal 6 4 4 4 4 3 3" xfId="0"/>
    <cellStyle name="Normal 6 4 4 4 4 4" xfId="0"/>
    <cellStyle name="Normal 6 4 4 4 4 4 2" xfId="0"/>
    <cellStyle name="Normal 6 4 4 4 4 5" xfId="0"/>
    <cellStyle name="Normal 6 4 4 4 5" xfId="0"/>
    <cellStyle name="Normal 6 4 4 4 5 2" xfId="0"/>
    <cellStyle name="Normal 6 4 4 4 5 2 2" xfId="0"/>
    <cellStyle name="Normal 6 4 4 4 5 2 2 2" xfId="0"/>
    <cellStyle name="Normal 6 4 4 4 5 2 3" xfId="0"/>
    <cellStyle name="Normal 6 4 4 4 5 3" xfId="0"/>
    <cellStyle name="Normal 6 4 4 4 5 3 2" xfId="0"/>
    <cellStyle name="Normal 6 4 4 4 5 4" xfId="0"/>
    <cellStyle name="Normal 6 4 4 4 6" xfId="0"/>
    <cellStyle name="Normal 6 4 4 4 6 2" xfId="0"/>
    <cellStyle name="Normal 6 4 4 4 6 2 2" xfId="0"/>
    <cellStyle name="Normal 6 4 4 4 6 3" xfId="0"/>
    <cellStyle name="Normal 6 4 4 4 7" xfId="0"/>
    <cellStyle name="Normal 6 4 4 4 7 2" xfId="0"/>
    <cellStyle name="Normal 6 4 4 4 8" xfId="0"/>
    <cellStyle name="Normal 6 4 4 5" xfId="0"/>
    <cellStyle name="Normal 6 4 4 5 2" xfId="0"/>
    <cellStyle name="Normal 6 4 4 5 2 2" xfId="0"/>
    <cellStyle name="Normal 6 4 4 5 2 2 2" xfId="0"/>
    <cellStyle name="Normal 6 4 4 5 2 2 2 2" xfId="0"/>
    <cellStyle name="Normal 6 4 4 5 2 2 2 2 2" xfId="0"/>
    <cellStyle name="Normal 6 4 4 5 2 2 2 2 2 2" xfId="0"/>
    <cellStyle name="Normal 6 4 4 5 2 2 2 2 3" xfId="0"/>
    <cellStyle name="Normal 6 4 4 5 2 2 2 3" xfId="0"/>
    <cellStyle name="Normal 6 4 4 5 2 2 2 3 2" xfId="0"/>
    <cellStyle name="Normal 6 4 4 5 2 2 2 4" xfId="0"/>
    <cellStyle name="Normal 6 4 4 5 2 2 3" xfId="0"/>
    <cellStyle name="Normal 6 4 4 5 2 2 3 2" xfId="0"/>
    <cellStyle name="Normal 6 4 4 5 2 2 3 2 2" xfId="0"/>
    <cellStyle name="Normal 6 4 4 5 2 2 3 3" xfId="0"/>
    <cellStyle name="Normal 6 4 4 5 2 2 4" xfId="0"/>
    <cellStyle name="Normal 6 4 4 5 2 2 4 2" xfId="0"/>
    <cellStyle name="Normal 6 4 4 5 2 2 5" xfId="0"/>
    <cellStyle name="Normal 6 4 4 5 2 3" xfId="0"/>
    <cellStyle name="Normal 6 4 4 5 2 3 2" xfId="0"/>
    <cellStyle name="Normal 6 4 4 5 2 3 2 2" xfId="0"/>
    <cellStyle name="Normal 6 4 4 5 2 3 2 2 2" xfId="0"/>
    <cellStyle name="Normal 6 4 4 5 2 3 2 3" xfId="0"/>
    <cellStyle name="Normal 6 4 4 5 2 3 3" xfId="0"/>
    <cellStyle name="Normal 6 4 4 5 2 3 3 2" xfId="0"/>
    <cellStyle name="Normal 6 4 4 5 2 3 4" xfId="0"/>
    <cellStyle name="Normal 6 4 4 5 2 4" xfId="0"/>
    <cellStyle name="Normal 6 4 4 5 2 4 2" xfId="0"/>
    <cellStyle name="Normal 6 4 4 5 2 4 2 2" xfId="0"/>
    <cellStyle name="Normal 6 4 4 5 2 4 3" xfId="0"/>
    <cellStyle name="Normal 6 4 4 5 2 5" xfId="0"/>
    <cellStyle name="Normal 6 4 4 5 2 5 2" xfId="0"/>
    <cellStyle name="Normal 6 4 4 5 2 6" xfId="0"/>
    <cellStyle name="Normal 6 4 4 5 3" xfId="0"/>
    <cellStyle name="Normal 6 4 4 5 3 2" xfId="0"/>
    <cellStyle name="Normal 6 4 4 5 3 2 2" xfId="0"/>
    <cellStyle name="Normal 6 4 4 5 3 2 2 2" xfId="0"/>
    <cellStyle name="Normal 6 4 4 5 3 2 2 2 2" xfId="0"/>
    <cellStyle name="Normal 6 4 4 5 3 2 2 3" xfId="0"/>
    <cellStyle name="Normal 6 4 4 5 3 2 3" xfId="0"/>
    <cellStyle name="Normal 6 4 4 5 3 2 3 2" xfId="0"/>
    <cellStyle name="Normal 6 4 4 5 3 2 4" xfId="0"/>
    <cellStyle name="Normal 6 4 4 5 3 3" xfId="0"/>
    <cellStyle name="Normal 6 4 4 5 3 3 2" xfId="0"/>
    <cellStyle name="Normal 6 4 4 5 3 3 2 2" xfId="0"/>
    <cellStyle name="Normal 6 4 4 5 3 3 3" xfId="0"/>
    <cellStyle name="Normal 6 4 4 5 3 4" xfId="0"/>
    <cellStyle name="Normal 6 4 4 5 3 4 2" xfId="0"/>
    <cellStyle name="Normal 6 4 4 5 3 5" xfId="0"/>
    <cellStyle name="Normal 6 4 4 5 4" xfId="0"/>
    <cellStyle name="Normal 6 4 4 5 4 2" xfId="0"/>
    <cellStyle name="Normal 6 4 4 5 4 2 2" xfId="0"/>
    <cellStyle name="Normal 6 4 4 5 4 2 2 2" xfId="0"/>
    <cellStyle name="Normal 6 4 4 5 4 2 3" xfId="0"/>
    <cellStyle name="Normal 6 4 4 5 4 3" xfId="0"/>
    <cellStyle name="Normal 6 4 4 5 4 3 2" xfId="0"/>
    <cellStyle name="Normal 6 4 4 5 4 4" xfId="0"/>
    <cellStyle name="Normal 6 4 4 5 5" xfId="0"/>
    <cellStyle name="Normal 6 4 4 5 5 2" xfId="0"/>
    <cellStyle name="Normal 6 4 4 5 5 2 2" xfId="0"/>
    <cellStyle name="Normal 6 4 4 5 5 3" xfId="0"/>
    <cellStyle name="Normal 6 4 4 5 6" xfId="0"/>
    <cellStyle name="Normal 6 4 4 5 6 2" xfId="0"/>
    <cellStyle name="Normal 6 4 4 5 7" xfId="0"/>
    <cellStyle name="Normal 6 4 4 6" xfId="0"/>
    <cellStyle name="Normal 6 4 4 6 2" xfId="0"/>
    <cellStyle name="Normal 6 4 4 6 2 2" xfId="0"/>
    <cellStyle name="Normal 6 4 4 6 2 2 2" xfId="0"/>
    <cellStyle name="Normal 6 4 4 6 2 2 2 2" xfId="0"/>
    <cellStyle name="Normal 6 4 4 6 2 2 2 2 2" xfId="0"/>
    <cellStyle name="Normal 6 4 4 6 2 2 2 2 2 2" xfId="0"/>
    <cellStyle name="Normal 6 4 4 6 2 2 2 2 3" xfId="0"/>
    <cellStyle name="Normal 6 4 4 6 2 2 2 3" xfId="0"/>
    <cellStyle name="Normal 6 4 4 6 2 2 2 3 2" xfId="0"/>
    <cellStyle name="Normal 6 4 4 6 2 2 2 4" xfId="0"/>
    <cellStyle name="Normal 6 4 4 6 2 2 3" xfId="0"/>
    <cellStyle name="Normal 6 4 4 6 2 2 3 2" xfId="0"/>
    <cellStyle name="Normal 6 4 4 6 2 2 3 2 2" xfId="0"/>
    <cellStyle name="Normal 6 4 4 6 2 2 3 3" xfId="0"/>
    <cellStyle name="Normal 6 4 4 6 2 2 4" xfId="0"/>
    <cellStyle name="Normal 6 4 4 6 2 2 4 2" xfId="0"/>
    <cellStyle name="Normal 6 4 4 6 2 2 5" xfId="0"/>
    <cellStyle name="Normal 6 4 4 6 2 3" xfId="0"/>
    <cellStyle name="Normal 6 4 4 6 2 3 2" xfId="0"/>
    <cellStyle name="Normal 6 4 4 6 2 3 2 2" xfId="0"/>
    <cellStyle name="Normal 6 4 4 6 2 3 2 2 2" xfId="0"/>
    <cellStyle name="Normal 6 4 4 6 2 3 2 3" xfId="0"/>
    <cellStyle name="Normal 6 4 4 6 2 3 3" xfId="0"/>
    <cellStyle name="Normal 6 4 4 6 2 3 3 2" xfId="0"/>
    <cellStyle name="Normal 6 4 4 6 2 3 4" xfId="0"/>
    <cellStyle name="Normal 6 4 4 6 2 4" xfId="0"/>
    <cellStyle name="Normal 6 4 4 6 2 4 2" xfId="0"/>
    <cellStyle name="Normal 6 4 4 6 2 4 2 2" xfId="0"/>
    <cellStyle name="Normal 6 4 4 6 2 4 3" xfId="0"/>
    <cellStyle name="Normal 6 4 4 6 2 5" xfId="0"/>
    <cellStyle name="Normal 6 4 4 6 2 5 2" xfId="0"/>
    <cellStyle name="Normal 6 4 4 6 2 6" xfId="0"/>
    <cellStyle name="Normal 6 4 4 6 3" xfId="0"/>
    <cellStyle name="Normal 6 4 4 6 3 2" xfId="0"/>
    <cellStyle name="Normal 6 4 4 6 3 2 2" xfId="0"/>
    <cellStyle name="Normal 6 4 4 6 3 2 2 2" xfId="0"/>
    <cellStyle name="Normal 6 4 4 6 3 2 2 2 2" xfId="0"/>
    <cellStyle name="Normal 6 4 4 6 3 2 2 3" xfId="0"/>
    <cellStyle name="Normal 6 4 4 6 3 2 3" xfId="0"/>
    <cellStyle name="Normal 6 4 4 6 3 2 3 2" xfId="0"/>
    <cellStyle name="Normal 6 4 4 6 3 2 4" xfId="0"/>
    <cellStyle name="Normal 6 4 4 6 3 3" xfId="0"/>
    <cellStyle name="Normal 6 4 4 6 3 3 2" xfId="0"/>
    <cellStyle name="Normal 6 4 4 6 3 3 2 2" xfId="0"/>
    <cellStyle name="Normal 6 4 4 6 3 3 3" xfId="0"/>
    <cellStyle name="Normal 6 4 4 6 3 4" xfId="0"/>
    <cellStyle name="Normal 6 4 4 6 3 4 2" xfId="0"/>
    <cellStyle name="Normal 6 4 4 6 3 5" xfId="0"/>
    <cellStyle name="Normal 6 4 4 6 4" xfId="0"/>
    <cellStyle name="Normal 6 4 4 6 4 2" xfId="0"/>
    <cellStyle name="Normal 6 4 4 6 4 2 2" xfId="0"/>
    <cellStyle name="Normal 6 4 4 6 4 2 2 2" xfId="0"/>
    <cellStyle name="Normal 6 4 4 6 4 2 3" xfId="0"/>
    <cellStyle name="Normal 6 4 4 6 4 3" xfId="0"/>
    <cellStyle name="Normal 6 4 4 6 4 3 2" xfId="0"/>
    <cellStyle name="Normal 6 4 4 6 4 4" xfId="0"/>
    <cellStyle name="Normal 6 4 4 6 5" xfId="0"/>
    <cellStyle name="Normal 6 4 4 6 5 2" xfId="0"/>
    <cellStyle name="Normal 6 4 4 6 5 2 2" xfId="0"/>
    <cellStyle name="Normal 6 4 4 6 5 3" xfId="0"/>
    <cellStyle name="Normal 6 4 4 6 6" xfId="0"/>
    <cellStyle name="Normal 6 4 4 6 6 2" xfId="0"/>
    <cellStyle name="Normal 6 4 4 6 7" xfId="0"/>
    <cellStyle name="Normal 6 4 4 7" xfId="0"/>
    <cellStyle name="Normal 6 4 4 7 2" xfId="0"/>
    <cellStyle name="Normal 6 4 4 7 2 2" xfId="0"/>
    <cellStyle name="Normal 6 4 4 7 2 2 2" xfId="0"/>
    <cellStyle name="Normal 6 4 4 7 2 2 2 2" xfId="0"/>
    <cellStyle name="Normal 6 4 4 7 2 2 2 2 2" xfId="0"/>
    <cellStyle name="Normal 6 4 4 7 2 2 2 3" xfId="0"/>
    <cellStyle name="Normal 6 4 4 7 2 2 3" xfId="0"/>
    <cellStyle name="Normal 6 4 4 7 2 2 3 2" xfId="0"/>
    <cellStyle name="Normal 6 4 4 7 2 2 4" xfId="0"/>
    <cellStyle name="Normal 6 4 4 7 2 3" xfId="0"/>
    <cellStyle name="Normal 6 4 4 7 2 3 2" xfId="0"/>
    <cellStyle name="Normal 6 4 4 7 2 3 2 2" xfId="0"/>
    <cellStyle name="Normal 6 4 4 7 2 3 3" xfId="0"/>
    <cellStyle name="Normal 6 4 4 7 2 4" xfId="0"/>
    <cellStyle name="Normal 6 4 4 7 2 4 2" xfId="0"/>
    <cellStyle name="Normal 6 4 4 7 2 5" xfId="0"/>
    <cellStyle name="Normal 6 4 4 7 3" xfId="0"/>
    <cellStyle name="Normal 6 4 4 7 3 2" xfId="0"/>
    <cellStyle name="Normal 6 4 4 7 3 2 2" xfId="0"/>
    <cellStyle name="Normal 6 4 4 7 3 2 2 2" xfId="0"/>
    <cellStyle name="Normal 6 4 4 7 3 2 3" xfId="0"/>
    <cellStyle name="Normal 6 4 4 7 3 3" xfId="0"/>
    <cellStyle name="Normal 6 4 4 7 3 3 2" xfId="0"/>
    <cellStyle name="Normal 6 4 4 7 3 4" xfId="0"/>
    <cellStyle name="Normal 6 4 4 7 4" xfId="0"/>
    <cellStyle name="Normal 6 4 4 7 4 2" xfId="0"/>
    <cellStyle name="Normal 6 4 4 7 4 2 2" xfId="0"/>
    <cellStyle name="Normal 6 4 4 7 4 3" xfId="0"/>
    <cellStyle name="Normal 6 4 4 7 5" xfId="0"/>
    <cellStyle name="Normal 6 4 4 7 5 2" xfId="0"/>
    <cellStyle name="Normal 6 4 4 7 6" xfId="0"/>
    <cellStyle name="Normal 6 4 4 8" xfId="0"/>
    <cellStyle name="Normal 6 4 4 8 2" xfId="0"/>
    <cellStyle name="Normal 6 4 4 8 2 2" xfId="0"/>
    <cellStyle name="Normal 6 4 4 8 2 2 2" xfId="0"/>
    <cellStyle name="Normal 6 4 4 8 2 2 2 2" xfId="0"/>
    <cellStyle name="Normal 6 4 4 8 2 2 3" xfId="0"/>
    <cellStyle name="Normal 6 4 4 8 2 3" xfId="0"/>
    <cellStyle name="Normal 6 4 4 8 2 3 2" xfId="0"/>
    <cellStyle name="Normal 6 4 4 8 2 4" xfId="0"/>
    <cellStyle name="Normal 6 4 4 8 3" xfId="0"/>
    <cellStyle name="Normal 6 4 4 8 3 2" xfId="0"/>
    <cellStyle name="Normal 6 4 4 8 3 2 2" xfId="0"/>
    <cellStyle name="Normal 6 4 4 8 3 3" xfId="0"/>
    <cellStyle name="Normal 6 4 4 8 4" xfId="0"/>
    <cellStyle name="Normal 6 4 4 8 4 2" xfId="0"/>
    <cellStyle name="Normal 6 4 4 8 5" xfId="0"/>
    <cellStyle name="Normal 6 4 4 9" xfId="0"/>
    <cellStyle name="Normal 6 4 4 9 2" xfId="0"/>
    <cellStyle name="Normal 6 4 4 9 2 2" xfId="0"/>
    <cellStyle name="Normal 6 4 4 9 2 2 2" xfId="0"/>
    <cellStyle name="Normal 6 4 4 9 2 3" xfId="0"/>
    <cellStyle name="Normal 6 4 4 9 3" xfId="0"/>
    <cellStyle name="Normal 6 4 4 9 3 2" xfId="0"/>
    <cellStyle name="Normal 6 4 4 9 4" xfId="0"/>
    <cellStyle name="Normal 6 4 5" xfId="0"/>
    <cellStyle name="Normal 6 4 5 10" xfId="0"/>
    <cellStyle name="Normal 6 4 5 10 2" xfId="0"/>
    <cellStyle name="Normal 6 4 5 11" xfId="0"/>
    <cellStyle name="Normal 6 4 5 2" xfId="0"/>
    <cellStyle name="Normal 6 4 5 2 2" xfId="0"/>
    <cellStyle name="Normal 6 4 5 2 2 2" xfId="0"/>
    <cellStyle name="Normal 6 4 5 2 2 2 2" xfId="0"/>
    <cellStyle name="Normal 6 4 5 2 2 2 2 2" xfId="0"/>
    <cellStyle name="Normal 6 4 5 2 2 2 2 2 2" xfId="0"/>
    <cellStyle name="Normal 6 4 5 2 2 2 2 2 2 2" xfId="0"/>
    <cellStyle name="Normal 6 4 5 2 2 2 2 2 2 2 2" xfId="0"/>
    <cellStyle name="Normal 6 4 5 2 2 2 2 2 2 3" xfId="0"/>
    <cellStyle name="Normal 6 4 5 2 2 2 2 2 3" xfId="0"/>
    <cellStyle name="Normal 6 4 5 2 2 2 2 2 3 2" xfId="0"/>
    <cellStyle name="Normal 6 4 5 2 2 2 2 2 4" xfId="0"/>
    <cellStyle name="Normal 6 4 5 2 2 2 2 3" xfId="0"/>
    <cellStyle name="Normal 6 4 5 2 2 2 2 3 2" xfId="0"/>
    <cellStyle name="Normal 6 4 5 2 2 2 2 3 2 2" xfId="0"/>
    <cellStyle name="Normal 6 4 5 2 2 2 2 3 3" xfId="0"/>
    <cellStyle name="Normal 6 4 5 2 2 2 2 4" xfId="0"/>
    <cellStyle name="Normal 6 4 5 2 2 2 2 4 2" xfId="0"/>
    <cellStyle name="Normal 6 4 5 2 2 2 2 5" xfId="0"/>
    <cellStyle name="Normal 6 4 5 2 2 2 3" xfId="0"/>
    <cellStyle name="Normal 6 4 5 2 2 2 3 2" xfId="0"/>
    <cellStyle name="Normal 6 4 5 2 2 2 3 2 2" xfId="0"/>
    <cellStyle name="Normal 6 4 5 2 2 2 3 2 2 2" xfId="0"/>
    <cellStyle name="Normal 6 4 5 2 2 2 3 2 3" xfId="0"/>
    <cellStyle name="Normal 6 4 5 2 2 2 3 3" xfId="0"/>
    <cellStyle name="Normal 6 4 5 2 2 2 3 3 2" xfId="0"/>
    <cellStyle name="Normal 6 4 5 2 2 2 3 4" xfId="0"/>
    <cellStyle name="Normal 6 4 5 2 2 2 4" xfId="0"/>
    <cellStyle name="Normal 6 4 5 2 2 2 4 2" xfId="0"/>
    <cellStyle name="Normal 6 4 5 2 2 2 4 2 2" xfId="0"/>
    <cellStyle name="Normal 6 4 5 2 2 2 4 3" xfId="0"/>
    <cellStyle name="Normal 6 4 5 2 2 2 5" xfId="0"/>
    <cellStyle name="Normal 6 4 5 2 2 2 5 2" xfId="0"/>
    <cellStyle name="Normal 6 4 5 2 2 2 6" xfId="0"/>
    <cellStyle name="Normal 6 4 5 2 2 3" xfId="0"/>
    <cellStyle name="Normal 6 4 5 2 2 3 2" xfId="0"/>
    <cellStyle name="Normal 6 4 5 2 2 3 2 2" xfId="0"/>
    <cellStyle name="Normal 6 4 5 2 2 3 2 2 2" xfId="0"/>
    <cellStyle name="Normal 6 4 5 2 2 3 2 2 2 2" xfId="0"/>
    <cellStyle name="Normal 6 4 5 2 2 3 2 2 3" xfId="0"/>
    <cellStyle name="Normal 6 4 5 2 2 3 2 3" xfId="0"/>
    <cellStyle name="Normal 6 4 5 2 2 3 2 3 2" xfId="0"/>
    <cellStyle name="Normal 6 4 5 2 2 3 2 4" xfId="0"/>
    <cellStyle name="Normal 6 4 5 2 2 3 3" xfId="0"/>
    <cellStyle name="Normal 6 4 5 2 2 3 3 2" xfId="0"/>
    <cellStyle name="Normal 6 4 5 2 2 3 3 2 2" xfId="0"/>
    <cellStyle name="Normal 6 4 5 2 2 3 3 3" xfId="0"/>
    <cellStyle name="Normal 6 4 5 2 2 3 4" xfId="0"/>
    <cellStyle name="Normal 6 4 5 2 2 3 4 2" xfId="0"/>
    <cellStyle name="Normal 6 4 5 2 2 3 5" xfId="0"/>
    <cellStyle name="Normal 6 4 5 2 2 4" xfId="0"/>
    <cellStyle name="Normal 6 4 5 2 2 4 2" xfId="0"/>
    <cellStyle name="Normal 6 4 5 2 2 4 2 2" xfId="0"/>
    <cellStyle name="Normal 6 4 5 2 2 4 2 2 2" xfId="0"/>
    <cellStyle name="Normal 6 4 5 2 2 4 2 3" xfId="0"/>
    <cellStyle name="Normal 6 4 5 2 2 4 3" xfId="0"/>
    <cellStyle name="Normal 6 4 5 2 2 4 3 2" xfId="0"/>
    <cellStyle name="Normal 6 4 5 2 2 4 4" xfId="0"/>
    <cellStyle name="Normal 6 4 5 2 2 5" xfId="0"/>
    <cellStyle name="Normal 6 4 5 2 2 5 2" xfId="0"/>
    <cellStyle name="Normal 6 4 5 2 2 5 2 2" xfId="0"/>
    <cellStyle name="Normal 6 4 5 2 2 5 3" xfId="0"/>
    <cellStyle name="Normal 6 4 5 2 2 6" xfId="0"/>
    <cellStyle name="Normal 6 4 5 2 2 6 2" xfId="0"/>
    <cellStyle name="Normal 6 4 5 2 2 7" xfId="0"/>
    <cellStyle name="Normal 6 4 5 2 3" xfId="0"/>
    <cellStyle name="Normal 6 4 5 2 3 2" xfId="0"/>
    <cellStyle name="Normal 6 4 5 2 3 2 2" xfId="0"/>
    <cellStyle name="Normal 6 4 5 2 3 2 2 2" xfId="0"/>
    <cellStyle name="Normal 6 4 5 2 3 2 2 2 2" xfId="0"/>
    <cellStyle name="Normal 6 4 5 2 3 2 2 2 2 2" xfId="0"/>
    <cellStyle name="Normal 6 4 5 2 3 2 2 2 3" xfId="0"/>
    <cellStyle name="Normal 6 4 5 2 3 2 2 3" xfId="0"/>
    <cellStyle name="Normal 6 4 5 2 3 2 2 3 2" xfId="0"/>
    <cellStyle name="Normal 6 4 5 2 3 2 2 4" xfId="0"/>
    <cellStyle name="Normal 6 4 5 2 3 2 3" xfId="0"/>
    <cellStyle name="Normal 6 4 5 2 3 2 3 2" xfId="0"/>
    <cellStyle name="Normal 6 4 5 2 3 2 3 2 2" xfId="0"/>
    <cellStyle name="Normal 6 4 5 2 3 2 3 3" xfId="0"/>
    <cellStyle name="Normal 6 4 5 2 3 2 4" xfId="0"/>
    <cellStyle name="Normal 6 4 5 2 3 2 4 2" xfId="0"/>
    <cellStyle name="Normal 6 4 5 2 3 2 5" xfId="0"/>
    <cellStyle name="Normal 6 4 5 2 3 3" xfId="0"/>
    <cellStyle name="Normal 6 4 5 2 3 3 2" xfId="0"/>
    <cellStyle name="Normal 6 4 5 2 3 3 2 2" xfId="0"/>
    <cellStyle name="Normal 6 4 5 2 3 3 2 2 2" xfId="0"/>
    <cellStyle name="Normal 6 4 5 2 3 3 2 3" xfId="0"/>
    <cellStyle name="Normal 6 4 5 2 3 3 3" xfId="0"/>
    <cellStyle name="Normal 6 4 5 2 3 3 3 2" xfId="0"/>
    <cellStyle name="Normal 6 4 5 2 3 3 4" xfId="0"/>
    <cellStyle name="Normal 6 4 5 2 3 4" xfId="0"/>
    <cellStyle name="Normal 6 4 5 2 3 4 2" xfId="0"/>
    <cellStyle name="Normal 6 4 5 2 3 4 2 2" xfId="0"/>
    <cellStyle name="Normal 6 4 5 2 3 4 3" xfId="0"/>
    <cellStyle name="Normal 6 4 5 2 3 5" xfId="0"/>
    <cellStyle name="Normal 6 4 5 2 3 5 2" xfId="0"/>
    <cellStyle name="Normal 6 4 5 2 3 6" xfId="0"/>
    <cellStyle name="Normal 6 4 5 2 4" xfId="0"/>
    <cellStyle name="Normal 6 4 5 2 4 2" xfId="0"/>
    <cellStyle name="Normal 6 4 5 2 4 2 2" xfId="0"/>
    <cellStyle name="Normal 6 4 5 2 4 2 2 2" xfId="0"/>
    <cellStyle name="Normal 6 4 5 2 4 2 2 2 2" xfId="0"/>
    <cellStyle name="Normal 6 4 5 2 4 2 2 3" xfId="0"/>
    <cellStyle name="Normal 6 4 5 2 4 2 3" xfId="0"/>
    <cellStyle name="Normal 6 4 5 2 4 2 3 2" xfId="0"/>
    <cellStyle name="Normal 6 4 5 2 4 2 4" xfId="0"/>
    <cellStyle name="Normal 6 4 5 2 4 3" xfId="0"/>
    <cellStyle name="Normal 6 4 5 2 4 3 2" xfId="0"/>
    <cellStyle name="Normal 6 4 5 2 4 3 2 2" xfId="0"/>
    <cellStyle name="Normal 6 4 5 2 4 3 3" xfId="0"/>
    <cellStyle name="Normal 6 4 5 2 4 4" xfId="0"/>
    <cellStyle name="Normal 6 4 5 2 4 4 2" xfId="0"/>
    <cellStyle name="Normal 6 4 5 2 4 5" xfId="0"/>
    <cellStyle name="Normal 6 4 5 2 5" xfId="0"/>
    <cellStyle name="Normal 6 4 5 2 5 2" xfId="0"/>
    <cellStyle name="Normal 6 4 5 2 5 2 2" xfId="0"/>
    <cellStyle name="Normal 6 4 5 2 5 2 2 2" xfId="0"/>
    <cellStyle name="Normal 6 4 5 2 5 2 3" xfId="0"/>
    <cellStyle name="Normal 6 4 5 2 5 3" xfId="0"/>
    <cellStyle name="Normal 6 4 5 2 5 3 2" xfId="0"/>
    <cellStyle name="Normal 6 4 5 2 5 4" xfId="0"/>
    <cellStyle name="Normal 6 4 5 2 6" xfId="0"/>
    <cellStyle name="Normal 6 4 5 2 6 2" xfId="0"/>
    <cellStyle name="Normal 6 4 5 2 6 2 2" xfId="0"/>
    <cellStyle name="Normal 6 4 5 2 6 3" xfId="0"/>
    <cellStyle name="Normal 6 4 5 2 7" xfId="0"/>
    <cellStyle name="Normal 6 4 5 2 7 2" xfId="0"/>
    <cellStyle name="Normal 6 4 5 2 8" xfId="0"/>
    <cellStyle name="Normal 6 4 5 3" xfId="0"/>
    <cellStyle name="Normal 6 4 5 3 2" xfId="0"/>
    <cellStyle name="Normal 6 4 5 3 2 2" xfId="0"/>
    <cellStyle name="Normal 6 4 5 3 2 2 2" xfId="0"/>
    <cellStyle name="Normal 6 4 5 3 2 2 2 2" xfId="0"/>
    <cellStyle name="Normal 6 4 5 3 2 2 2 2 2" xfId="0"/>
    <cellStyle name="Normal 6 4 5 3 2 2 2 2 2 2" xfId="0"/>
    <cellStyle name="Normal 6 4 5 3 2 2 2 2 2 2 2" xfId="0"/>
    <cellStyle name="Normal 6 4 5 3 2 2 2 2 2 3" xfId="0"/>
    <cellStyle name="Normal 6 4 5 3 2 2 2 2 3" xfId="0"/>
    <cellStyle name="Normal 6 4 5 3 2 2 2 2 3 2" xfId="0"/>
    <cellStyle name="Normal 6 4 5 3 2 2 2 2 4" xfId="0"/>
    <cellStyle name="Normal 6 4 5 3 2 2 2 3" xfId="0"/>
    <cellStyle name="Normal 6 4 5 3 2 2 2 3 2" xfId="0"/>
    <cellStyle name="Normal 6 4 5 3 2 2 2 3 2 2" xfId="0"/>
    <cellStyle name="Normal 6 4 5 3 2 2 2 3 3" xfId="0"/>
    <cellStyle name="Normal 6 4 5 3 2 2 2 4" xfId="0"/>
    <cellStyle name="Normal 6 4 5 3 2 2 2 4 2" xfId="0"/>
    <cellStyle name="Normal 6 4 5 3 2 2 2 5" xfId="0"/>
    <cellStyle name="Normal 6 4 5 3 2 2 3" xfId="0"/>
    <cellStyle name="Normal 6 4 5 3 2 2 3 2" xfId="0"/>
    <cellStyle name="Normal 6 4 5 3 2 2 3 2 2" xfId="0"/>
    <cellStyle name="Normal 6 4 5 3 2 2 3 2 2 2" xfId="0"/>
    <cellStyle name="Normal 6 4 5 3 2 2 3 2 3" xfId="0"/>
    <cellStyle name="Normal 6 4 5 3 2 2 3 3" xfId="0"/>
    <cellStyle name="Normal 6 4 5 3 2 2 3 3 2" xfId="0"/>
    <cellStyle name="Normal 6 4 5 3 2 2 3 4" xfId="0"/>
    <cellStyle name="Normal 6 4 5 3 2 2 4" xfId="0"/>
    <cellStyle name="Normal 6 4 5 3 2 2 4 2" xfId="0"/>
    <cellStyle name="Normal 6 4 5 3 2 2 4 2 2" xfId="0"/>
    <cellStyle name="Normal 6 4 5 3 2 2 4 3" xfId="0"/>
    <cellStyle name="Normal 6 4 5 3 2 2 5" xfId="0"/>
    <cellStyle name="Normal 6 4 5 3 2 2 5 2" xfId="0"/>
    <cellStyle name="Normal 6 4 5 3 2 2 6" xfId="0"/>
    <cellStyle name="Normal 6 4 5 3 2 3" xfId="0"/>
    <cellStyle name="Normal 6 4 5 3 2 3 2" xfId="0"/>
    <cellStyle name="Normal 6 4 5 3 2 3 2 2" xfId="0"/>
    <cellStyle name="Normal 6 4 5 3 2 3 2 2 2" xfId="0"/>
    <cellStyle name="Normal 6 4 5 3 2 3 2 2 2 2" xfId="0"/>
    <cellStyle name="Normal 6 4 5 3 2 3 2 2 3" xfId="0"/>
    <cellStyle name="Normal 6 4 5 3 2 3 2 3" xfId="0"/>
    <cellStyle name="Normal 6 4 5 3 2 3 2 3 2" xfId="0"/>
    <cellStyle name="Normal 6 4 5 3 2 3 2 4" xfId="0"/>
    <cellStyle name="Normal 6 4 5 3 2 3 3" xfId="0"/>
    <cellStyle name="Normal 6 4 5 3 2 3 3 2" xfId="0"/>
    <cellStyle name="Normal 6 4 5 3 2 3 3 2 2" xfId="0"/>
    <cellStyle name="Normal 6 4 5 3 2 3 3 3" xfId="0"/>
    <cellStyle name="Normal 6 4 5 3 2 3 4" xfId="0"/>
    <cellStyle name="Normal 6 4 5 3 2 3 4 2" xfId="0"/>
    <cellStyle name="Normal 6 4 5 3 2 3 5" xfId="0"/>
    <cellStyle name="Normal 6 4 5 3 2 4" xfId="0"/>
    <cellStyle name="Normal 6 4 5 3 2 4 2" xfId="0"/>
    <cellStyle name="Normal 6 4 5 3 2 4 2 2" xfId="0"/>
    <cellStyle name="Normal 6 4 5 3 2 4 2 2 2" xfId="0"/>
    <cellStyle name="Normal 6 4 5 3 2 4 2 3" xfId="0"/>
    <cellStyle name="Normal 6 4 5 3 2 4 3" xfId="0"/>
    <cellStyle name="Normal 6 4 5 3 2 4 3 2" xfId="0"/>
    <cellStyle name="Normal 6 4 5 3 2 4 4" xfId="0"/>
    <cellStyle name="Normal 6 4 5 3 2 5" xfId="0"/>
    <cellStyle name="Normal 6 4 5 3 2 5 2" xfId="0"/>
    <cellStyle name="Normal 6 4 5 3 2 5 2 2" xfId="0"/>
    <cellStyle name="Normal 6 4 5 3 2 5 3" xfId="0"/>
    <cellStyle name="Normal 6 4 5 3 2 6" xfId="0"/>
    <cellStyle name="Normal 6 4 5 3 2 6 2" xfId="0"/>
    <cellStyle name="Normal 6 4 5 3 2 7" xfId="0"/>
    <cellStyle name="Normal 6 4 5 3 3" xfId="0"/>
    <cellStyle name="Normal 6 4 5 3 3 2" xfId="0"/>
    <cellStyle name="Normal 6 4 5 3 3 2 2" xfId="0"/>
    <cellStyle name="Normal 6 4 5 3 3 2 2 2" xfId="0"/>
    <cellStyle name="Normal 6 4 5 3 3 2 2 2 2" xfId="0"/>
    <cellStyle name="Normal 6 4 5 3 3 2 2 2 2 2" xfId="0"/>
    <cellStyle name="Normal 6 4 5 3 3 2 2 2 3" xfId="0"/>
    <cellStyle name="Normal 6 4 5 3 3 2 2 3" xfId="0"/>
    <cellStyle name="Normal 6 4 5 3 3 2 2 3 2" xfId="0"/>
    <cellStyle name="Normal 6 4 5 3 3 2 2 4" xfId="0"/>
    <cellStyle name="Normal 6 4 5 3 3 2 3" xfId="0"/>
    <cellStyle name="Normal 6 4 5 3 3 2 3 2" xfId="0"/>
    <cellStyle name="Normal 6 4 5 3 3 2 3 2 2" xfId="0"/>
    <cellStyle name="Normal 6 4 5 3 3 2 3 3" xfId="0"/>
    <cellStyle name="Normal 6 4 5 3 3 2 4" xfId="0"/>
    <cellStyle name="Normal 6 4 5 3 3 2 4 2" xfId="0"/>
    <cellStyle name="Normal 6 4 5 3 3 2 5" xfId="0"/>
    <cellStyle name="Normal 6 4 5 3 3 3" xfId="0"/>
    <cellStyle name="Normal 6 4 5 3 3 3 2" xfId="0"/>
    <cellStyle name="Normal 6 4 5 3 3 3 2 2" xfId="0"/>
    <cellStyle name="Normal 6 4 5 3 3 3 2 2 2" xfId="0"/>
    <cellStyle name="Normal 6 4 5 3 3 3 2 3" xfId="0"/>
    <cellStyle name="Normal 6 4 5 3 3 3 3" xfId="0"/>
    <cellStyle name="Normal 6 4 5 3 3 3 3 2" xfId="0"/>
    <cellStyle name="Normal 6 4 5 3 3 3 4" xfId="0"/>
    <cellStyle name="Normal 6 4 5 3 3 4" xfId="0"/>
    <cellStyle name="Normal 6 4 5 3 3 4 2" xfId="0"/>
    <cellStyle name="Normal 6 4 5 3 3 4 2 2" xfId="0"/>
    <cellStyle name="Normal 6 4 5 3 3 4 3" xfId="0"/>
    <cellStyle name="Normal 6 4 5 3 3 5" xfId="0"/>
    <cellStyle name="Normal 6 4 5 3 3 5 2" xfId="0"/>
    <cellStyle name="Normal 6 4 5 3 3 6" xfId="0"/>
    <cellStyle name="Normal 6 4 5 3 4" xfId="0"/>
    <cellStyle name="Normal 6 4 5 3 4 2" xfId="0"/>
    <cellStyle name="Normal 6 4 5 3 4 2 2" xfId="0"/>
    <cellStyle name="Normal 6 4 5 3 4 2 2 2" xfId="0"/>
    <cellStyle name="Normal 6 4 5 3 4 2 2 2 2" xfId="0"/>
    <cellStyle name="Normal 6 4 5 3 4 2 2 3" xfId="0"/>
    <cellStyle name="Normal 6 4 5 3 4 2 3" xfId="0"/>
    <cellStyle name="Normal 6 4 5 3 4 2 3 2" xfId="0"/>
    <cellStyle name="Normal 6 4 5 3 4 2 4" xfId="0"/>
    <cellStyle name="Normal 6 4 5 3 4 3" xfId="0"/>
    <cellStyle name="Normal 6 4 5 3 4 3 2" xfId="0"/>
    <cellStyle name="Normal 6 4 5 3 4 3 2 2" xfId="0"/>
    <cellStyle name="Normal 6 4 5 3 4 3 3" xfId="0"/>
    <cellStyle name="Normal 6 4 5 3 4 4" xfId="0"/>
    <cellStyle name="Normal 6 4 5 3 4 4 2" xfId="0"/>
    <cellStyle name="Normal 6 4 5 3 4 5" xfId="0"/>
    <cellStyle name="Normal 6 4 5 3 5" xfId="0"/>
    <cellStyle name="Normal 6 4 5 3 5 2" xfId="0"/>
    <cellStyle name="Normal 6 4 5 3 5 2 2" xfId="0"/>
    <cellStyle name="Normal 6 4 5 3 5 2 2 2" xfId="0"/>
    <cellStyle name="Normal 6 4 5 3 5 2 3" xfId="0"/>
    <cellStyle name="Normal 6 4 5 3 5 3" xfId="0"/>
    <cellStyle name="Normal 6 4 5 3 5 3 2" xfId="0"/>
    <cellStyle name="Normal 6 4 5 3 5 4" xfId="0"/>
    <cellStyle name="Normal 6 4 5 3 6" xfId="0"/>
    <cellStyle name="Normal 6 4 5 3 6 2" xfId="0"/>
    <cellStyle name="Normal 6 4 5 3 6 2 2" xfId="0"/>
    <cellStyle name="Normal 6 4 5 3 6 3" xfId="0"/>
    <cellStyle name="Normal 6 4 5 3 7" xfId="0"/>
    <cellStyle name="Normal 6 4 5 3 7 2" xfId="0"/>
    <cellStyle name="Normal 6 4 5 3 8" xfId="0"/>
    <cellStyle name="Normal 6 4 5 4" xfId="0"/>
    <cellStyle name="Normal 6 4 5 4 2" xfId="0"/>
    <cellStyle name="Normal 6 4 5 4 2 2" xfId="0"/>
    <cellStyle name="Normal 6 4 5 4 2 2 2" xfId="0"/>
    <cellStyle name="Normal 6 4 5 4 2 2 2 2" xfId="0"/>
    <cellStyle name="Normal 6 4 5 4 2 2 2 2 2" xfId="0"/>
    <cellStyle name="Normal 6 4 5 4 2 2 2 2 2 2" xfId="0"/>
    <cellStyle name="Normal 6 4 5 4 2 2 2 2 3" xfId="0"/>
    <cellStyle name="Normal 6 4 5 4 2 2 2 3" xfId="0"/>
    <cellStyle name="Normal 6 4 5 4 2 2 2 3 2" xfId="0"/>
    <cellStyle name="Normal 6 4 5 4 2 2 2 4" xfId="0"/>
    <cellStyle name="Normal 6 4 5 4 2 2 3" xfId="0"/>
    <cellStyle name="Normal 6 4 5 4 2 2 3 2" xfId="0"/>
    <cellStyle name="Normal 6 4 5 4 2 2 3 2 2" xfId="0"/>
    <cellStyle name="Normal 6 4 5 4 2 2 3 3" xfId="0"/>
    <cellStyle name="Normal 6 4 5 4 2 2 4" xfId="0"/>
    <cellStyle name="Normal 6 4 5 4 2 2 4 2" xfId="0"/>
    <cellStyle name="Normal 6 4 5 4 2 2 5" xfId="0"/>
    <cellStyle name="Normal 6 4 5 4 2 3" xfId="0"/>
    <cellStyle name="Normal 6 4 5 4 2 3 2" xfId="0"/>
    <cellStyle name="Normal 6 4 5 4 2 3 2 2" xfId="0"/>
    <cellStyle name="Normal 6 4 5 4 2 3 2 2 2" xfId="0"/>
    <cellStyle name="Normal 6 4 5 4 2 3 2 3" xfId="0"/>
    <cellStyle name="Normal 6 4 5 4 2 3 3" xfId="0"/>
    <cellStyle name="Normal 6 4 5 4 2 3 3 2" xfId="0"/>
    <cellStyle name="Normal 6 4 5 4 2 3 4" xfId="0"/>
    <cellStyle name="Normal 6 4 5 4 2 4" xfId="0"/>
    <cellStyle name="Normal 6 4 5 4 2 4 2" xfId="0"/>
    <cellStyle name="Normal 6 4 5 4 2 4 2 2" xfId="0"/>
    <cellStyle name="Normal 6 4 5 4 2 4 3" xfId="0"/>
    <cellStyle name="Normal 6 4 5 4 2 5" xfId="0"/>
    <cellStyle name="Normal 6 4 5 4 2 5 2" xfId="0"/>
    <cellStyle name="Normal 6 4 5 4 2 6" xfId="0"/>
    <cellStyle name="Normal 6 4 5 4 3" xfId="0"/>
    <cellStyle name="Normal 6 4 5 4 3 2" xfId="0"/>
    <cellStyle name="Normal 6 4 5 4 3 2 2" xfId="0"/>
    <cellStyle name="Normal 6 4 5 4 3 2 2 2" xfId="0"/>
    <cellStyle name="Normal 6 4 5 4 3 2 2 2 2" xfId="0"/>
    <cellStyle name="Normal 6 4 5 4 3 2 2 3" xfId="0"/>
    <cellStyle name="Normal 6 4 5 4 3 2 3" xfId="0"/>
    <cellStyle name="Normal 6 4 5 4 3 2 3 2" xfId="0"/>
    <cellStyle name="Normal 6 4 5 4 3 2 4" xfId="0"/>
    <cellStyle name="Normal 6 4 5 4 3 3" xfId="0"/>
    <cellStyle name="Normal 6 4 5 4 3 3 2" xfId="0"/>
    <cellStyle name="Normal 6 4 5 4 3 3 2 2" xfId="0"/>
    <cellStyle name="Normal 6 4 5 4 3 3 3" xfId="0"/>
    <cellStyle name="Normal 6 4 5 4 3 4" xfId="0"/>
    <cellStyle name="Normal 6 4 5 4 3 4 2" xfId="0"/>
    <cellStyle name="Normal 6 4 5 4 3 5" xfId="0"/>
    <cellStyle name="Normal 6 4 5 4 4" xfId="0"/>
    <cellStyle name="Normal 6 4 5 4 4 2" xfId="0"/>
    <cellStyle name="Normal 6 4 5 4 4 2 2" xfId="0"/>
    <cellStyle name="Normal 6 4 5 4 4 2 2 2" xfId="0"/>
    <cellStyle name="Normal 6 4 5 4 4 2 3" xfId="0"/>
    <cellStyle name="Normal 6 4 5 4 4 3" xfId="0"/>
    <cellStyle name="Normal 6 4 5 4 4 3 2" xfId="0"/>
    <cellStyle name="Normal 6 4 5 4 4 4" xfId="0"/>
    <cellStyle name="Normal 6 4 5 4 5" xfId="0"/>
    <cellStyle name="Normal 6 4 5 4 5 2" xfId="0"/>
    <cellStyle name="Normal 6 4 5 4 5 2 2" xfId="0"/>
    <cellStyle name="Normal 6 4 5 4 5 3" xfId="0"/>
    <cellStyle name="Normal 6 4 5 4 6" xfId="0"/>
    <cellStyle name="Normal 6 4 5 4 6 2" xfId="0"/>
    <cellStyle name="Normal 6 4 5 4 7" xfId="0"/>
    <cellStyle name="Normal 6 4 5 5" xfId="0"/>
    <cellStyle name="Normal 6 4 5 5 2" xfId="0"/>
    <cellStyle name="Normal 6 4 5 5 2 2" xfId="0"/>
    <cellStyle name="Normal 6 4 5 5 2 2 2" xfId="0"/>
    <cellStyle name="Normal 6 4 5 5 2 2 2 2" xfId="0"/>
    <cellStyle name="Normal 6 4 5 5 2 2 2 2 2" xfId="0"/>
    <cellStyle name="Normal 6 4 5 5 2 2 2 2 2 2" xfId="0"/>
    <cellStyle name="Normal 6 4 5 5 2 2 2 2 3" xfId="0"/>
    <cellStyle name="Normal 6 4 5 5 2 2 2 3" xfId="0"/>
    <cellStyle name="Normal 6 4 5 5 2 2 2 3 2" xfId="0"/>
    <cellStyle name="Normal 6 4 5 5 2 2 2 4" xfId="0"/>
    <cellStyle name="Normal 6 4 5 5 2 2 3" xfId="0"/>
    <cellStyle name="Normal 6 4 5 5 2 2 3 2" xfId="0"/>
    <cellStyle name="Normal 6 4 5 5 2 2 3 2 2" xfId="0"/>
    <cellStyle name="Normal 6 4 5 5 2 2 3 3" xfId="0"/>
    <cellStyle name="Normal 6 4 5 5 2 2 4" xfId="0"/>
    <cellStyle name="Normal 6 4 5 5 2 2 4 2" xfId="0"/>
    <cellStyle name="Normal 6 4 5 5 2 2 5" xfId="0"/>
    <cellStyle name="Normal 6 4 5 5 2 3" xfId="0"/>
    <cellStyle name="Normal 6 4 5 5 2 3 2" xfId="0"/>
    <cellStyle name="Normal 6 4 5 5 2 3 2 2" xfId="0"/>
    <cellStyle name="Normal 6 4 5 5 2 3 2 2 2" xfId="0"/>
    <cellStyle name="Normal 6 4 5 5 2 3 2 3" xfId="0"/>
    <cellStyle name="Normal 6 4 5 5 2 3 3" xfId="0"/>
    <cellStyle name="Normal 6 4 5 5 2 3 3 2" xfId="0"/>
    <cellStyle name="Normal 6 4 5 5 2 3 4" xfId="0"/>
    <cellStyle name="Normal 6 4 5 5 2 4" xfId="0"/>
    <cellStyle name="Normal 6 4 5 5 2 4 2" xfId="0"/>
    <cellStyle name="Normal 6 4 5 5 2 4 2 2" xfId="0"/>
    <cellStyle name="Normal 6 4 5 5 2 4 3" xfId="0"/>
    <cellStyle name="Normal 6 4 5 5 2 5" xfId="0"/>
    <cellStyle name="Normal 6 4 5 5 2 5 2" xfId="0"/>
    <cellStyle name="Normal 6 4 5 5 2 6" xfId="0"/>
    <cellStyle name="Normal 6 4 5 5 3" xfId="0"/>
    <cellStyle name="Normal 6 4 5 5 3 2" xfId="0"/>
    <cellStyle name="Normal 6 4 5 5 3 2 2" xfId="0"/>
    <cellStyle name="Normal 6 4 5 5 3 2 2 2" xfId="0"/>
    <cellStyle name="Normal 6 4 5 5 3 2 2 2 2" xfId="0"/>
    <cellStyle name="Normal 6 4 5 5 3 2 2 3" xfId="0"/>
    <cellStyle name="Normal 6 4 5 5 3 2 3" xfId="0"/>
    <cellStyle name="Normal 6 4 5 5 3 2 3 2" xfId="0"/>
    <cellStyle name="Normal 6 4 5 5 3 2 4" xfId="0"/>
    <cellStyle name="Normal 6 4 5 5 3 3" xfId="0"/>
    <cellStyle name="Normal 6 4 5 5 3 3 2" xfId="0"/>
    <cellStyle name="Normal 6 4 5 5 3 3 2 2" xfId="0"/>
    <cellStyle name="Normal 6 4 5 5 3 3 3" xfId="0"/>
    <cellStyle name="Normal 6 4 5 5 3 4" xfId="0"/>
    <cellStyle name="Normal 6 4 5 5 3 4 2" xfId="0"/>
    <cellStyle name="Normal 6 4 5 5 3 5" xfId="0"/>
    <cellStyle name="Normal 6 4 5 5 4" xfId="0"/>
    <cellStyle name="Normal 6 4 5 5 4 2" xfId="0"/>
    <cellStyle name="Normal 6 4 5 5 4 2 2" xfId="0"/>
    <cellStyle name="Normal 6 4 5 5 4 2 2 2" xfId="0"/>
    <cellStyle name="Normal 6 4 5 5 4 2 3" xfId="0"/>
    <cellStyle name="Normal 6 4 5 5 4 3" xfId="0"/>
    <cellStyle name="Normal 6 4 5 5 4 3 2" xfId="0"/>
    <cellStyle name="Normal 6 4 5 5 4 4" xfId="0"/>
    <cellStyle name="Normal 6 4 5 5 5" xfId="0"/>
    <cellStyle name="Normal 6 4 5 5 5 2" xfId="0"/>
    <cellStyle name="Normal 6 4 5 5 5 2 2" xfId="0"/>
    <cellStyle name="Normal 6 4 5 5 5 3" xfId="0"/>
    <cellStyle name="Normal 6 4 5 5 6" xfId="0"/>
    <cellStyle name="Normal 6 4 5 5 6 2" xfId="0"/>
    <cellStyle name="Normal 6 4 5 5 7" xfId="0"/>
    <cellStyle name="Normal 6 4 5 6" xfId="0"/>
    <cellStyle name="Normal 6 4 5 6 2" xfId="0"/>
    <cellStyle name="Normal 6 4 5 6 2 2" xfId="0"/>
    <cellStyle name="Normal 6 4 5 6 2 2 2" xfId="0"/>
    <cellStyle name="Normal 6 4 5 6 2 2 2 2" xfId="0"/>
    <cellStyle name="Normal 6 4 5 6 2 2 2 2 2" xfId="0"/>
    <cellStyle name="Normal 6 4 5 6 2 2 2 3" xfId="0"/>
    <cellStyle name="Normal 6 4 5 6 2 2 3" xfId="0"/>
    <cellStyle name="Normal 6 4 5 6 2 2 3 2" xfId="0"/>
    <cellStyle name="Normal 6 4 5 6 2 2 4" xfId="0"/>
    <cellStyle name="Normal 6 4 5 6 2 3" xfId="0"/>
    <cellStyle name="Normal 6 4 5 6 2 3 2" xfId="0"/>
    <cellStyle name="Normal 6 4 5 6 2 3 2 2" xfId="0"/>
    <cellStyle name="Normal 6 4 5 6 2 3 3" xfId="0"/>
    <cellStyle name="Normal 6 4 5 6 2 4" xfId="0"/>
    <cellStyle name="Normal 6 4 5 6 2 4 2" xfId="0"/>
    <cellStyle name="Normal 6 4 5 6 2 5" xfId="0"/>
    <cellStyle name="Normal 6 4 5 6 3" xfId="0"/>
    <cellStyle name="Normal 6 4 5 6 3 2" xfId="0"/>
    <cellStyle name="Normal 6 4 5 6 3 2 2" xfId="0"/>
    <cellStyle name="Normal 6 4 5 6 3 2 2 2" xfId="0"/>
    <cellStyle name="Normal 6 4 5 6 3 2 3" xfId="0"/>
    <cellStyle name="Normal 6 4 5 6 3 3" xfId="0"/>
    <cellStyle name="Normal 6 4 5 6 3 3 2" xfId="0"/>
    <cellStyle name="Normal 6 4 5 6 3 4" xfId="0"/>
    <cellStyle name="Normal 6 4 5 6 4" xfId="0"/>
    <cellStyle name="Normal 6 4 5 6 4 2" xfId="0"/>
    <cellStyle name="Normal 6 4 5 6 4 2 2" xfId="0"/>
    <cellStyle name="Normal 6 4 5 6 4 3" xfId="0"/>
    <cellStyle name="Normal 6 4 5 6 5" xfId="0"/>
    <cellStyle name="Normal 6 4 5 6 5 2" xfId="0"/>
    <cellStyle name="Normal 6 4 5 6 6" xfId="0"/>
    <cellStyle name="Normal 6 4 5 7" xfId="0"/>
    <cellStyle name="Normal 6 4 5 7 2" xfId="0"/>
    <cellStyle name="Normal 6 4 5 7 2 2" xfId="0"/>
    <cellStyle name="Normal 6 4 5 7 2 2 2" xfId="0"/>
    <cellStyle name="Normal 6 4 5 7 2 2 2 2" xfId="0"/>
    <cellStyle name="Normal 6 4 5 7 2 2 3" xfId="0"/>
    <cellStyle name="Normal 6 4 5 7 2 3" xfId="0"/>
    <cellStyle name="Normal 6 4 5 7 2 3 2" xfId="0"/>
    <cellStyle name="Normal 6 4 5 7 2 4" xfId="0"/>
    <cellStyle name="Normal 6 4 5 7 3" xfId="0"/>
    <cellStyle name="Normal 6 4 5 7 3 2" xfId="0"/>
    <cellStyle name="Normal 6 4 5 7 3 2 2" xfId="0"/>
    <cellStyle name="Normal 6 4 5 7 3 3" xfId="0"/>
    <cellStyle name="Normal 6 4 5 7 4" xfId="0"/>
    <cellStyle name="Normal 6 4 5 7 4 2" xfId="0"/>
    <cellStyle name="Normal 6 4 5 7 5" xfId="0"/>
    <cellStyle name="Normal 6 4 5 8" xfId="0"/>
    <cellStyle name="Normal 6 4 5 8 2" xfId="0"/>
    <cellStyle name="Normal 6 4 5 8 2 2" xfId="0"/>
    <cellStyle name="Normal 6 4 5 8 2 2 2" xfId="0"/>
    <cellStyle name="Normal 6 4 5 8 2 3" xfId="0"/>
    <cellStyle name="Normal 6 4 5 8 3" xfId="0"/>
    <cellStyle name="Normal 6 4 5 8 3 2" xfId="0"/>
    <cellStyle name="Normal 6 4 5 8 4" xfId="0"/>
    <cellStyle name="Normal 6 4 5 9" xfId="0"/>
    <cellStyle name="Normal 6 4 5 9 2" xfId="0"/>
    <cellStyle name="Normal 6 4 5 9 2 2" xfId="0"/>
    <cellStyle name="Normal 6 4 5 9 3" xfId="0"/>
    <cellStyle name="Normal 6 4 6" xfId="0"/>
    <cellStyle name="Normal 6 4 6 2" xfId="0"/>
    <cellStyle name="Normal 6 4 6 2 2" xfId="0"/>
    <cellStyle name="Normal 6 4 6 2 2 2" xfId="0"/>
    <cellStyle name="Normal 6 4 6 2 2 2 2" xfId="0"/>
    <cellStyle name="Normal 6 4 6 2 2 2 2 2" xfId="0"/>
    <cellStyle name="Normal 6 4 6 2 2 2 2 2 2" xfId="0"/>
    <cellStyle name="Normal 6 4 6 2 2 2 2 2 2 2" xfId="0"/>
    <cellStyle name="Normal 6 4 6 2 2 2 2 2 3" xfId="0"/>
    <cellStyle name="Normal 6 4 6 2 2 2 2 3" xfId="0"/>
    <cellStyle name="Normal 6 4 6 2 2 2 2 3 2" xfId="0"/>
    <cellStyle name="Normal 6 4 6 2 2 2 2 4" xfId="0"/>
    <cellStyle name="Normal 6 4 6 2 2 2 3" xfId="0"/>
    <cellStyle name="Normal 6 4 6 2 2 2 3 2" xfId="0"/>
    <cellStyle name="Normal 6 4 6 2 2 2 3 2 2" xfId="0"/>
    <cellStyle name="Normal 6 4 6 2 2 2 3 3" xfId="0"/>
    <cellStyle name="Normal 6 4 6 2 2 2 4" xfId="0"/>
    <cellStyle name="Normal 6 4 6 2 2 2 4 2" xfId="0"/>
    <cellStyle name="Normal 6 4 6 2 2 2 5" xfId="0"/>
    <cellStyle name="Normal 6 4 6 2 2 3" xfId="0"/>
    <cellStyle name="Normal 6 4 6 2 2 3 2" xfId="0"/>
    <cellStyle name="Normal 6 4 6 2 2 3 2 2" xfId="0"/>
    <cellStyle name="Normal 6 4 6 2 2 3 2 2 2" xfId="0"/>
    <cellStyle name="Normal 6 4 6 2 2 3 2 3" xfId="0"/>
    <cellStyle name="Normal 6 4 6 2 2 3 3" xfId="0"/>
    <cellStyle name="Normal 6 4 6 2 2 3 3 2" xfId="0"/>
    <cellStyle name="Normal 6 4 6 2 2 3 4" xfId="0"/>
    <cellStyle name="Normal 6 4 6 2 2 4" xfId="0"/>
    <cellStyle name="Normal 6 4 6 2 2 4 2" xfId="0"/>
    <cellStyle name="Normal 6 4 6 2 2 4 2 2" xfId="0"/>
    <cellStyle name="Normal 6 4 6 2 2 4 3" xfId="0"/>
    <cellStyle name="Normal 6 4 6 2 2 5" xfId="0"/>
    <cellStyle name="Normal 6 4 6 2 2 5 2" xfId="0"/>
    <cellStyle name="Normal 6 4 6 2 2 6" xfId="0"/>
    <cellStyle name="Normal 6 4 6 2 3" xfId="0"/>
    <cellStyle name="Normal 6 4 6 2 3 2" xfId="0"/>
    <cellStyle name="Normal 6 4 6 2 3 2 2" xfId="0"/>
    <cellStyle name="Normal 6 4 6 2 3 2 2 2" xfId="0"/>
    <cellStyle name="Normal 6 4 6 2 3 2 2 2 2" xfId="0"/>
    <cellStyle name="Normal 6 4 6 2 3 2 2 3" xfId="0"/>
    <cellStyle name="Normal 6 4 6 2 3 2 3" xfId="0"/>
    <cellStyle name="Normal 6 4 6 2 3 2 3 2" xfId="0"/>
    <cellStyle name="Normal 6 4 6 2 3 2 4" xfId="0"/>
    <cellStyle name="Normal 6 4 6 2 3 3" xfId="0"/>
    <cellStyle name="Normal 6 4 6 2 3 3 2" xfId="0"/>
    <cellStyle name="Normal 6 4 6 2 3 3 2 2" xfId="0"/>
    <cellStyle name="Normal 6 4 6 2 3 3 3" xfId="0"/>
    <cellStyle name="Normal 6 4 6 2 3 4" xfId="0"/>
    <cellStyle name="Normal 6 4 6 2 3 4 2" xfId="0"/>
    <cellStyle name="Normal 6 4 6 2 3 5" xfId="0"/>
    <cellStyle name="Normal 6 4 6 2 4" xfId="0"/>
    <cellStyle name="Normal 6 4 6 2 4 2" xfId="0"/>
    <cellStyle name="Normal 6 4 6 2 4 2 2" xfId="0"/>
    <cellStyle name="Normal 6 4 6 2 4 2 2 2" xfId="0"/>
    <cellStyle name="Normal 6 4 6 2 4 2 3" xfId="0"/>
    <cellStyle name="Normal 6 4 6 2 4 3" xfId="0"/>
    <cellStyle name="Normal 6 4 6 2 4 3 2" xfId="0"/>
    <cellStyle name="Normal 6 4 6 2 4 4" xfId="0"/>
    <cellStyle name="Normal 6 4 6 2 5" xfId="0"/>
    <cellStyle name="Normal 6 4 6 2 5 2" xfId="0"/>
    <cellStyle name="Normal 6 4 6 2 5 2 2" xfId="0"/>
    <cellStyle name="Normal 6 4 6 2 5 3" xfId="0"/>
    <cellStyle name="Normal 6 4 6 2 6" xfId="0"/>
    <cellStyle name="Normal 6 4 6 2 6 2" xfId="0"/>
    <cellStyle name="Normal 6 4 6 2 7" xfId="0"/>
    <cellStyle name="Normal 6 4 6 3" xfId="0"/>
    <cellStyle name="Normal 6 4 6 3 2" xfId="0"/>
    <cellStyle name="Normal 6 4 6 3 2 2" xfId="0"/>
    <cellStyle name="Normal 6 4 6 3 2 2 2" xfId="0"/>
    <cellStyle name="Normal 6 4 6 3 2 2 2 2" xfId="0"/>
    <cellStyle name="Normal 6 4 6 3 2 2 2 2 2" xfId="0"/>
    <cellStyle name="Normal 6 4 6 3 2 2 2 3" xfId="0"/>
    <cellStyle name="Normal 6 4 6 3 2 2 3" xfId="0"/>
    <cellStyle name="Normal 6 4 6 3 2 2 3 2" xfId="0"/>
    <cellStyle name="Normal 6 4 6 3 2 2 4" xfId="0"/>
    <cellStyle name="Normal 6 4 6 3 2 3" xfId="0"/>
    <cellStyle name="Normal 6 4 6 3 2 3 2" xfId="0"/>
    <cellStyle name="Normal 6 4 6 3 2 3 2 2" xfId="0"/>
    <cellStyle name="Normal 6 4 6 3 2 3 3" xfId="0"/>
    <cellStyle name="Normal 6 4 6 3 2 4" xfId="0"/>
    <cellStyle name="Normal 6 4 6 3 2 4 2" xfId="0"/>
    <cellStyle name="Normal 6 4 6 3 2 5" xfId="0"/>
    <cellStyle name="Normal 6 4 6 3 3" xfId="0"/>
    <cellStyle name="Normal 6 4 6 3 3 2" xfId="0"/>
    <cellStyle name="Normal 6 4 6 3 3 2 2" xfId="0"/>
    <cellStyle name="Normal 6 4 6 3 3 2 2 2" xfId="0"/>
    <cellStyle name="Normal 6 4 6 3 3 2 3" xfId="0"/>
    <cellStyle name="Normal 6 4 6 3 3 3" xfId="0"/>
    <cellStyle name="Normal 6 4 6 3 3 3 2" xfId="0"/>
    <cellStyle name="Normal 6 4 6 3 3 4" xfId="0"/>
    <cellStyle name="Normal 6 4 6 3 4" xfId="0"/>
    <cellStyle name="Normal 6 4 6 3 4 2" xfId="0"/>
    <cellStyle name="Normal 6 4 6 3 4 2 2" xfId="0"/>
    <cellStyle name="Normal 6 4 6 3 4 3" xfId="0"/>
    <cellStyle name="Normal 6 4 6 3 5" xfId="0"/>
    <cellStyle name="Normal 6 4 6 3 5 2" xfId="0"/>
    <cellStyle name="Normal 6 4 6 3 6" xfId="0"/>
    <cellStyle name="Normal 6 4 6 4" xfId="0"/>
    <cellStyle name="Normal 6 4 6 4 2" xfId="0"/>
    <cellStyle name="Normal 6 4 6 4 2 2" xfId="0"/>
    <cellStyle name="Normal 6 4 6 4 2 2 2" xfId="0"/>
    <cellStyle name="Normal 6 4 6 4 2 2 2 2" xfId="0"/>
    <cellStyle name="Normal 6 4 6 4 2 2 3" xfId="0"/>
    <cellStyle name="Normal 6 4 6 4 2 3" xfId="0"/>
    <cellStyle name="Normal 6 4 6 4 2 3 2" xfId="0"/>
    <cellStyle name="Normal 6 4 6 4 2 4" xfId="0"/>
    <cellStyle name="Normal 6 4 6 4 3" xfId="0"/>
    <cellStyle name="Normal 6 4 6 4 3 2" xfId="0"/>
    <cellStyle name="Normal 6 4 6 4 3 2 2" xfId="0"/>
    <cellStyle name="Normal 6 4 6 4 3 3" xfId="0"/>
    <cellStyle name="Normal 6 4 6 4 4" xfId="0"/>
    <cellStyle name="Normal 6 4 6 4 4 2" xfId="0"/>
    <cellStyle name="Normal 6 4 6 4 5" xfId="0"/>
    <cellStyle name="Normal 6 4 6 5" xfId="0"/>
    <cellStyle name="Normal 6 4 6 5 2" xfId="0"/>
    <cellStyle name="Normal 6 4 6 5 2 2" xfId="0"/>
    <cellStyle name="Normal 6 4 6 5 2 2 2" xfId="0"/>
    <cellStyle name="Normal 6 4 6 5 2 3" xfId="0"/>
    <cellStyle name="Normal 6 4 6 5 3" xfId="0"/>
    <cellStyle name="Normal 6 4 6 5 3 2" xfId="0"/>
    <cellStyle name="Normal 6 4 6 5 4" xfId="0"/>
    <cellStyle name="Normal 6 4 6 6" xfId="0"/>
    <cellStyle name="Normal 6 4 6 6 2" xfId="0"/>
    <cellStyle name="Normal 6 4 6 6 2 2" xfId="0"/>
    <cellStyle name="Normal 6 4 6 6 3" xfId="0"/>
    <cellStyle name="Normal 6 4 6 7" xfId="0"/>
    <cellStyle name="Normal 6 4 6 7 2" xfId="0"/>
    <cellStyle name="Normal 6 4 6 8" xfId="0"/>
    <cellStyle name="Normal 6 4 7" xfId="0"/>
    <cellStyle name="Normal 6 4 7 2" xfId="0"/>
    <cellStyle name="Normal 6 4 7 2 2" xfId="0"/>
    <cellStyle name="Normal 6 4 7 2 2 2" xfId="0"/>
    <cellStyle name="Normal 6 4 7 2 2 2 2" xfId="0"/>
    <cellStyle name="Normal 6 4 7 2 2 2 2 2" xfId="0"/>
    <cellStyle name="Normal 6 4 7 2 2 2 2 2 2" xfId="0"/>
    <cellStyle name="Normal 6 4 7 2 2 2 2 2 2 2" xfId="0"/>
    <cellStyle name="Normal 6 4 7 2 2 2 2 2 3" xfId="0"/>
    <cellStyle name="Normal 6 4 7 2 2 2 2 3" xfId="0"/>
    <cellStyle name="Normal 6 4 7 2 2 2 2 3 2" xfId="0"/>
    <cellStyle name="Normal 6 4 7 2 2 2 2 4" xfId="0"/>
    <cellStyle name="Normal 6 4 7 2 2 2 3" xfId="0"/>
    <cellStyle name="Normal 6 4 7 2 2 2 3 2" xfId="0"/>
    <cellStyle name="Normal 6 4 7 2 2 2 3 2 2" xfId="0"/>
    <cellStyle name="Normal 6 4 7 2 2 2 3 3" xfId="0"/>
    <cellStyle name="Normal 6 4 7 2 2 2 4" xfId="0"/>
    <cellStyle name="Normal 6 4 7 2 2 2 4 2" xfId="0"/>
    <cellStyle name="Normal 6 4 7 2 2 2 5" xfId="0"/>
    <cellStyle name="Normal 6 4 7 2 2 3" xfId="0"/>
    <cellStyle name="Normal 6 4 7 2 2 3 2" xfId="0"/>
    <cellStyle name="Normal 6 4 7 2 2 3 2 2" xfId="0"/>
    <cellStyle name="Normal 6 4 7 2 2 3 2 2 2" xfId="0"/>
    <cellStyle name="Normal 6 4 7 2 2 3 2 3" xfId="0"/>
    <cellStyle name="Normal 6 4 7 2 2 3 3" xfId="0"/>
    <cellStyle name="Normal 6 4 7 2 2 3 3 2" xfId="0"/>
    <cellStyle name="Normal 6 4 7 2 2 3 4" xfId="0"/>
    <cellStyle name="Normal 6 4 7 2 2 4" xfId="0"/>
    <cellStyle name="Normal 6 4 7 2 2 4 2" xfId="0"/>
    <cellStyle name="Normal 6 4 7 2 2 4 2 2" xfId="0"/>
    <cellStyle name="Normal 6 4 7 2 2 4 3" xfId="0"/>
    <cellStyle name="Normal 6 4 7 2 2 5" xfId="0"/>
    <cellStyle name="Normal 6 4 7 2 2 5 2" xfId="0"/>
    <cellStyle name="Normal 6 4 7 2 2 6" xfId="0"/>
    <cellStyle name="Normal 6 4 7 2 3" xfId="0"/>
    <cellStyle name="Normal 6 4 7 2 3 2" xfId="0"/>
    <cellStyle name="Normal 6 4 7 2 3 2 2" xfId="0"/>
    <cellStyle name="Normal 6 4 7 2 3 2 2 2" xfId="0"/>
    <cellStyle name="Normal 6 4 7 2 3 2 2 2 2" xfId="0"/>
    <cellStyle name="Normal 6 4 7 2 3 2 2 3" xfId="0"/>
    <cellStyle name="Normal 6 4 7 2 3 2 3" xfId="0"/>
    <cellStyle name="Normal 6 4 7 2 3 2 3 2" xfId="0"/>
    <cellStyle name="Normal 6 4 7 2 3 2 4" xfId="0"/>
    <cellStyle name="Normal 6 4 7 2 3 3" xfId="0"/>
    <cellStyle name="Normal 6 4 7 2 3 3 2" xfId="0"/>
    <cellStyle name="Normal 6 4 7 2 3 3 2 2" xfId="0"/>
    <cellStyle name="Normal 6 4 7 2 3 3 3" xfId="0"/>
    <cellStyle name="Normal 6 4 7 2 3 4" xfId="0"/>
    <cellStyle name="Normal 6 4 7 2 3 4 2" xfId="0"/>
    <cellStyle name="Normal 6 4 7 2 3 5" xfId="0"/>
    <cellStyle name="Normal 6 4 7 2 4" xfId="0"/>
    <cellStyle name="Normal 6 4 7 2 4 2" xfId="0"/>
    <cellStyle name="Normal 6 4 7 2 4 2 2" xfId="0"/>
    <cellStyle name="Normal 6 4 7 2 4 2 2 2" xfId="0"/>
    <cellStyle name="Normal 6 4 7 2 4 2 3" xfId="0"/>
    <cellStyle name="Normal 6 4 7 2 4 3" xfId="0"/>
    <cellStyle name="Normal 6 4 7 2 4 3 2" xfId="0"/>
    <cellStyle name="Normal 6 4 7 2 4 4" xfId="0"/>
    <cellStyle name="Normal 6 4 7 2 5" xfId="0"/>
    <cellStyle name="Normal 6 4 7 2 5 2" xfId="0"/>
    <cellStyle name="Normal 6 4 7 2 5 2 2" xfId="0"/>
    <cellStyle name="Normal 6 4 7 2 5 3" xfId="0"/>
    <cellStyle name="Normal 6 4 7 2 6" xfId="0"/>
    <cellStyle name="Normal 6 4 7 2 6 2" xfId="0"/>
    <cellStyle name="Normal 6 4 7 2 7" xfId="0"/>
    <cellStyle name="Normal 6 4 7 3" xfId="0"/>
    <cellStyle name="Normal 6 4 7 3 2" xfId="0"/>
    <cellStyle name="Normal 6 4 7 3 2 2" xfId="0"/>
    <cellStyle name="Normal 6 4 7 3 2 2 2" xfId="0"/>
    <cellStyle name="Normal 6 4 7 3 2 2 2 2" xfId="0"/>
    <cellStyle name="Normal 6 4 7 3 2 2 2 2 2" xfId="0"/>
    <cellStyle name="Normal 6 4 7 3 2 2 2 3" xfId="0"/>
    <cellStyle name="Normal 6 4 7 3 2 2 3" xfId="0"/>
    <cellStyle name="Normal 6 4 7 3 2 2 3 2" xfId="0"/>
    <cellStyle name="Normal 6 4 7 3 2 2 4" xfId="0"/>
    <cellStyle name="Normal 6 4 7 3 2 3" xfId="0"/>
    <cellStyle name="Normal 6 4 7 3 2 3 2" xfId="0"/>
    <cellStyle name="Normal 6 4 7 3 2 3 2 2" xfId="0"/>
    <cellStyle name="Normal 6 4 7 3 2 3 3" xfId="0"/>
    <cellStyle name="Normal 6 4 7 3 2 4" xfId="0"/>
    <cellStyle name="Normal 6 4 7 3 2 4 2" xfId="0"/>
    <cellStyle name="Normal 6 4 7 3 2 5" xfId="0"/>
    <cellStyle name="Normal 6 4 7 3 3" xfId="0"/>
    <cellStyle name="Normal 6 4 7 3 3 2" xfId="0"/>
    <cellStyle name="Normal 6 4 7 3 3 2 2" xfId="0"/>
    <cellStyle name="Normal 6 4 7 3 3 2 2 2" xfId="0"/>
    <cellStyle name="Normal 6 4 7 3 3 2 3" xfId="0"/>
    <cellStyle name="Normal 6 4 7 3 3 3" xfId="0"/>
    <cellStyle name="Normal 6 4 7 3 3 3 2" xfId="0"/>
    <cellStyle name="Normal 6 4 7 3 3 4" xfId="0"/>
    <cellStyle name="Normal 6 4 7 3 4" xfId="0"/>
    <cellStyle name="Normal 6 4 7 3 4 2" xfId="0"/>
    <cellStyle name="Normal 6 4 7 3 4 2 2" xfId="0"/>
    <cellStyle name="Normal 6 4 7 3 4 3" xfId="0"/>
    <cellStyle name="Normal 6 4 7 3 5" xfId="0"/>
    <cellStyle name="Normal 6 4 7 3 5 2" xfId="0"/>
    <cellStyle name="Normal 6 4 7 3 6" xfId="0"/>
    <cellStyle name="Normal 6 4 7 4" xfId="0"/>
    <cellStyle name="Normal 6 4 7 4 2" xfId="0"/>
    <cellStyle name="Normal 6 4 7 4 2 2" xfId="0"/>
    <cellStyle name="Normal 6 4 7 4 2 2 2" xfId="0"/>
    <cellStyle name="Normal 6 4 7 4 2 2 2 2" xfId="0"/>
    <cellStyle name="Normal 6 4 7 4 2 2 3" xfId="0"/>
    <cellStyle name="Normal 6 4 7 4 2 3" xfId="0"/>
    <cellStyle name="Normal 6 4 7 4 2 3 2" xfId="0"/>
    <cellStyle name="Normal 6 4 7 4 2 4" xfId="0"/>
    <cellStyle name="Normal 6 4 7 4 3" xfId="0"/>
    <cellStyle name="Normal 6 4 7 4 3 2" xfId="0"/>
    <cellStyle name="Normal 6 4 7 4 3 2 2" xfId="0"/>
    <cellStyle name="Normal 6 4 7 4 3 3" xfId="0"/>
    <cellStyle name="Normal 6 4 7 4 4" xfId="0"/>
    <cellStyle name="Normal 6 4 7 4 4 2" xfId="0"/>
    <cellStyle name="Normal 6 4 7 4 5" xfId="0"/>
    <cellStyle name="Normal 6 4 7 5" xfId="0"/>
    <cellStyle name="Normal 6 4 7 5 2" xfId="0"/>
    <cellStyle name="Normal 6 4 7 5 2 2" xfId="0"/>
    <cellStyle name="Normal 6 4 7 5 2 2 2" xfId="0"/>
    <cellStyle name="Normal 6 4 7 5 2 3" xfId="0"/>
    <cellStyle name="Normal 6 4 7 5 3" xfId="0"/>
    <cellStyle name="Normal 6 4 7 5 3 2" xfId="0"/>
    <cellStyle name="Normal 6 4 7 5 4" xfId="0"/>
    <cellStyle name="Normal 6 4 7 6" xfId="0"/>
    <cellStyle name="Normal 6 4 7 6 2" xfId="0"/>
    <cellStyle name="Normal 6 4 7 6 2 2" xfId="0"/>
    <cellStyle name="Normal 6 4 7 6 3" xfId="0"/>
    <cellStyle name="Normal 6 4 7 7" xfId="0"/>
    <cellStyle name="Normal 6 4 7 7 2" xfId="0"/>
    <cellStyle name="Normal 6 4 7 8" xfId="0"/>
    <cellStyle name="Normal 6 4 8" xfId="0"/>
    <cellStyle name="Normal 6 4 8 2" xfId="0"/>
    <cellStyle name="Normal 6 4 8 2 2" xfId="0"/>
    <cellStyle name="Normal 6 4 8 2 2 2" xfId="0"/>
    <cellStyle name="Normal 6 4 8 2 2 2 2" xfId="0"/>
    <cellStyle name="Normal 6 4 8 2 2 2 2 2" xfId="0"/>
    <cellStyle name="Normal 6 4 8 2 2 2 2 2 2" xfId="0"/>
    <cellStyle name="Normal 6 4 8 2 2 2 2 3" xfId="0"/>
    <cellStyle name="Normal 6 4 8 2 2 2 3" xfId="0"/>
    <cellStyle name="Normal 6 4 8 2 2 2 3 2" xfId="0"/>
    <cellStyle name="Normal 6 4 8 2 2 2 4" xfId="0"/>
    <cellStyle name="Normal 6 4 8 2 2 3" xfId="0"/>
    <cellStyle name="Normal 6 4 8 2 2 3 2" xfId="0"/>
    <cellStyle name="Normal 6 4 8 2 2 3 2 2" xfId="0"/>
    <cellStyle name="Normal 6 4 8 2 2 3 3" xfId="0"/>
    <cellStyle name="Normal 6 4 8 2 2 4" xfId="0"/>
    <cellStyle name="Normal 6 4 8 2 2 4 2" xfId="0"/>
    <cellStyle name="Normal 6 4 8 2 2 5" xfId="0"/>
    <cellStyle name="Normal 6 4 8 2 3" xfId="0"/>
    <cellStyle name="Normal 6 4 8 2 3 2" xfId="0"/>
    <cellStyle name="Normal 6 4 8 2 3 2 2" xfId="0"/>
    <cellStyle name="Normal 6 4 8 2 3 2 2 2" xfId="0"/>
    <cellStyle name="Normal 6 4 8 2 3 2 3" xfId="0"/>
    <cellStyle name="Normal 6 4 8 2 3 3" xfId="0"/>
    <cellStyle name="Normal 6 4 8 2 3 3 2" xfId="0"/>
    <cellStyle name="Normal 6 4 8 2 3 4" xfId="0"/>
    <cellStyle name="Normal 6 4 8 2 4" xfId="0"/>
    <cellStyle name="Normal 6 4 8 2 4 2" xfId="0"/>
    <cellStyle name="Normal 6 4 8 2 4 2 2" xfId="0"/>
    <cellStyle name="Normal 6 4 8 2 4 3" xfId="0"/>
    <cellStyle name="Normal 6 4 8 2 5" xfId="0"/>
    <cellStyle name="Normal 6 4 8 2 5 2" xfId="0"/>
    <cellStyle name="Normal 6 4 8 2 6" xfId="0"/>
    <cellStyle name="Normal 6 4 8 3" xfId="0"/>
    <cellStyle name="Normal 6 4 8 3 2" xfId="0"/>
    <cellStyle name="Normal 6 4 8 3 2 2" xfId="0"/>
    <cellStyle name="Normal 6 4 8 3 2 2 2" xfId="0"/>
    <cellStyle name="Normal 6 4 8 3 2 2 2 2" xfId="0"/>
    <cellStyle name="Normal 6 4 8 3 2 2 3" xfId="0"/>
    <cellStyle name="Normal 6 4 8 3 2 3" xfId="0"/>
    <cellStyle name="Normal 6 4 8 3 2 3 2" xfId="0"/>
    <cellStyle name="Normal 6 4 8 3 2 4" xfId="0"/>
    <cellStyle name="Normal 6 4 8 3 3" xfId="0"/>
    <cellStyle name="Normal 6 4 8 3 3 2" xfId="0"/>
    <cellStyle name="Normal 6 4 8 3 3 2 2" xfId="0"/>
    <cellStyle name="Normal 6 4 8 3 3 3" xfId="0"/>
    <cellStyle name="Normal 6 4 8 3 4" xfId="0"/>
    <cellStyle name="Normal 6 4 8 3 4 2" xfId="0"/>
    <cellStyle name="Normal 6 4 8 3 5" xfId="0"/>
    <cellStyle name="Normal 6 4 8 4" xfId="0"/>
    <cellStyle name="Normal 6 4 8 4 2" xfId="0"/>
    <cellStyle name="Normal 6 4 8 4 2 2" xfId="0"/>
    <cellStyle name="Normal 6 4 8 4 2 2 2" xfId="0"/>
    <cellStyle name="Normal 6 4 8 4 2 3" xfId="0"/>
    <cellStyle name="Normal 6 4 8 4 3" xfId="0"/>
    <cellStyle name="Normal 6 4 8 4 3 2" xfId="0"/>
    <cellStyle name="Normal 6 4 8 4 4" xfId="0"/>
    <cellStyle name="Normal 6 4 8 5" xfId="0"/>
    <cellStyle name="Normal 6 4 8 5 2" xfId="0"/>
    <cellStyle name="Normal 6 4 8 5 2 2" xfId="0"/>
    <cellStyle name="Normal 6 4 8 5 3" xfId="0"/>
    <cellStyle name="Normal 6 4 8 6" xfId="0"/>
    <cellStyle name="Normal 6 4 8 6 2" xfId="0"/>
    <cellStyle name="Normal 6 4 8 7" xfId="0"/>
    <cellStyle name="Normal 6 4 9" xfId="0"/>
    <cellStyle name="Normal 6 4 9 2" xfId="0"/>
    <cellStyle name="Normal 6 4 9 2 2" xfId="0"/>
    <cellStyle name="Normal 6 4 9 2 2 2" xfId="0"/>
    <cellStyle name="Normal 6 4 9 2 2 2 2" xfId="0"/>
    <cellStyle name="Normal 6 4 9 2 2 2 2 2" xfId="0"/>
    <cellStyle name="Normal 6 4 9 2 2 2 2 2 2" xfId="0"/>
    <cellStyle name="Normal 6 4 9 2 2 2 2 3" xfId="0"/>
    <cellStyle name="Normal 6 4 9 2 2 2 3" xfId="0"/>
    <cellStyle name="Normal 6 4 9 2 2 2 3 2" xfId="0"/>
    <cellStyle name="Normal 6 4 9 2 2 2 4" xfId="0"/>
    <cellStyle name="Normal 6 4 9 2 2 3" xfId="0"/>
    <cellStyle name="Normal 6 4 9 2 2 3 2" xfId="0"/>
    <cellStyle name="Normal 6 4 9 2 2 3 2 2" xfId="0"/>
    <cellStyle name="Normal 6 4 9 2 2 3 3" xfId="0"/>
    <cellStyle name="Normal 6 4 9 2 2 4" xfId="0"/>
    <cellStyle name="Normal 6 4 9 2 2 4 2" xfId="0"/>
    <cellStyle name="Normal 6 4 9 2 2 5" xfId="0"/>
    <cellStyle name="Normal 6 4 9 2 3" xfId="0"/>
    <cellStyle name="Normal 6 4 9 2 3 2" xfId="0"/>
    <cellStyle name="Normal 6 4 9 2 3 2 2" xfId="0"/>
    <cellStyle name="Normal 6 4 9 2 3 2 2 2" xfId="0"/>
    <cellStyle name="Normal 6 4 9 2 3 2 3" xfId="0"/>
    <cellStyle name="Normal 6 4 9 2 3 3" xfId="0"/>
    <cellStyle name="Normal 6 4 9 2 3 3 2" xfId="0"/>
    <cellStyle name="Normal 6 4 9 2 3 4" xfId="0"/>
    <cellStyle name="Normal 6 4 9 2 4" xfId="0"/>
    <cellStyle name="Normal 6 4 9 2 4 2" xfId="0"/>
    <cellStyle name="Normal 6 4 9 2 4 2 2" xfId="0"/>
    <cellStyle name="Normal 6 4 9 2 4 3" xfId="0"/>
    <cellStyle name="Normal 6 4 9 2 5" xfId="0"/>
    <cellStyle name="Normal 6 4 9 2 5 2" xfId="0"/>
    <cellStyle name="Normal 6 4 9 2 6" xfId="0"/>
    <cellStyle name="Normal 6 4 9 3" xfId="0"/>
    <cellStyle name="Normal 6 4 9 3 2" xfId="0"/>
    <cellStyle name="Normal 6 4 9 3 2 2" xfId="0"/>
    <cellStyle name="Normal 6 4 9 3 2 2 2" xfId="0"/>
    <cellStyle name="Normal 6 4 9 3 2 2 2 2" xfId="0"/>
    <cellStyle name="Normal 6 4 9 3 2 2 3" xfId="0"/>
    <cellStyle name="Normal 6 4 9 3 2 3" xfId="0"/>
    <cellStyle name="Normal 6 4 9 3 2 3 2" xfId="0"/>
    <cellStyle name="Normal 6 4 9 3 2 4" xfId="0"/>
    <cellStyle name="Normal 6 4 9 3 3" xfId="0"/>
    <cellStyle name="Normal 6 4 9 3 3 2" xfId="0"/>
    <cellStyle name="Normal 6 4 9 3 3 2 2" xfId="0"/>
    <cellStyle name="Normal 6 4 9 3 3 3" xfId="0"/>
    <cellStyle name="Normal 6 4 9 3 4" xfId="0"/>
    <cellStyle name="Normal 6 4 9 3 4 2" xfId="0"/>
    <cellStyle name="Normal 6 4 9 3 5" xfId="0"/>
    <cellStyle name="Normal 6 4 9 4" xfId="0"/>
    <cellStyle name="Normal 6 4 9 4 2" xfId="0"/>
    <cellStyle name="Normal 6 4 9 4 2 2" xfId="0"/>
    <cellStyle name="Normal 6 4 9 4 2 2 2" xfId="0"/>
    <cellStyle name="Normal 6 4 9 4 2 3" xfId="0"/>
    <cellStyle name="Normal 6 4 9 4 3" xfId="0"/>
    <cellStyle name="Normal 6 4 9 4 3 2" xfId="0"/>
    <cellStyle name="Normal 6 4 9 4 4" xfId="0"/>
    <cellStyle name="Normal 6 4 9 5" xfId="0"/>
    <cellStyle name="Normal 6 4 9 5 2" xfId="0"/>
    <cellStyle name="Normal 6 4 9 5 2 2" xfId="0"/>
    <cellStyle name="Normal 6 4 9 5 3" xfId="0"/>
    <cellStyle name="Normal 6 4 9 6" xfId="0"/>
    <cellStyle name="Normal 6 4 9 6 2" xfId="0"/>
    <cellStyle name="Normal 6 4 9 7" xfId="0"/>
    <cellStyle name="Normal 6 40" xfId="0"/>
    <cellStyle name="Normal 6 41" xfId="0"/>
    <cellStyle name="Normal 6 42" xfId="0"/>
    <cellStyle name="Normal 6 43" xfId="0"/>
    <cellStyle name="Normal 6 44" xfId="0"/>
    <cellStyle name="Normal 6 45" xfId="0"/>
    <cellStyle name="Normal 6 46" xfId="0"/>
    <cellStyle name="Normal 6 47" xfId="0"/>
    <cellStyle name="Normal 6 48" xfId="0"/>
    <cellStyle name="Normal 6 49" xfId="0"/>
    <cellStyle name="Normal 6 5" xfId="0"/>
    <cellStyle name="Normal 6 5 2" xfId="0"/>
    <cellStyle name="Normal 6 5 3" xfId="0"/>
    <cellStyle name="Normal 6 50" xfId="0"/>
    <cellStyle name="Normal 6 51" xfId="0"/>
    <cellStyle name="Normal 6 52" xfId="0"/>
    <cellStyle name="Normal 6 53" xfId="0"/>
    <cellStyle name="Normal 6 54" xfId="0"/>
    <cellStyle name="Normal 6 55" xfId="0"/>
    <cellStyle name="Normal 6 56" xfId="0"/>
    <cellStyle name="Normal 6 57" xfId="0"/>
    <cellStyle name="Normal 6 58" xfId="0"/>
    <cellStyle name="Normal 6 59" xfId="0"/>
    <cellStyle name="Normal 6 6" xfId="0"/>
    <cellStyle name="Normal 6 6 2" xfId="0"/>
    <cellStyle name="Normal 6 60" xfId="0"/>
    <cellStyle name="Normal 6 61" xfId="0"/>
    <cellStyle name="Normal 6 62" xfId="0"/>
    <cellStyle name="Normal 6 63" xfId="0"/>
    <cellStyle name="Normal 6 64" xfId="0"/>
    <cellStyle name="Normal 6 65" xfId="0"/>
    <cellStyle name="Normal 6 66" xfId="0"/>
    <cellStyle name="Normal 6 67" xfId="0"/>
    <cellStyle name="Normal 6 68" xfId="0"/>
    <cellStyle name="Normal 6 69" xfId="0"/>
    <cellStyle name="Normal 6 7" xfId="0"/>
    <cellStyle name="Normal 6 7 2" xfId="0"/>
    <cellStyle name="Normal 6 70" xfId="0"/>
    <cellStyle name="Normal 6 71" xfId="0"/>
    <cellStyle name="Normal 6 72" xfId="0"/>
    <cellStyle name="Normal 6 73" xfId="0"/>
    <cellStyle name="Normal 6 74" xfId="0"/>
    <cellStyle name="Normal 6 75" xfId="0"/>
    <cellStyle name="Normal 6 76" xfId="0"/>
    <cellStyle name="Normal 6 77" xfId="0"/>
    <cellStyle name="Normal 6 78" xfId="0"/>
    <cellStyle name="Normal 6 79" xfId="0"/>
    <cellStyle name="Normal 6 8" xfId="0"/>
    <cellStyle name="Normal 6 80" xfId="0"/>
    <cellStyle name="Normal 6 81" xfId="0"/>
    <cellStyle name="Normal 6 82" xfId="0"/>
    <cellStyle name="Normal 6 83" xfId="0"/>
    <cellStyle name="Normal 6 84" xfId="0"/>
    <cellStyle name="Normal 6 85" xfId="0"/>
    <cellStyle name="Normal 6 86" xfId="0"/>
    <cellStyle name="Normal 6 87" xfId="0"/>
    <cellStyle name="Normal 6 88" xfId="0"/>
    <cellStyle name="Normal 6 89" xfId="0"/>
    <cellStyle name="Normal 6 9" xfId="0"/>
    <cellStyle name="Normal 6 90" xfId="0"/>
    <cellStyle name="Normal 6 91" xfId="0"/>
    <cellStyle name="Normal 6 92" xfId="0"/>
    <cellStyle name="Normal 6 93" xfId="0"/>
    <cellStyle name="Normal 6 94" xfId="0"/>
    <cellStyle name="Normal 6 95" xfId="0"/>
    <cellStyle name="Normal 6 96" xfId="0"/>
    <cellStyle name="Normal 6 97" xfId="0"/>
    <cellStyle name="Normal 6 98" xfId="0"/>
    <cellStyle name="Normal 6 99" xfId="0"/>
    <cellStyle name="Normal 60" xfId="0"/>
    <cellStyle name="Normal 60 2" xfId="0"/>
    <cellStyle name="Normal 61" xfId="0"/>
    <cellStyle name="Normal 61 2" xfId="0"/>
    <cellStyle name="Normal 62" xfId="0"/>
    <cellStyle name="Normal 62 2" xfId="0"/>
    <cellStyle name="Normal 63" xfId="0"/>
    <cellStyle name="Normal 63 2" xfId="0"/>
    <cellStyle name="Normal 64" xfId="0"/>
    <cellStyle name="Normal 64 2" xfId="0"/>
    <cellStyle name="Normal 65" xfId="0"/>
    <cellStyle name="Normal 65 2" xfId="0"/>
    <cellStyle name="Normal 66" xfId="0"/>
    <cellStyle name="Normal 66 2" xfId="0"/>
    <cellStyle name="Normal 67" xfId="0"/>
    <cellStyle name="Normal 68" xfId="0"/>
    <cellStyle name="Normal 69" xfId="0"/>
    <cellStyle name="Normal 6_Market Fresh Cost" xfId="0"/>
    <cellStyle name="Normal 7" xfId="0"/>
    <cellStyle name="Normal 7 10" xfId="0"/>
    <cellStyle name="Normal 7 100" xfId="0"/>
    <cellStyle name="Normal 7 101" xfId="0"/>
    <cellStyle name="Normal 7 102" xfId="0"/>
    <cellStyle name="Normal 7 103" xfId="0"/>
    <cellStyle name="Normal 7 104" xfId="0"/>
    <cellStyle name="Normal 7 105" xfId="0"/>
    <cellStyle name="Normal 7 106" xfId="0"/>
    <cellStyle name="Normal 7 107" xfId="0"/>
    <cellStyle name="Normal 7 108" xfId="0"/>
    <cellStyle name="Normal 7 109" xfId="0"/>
    <cellStyle name="Normal 7 11" xfId="0"/>
    <cellStyle name="Normal 7 110" xfId="0"/>
    <cellStyle name="Normal 7 111" xfId="0"/>
    <cellStyle name="Normal 7 112" xfId="0"/>
    <cellStyle name="Normal 7 113" xfId="0"/>
    <cellStyle name="Normal 7 114" xfId="0"/>
    <cellStyle name="Normal 7 115" xfId="0"/>
    <cellStyle name="Normal 7 116" xfId="0"/>
    <cellStyle name="Normal 7 117" xfId="0"/>
    <cellStyle name="Normal 7 118" xfId="0"/>
    <cellStyle name="Normal 7 119" xfId="0"/>
    <cellStyle name="Normal 7 12" xfId="0"/>
    <cellStyle name="Normal 7 120" xfId="0"/>
    <cellStyle name="Normal 7 121" xfId="0"/>
    <cellStyle name="Normal 7 122" xfId="0"/>
    <cellStyle name="Normal 7 123" xfId="0"/>
    <cellStyle name="Normal 7 124" xfId="0"/>
    <cellStyle name="Normal 7 125" xfId="0"/>
    <cellStyle name="Normal 7 126" xfId="0"/>
    <cellStyle name="Normal 7 127" xfId="0"/>
    <cellStyle name="Normal 7 128" xfId="0"/>
    <cellStyle name="Normal 7 129" xfId="0"/>
    <cellStyle name="Normal 7 13" xfId="0"/>
    <cellStyle name="Normal 7 130" xfId="0"/>
    <cellStyle name="Normal 7 131" xfId="0"/>
    <cellStyle name="Normal 7 132" xfId="0"/>
    <cellStyle name="Normal 7 133" xfId="0"/>
    <cellStyle name="Normal 7 134" xfId="0"/>
    <cellStyle name="Normal 7 135" xfId="0"/>
    <cellStyle name="Normal 7 136" xfId="0"/>
    <cellStyle name="Normal 7 137" xfId="0"/>
    <cellStyle name="Normal 7 138" xfId="0"/>
    <cellStyle name="Normal 7 139" xfId="0"/>
    <cellStyle name="Normal 7 14" xfId="0"/>
    <cellStyle name="Normal 7 140" xfId="0"/>
    <cellStyle name="Normal 7 141" xfId="0"/>
    <cellStyle name="Normal 7 142" xfId="0"/>
    <cellStyle name="Normal 7 143" xfId="0"/>
    <cellStyle name="Normal 7 144" xfId="0"/>
    <cellStyle name="Normal 7 145" xfId="0"/>
    <cellStyle name="Normal 7 146" xfId="0"/>
    <cellStyle name="Normal 7 147" xfId="0"/>
    <cellStyle name="Normal 7 148" xfId="0"/>
    <cellStyle name="Normal 7 149" xfId="0"/>
    <cellStyle name="Normal 7 15" xfId="0"/>
    <cellStyle name="Normal 7 150" xfId="0"/>
    <cellStyle name="Normal 7 151" xfId="0"/>
    <cellStyle name="Normal 7 152" xfId="0"/>
    <cellStyle name="Normal 7 153" xfId="0"/>
    <cellStyle name="Normal 7 154" xfId="0"/>
    <cellStyle name="Normal 7 155" xfId="0"/>
    <cellStyle name="Normal 7 156" xfId="0"/>
    <cellStyle name="Normal 7 157" xfId="0"/>
    <cellStyle name="Normal 7 158" xfId="0"/>
    <cellStyle name="Normal 7 159" xfId="0"/>
    <cellStyle name="Normal 7 16" xfId="0"/>
    <cellStyle name="Normal 7 160" xfId="0"/>
    <cellStyle name="Normal 7 161" xfId="0"/>
    <cellStyle name="Normal 7 162" xfId="0"/>
    <cellStyle name="Normal 7 163" xfId="0"/>
    <cellStyle name="Normal 7 164" xfId="0"/>
    <cellStyle name="Normal 7 165" xfId="0"/>
    <cellStyle name="Normal 7 166" xfId="0"/>
    <cellStyle name="Normal 7 167" xfId="0"/>
    <cellStyle name="Normal 7 168" xfId="0"/>
    <cellStyle name="Normal 7 169" xfId="0"/>
    <cellStyle name="Normal 7 17" xfId="0"/>
    <cellStyle name="Normal 7 170" xfId="0"/>
    <cellStyle name="Normal 7 171" xfId="0"/>
    <cellStyle name="Normal 7 172" xfId="0"/>
    <cellStyle name="Normal 7 173" xfId="0"/>
    <cellStyle name="Normal 7 174" xfId="0"/>
    <cellStyle name="Normal 7 175" xfId="0"/>
    <cellStyle name="Normal 7 176" xfId="0"/>
    <cellStyle name="Normal 7 177" xfId="0"/>
    <cellStyle name="Normal 7 178" xfId="0"/>
    <cellStyle name="Normal 7 179" xfId="0"/>
    <cellStyle name="Normal 7 18" xfId="0"/>
    <cellStyle name="Normal 7 180" xfId="0"/>
    <cellStyle name="Normal 7 181" xfId="0"/>
    <cellStyle name="Normal 7 182" xfId="0"/>
    <cellStyle name="Normal 7 183" xfId="0"/>
    <cellStyle name="Normal 7 184" xfId="0"/>
    <cellStyle name="Normal 7 185" xfId="0"/>
    <cellStyle name="Normal 7 186" xfId="0"/>
    <cellStyle name="Normal 7 187" xfId="0"/>
    <cellStyle name="Normal 7 188" xfId="0"/>
    <cellStyle name="Normal 7 189" xfId="0"/>
    <cellStyle name="Normal 7 19" xfId="0"/>
    <cellStyle name="Normal 7 190" xfId="0"/>
    <cellStyle name="Normal 7 191" xfId="0"/>
    <cellStyle name="Normal 7 192" xfId="0"/>
    <cellStyle name="Normal 7 193" xfId="0"/>
    <cellStyle name="Normal 7 194" xfId="0"/>
    <cellStyle name="Normal 7 195" xfId="0"/>
    <cellStyle name="Normal 7 196" xfId="0"/>
    <cellStyle name="Normal 7 197" xfId="0"/>
    <cellStyle name="Normal 7 198" xfId="0"/>
    <cellStyle name="Normal 7 199" xfId="0"/>
    <cellStyle name="Normal 7 2" xfId="0"/>
    <cellStyle name="Normal 7 2 2" xfId="0"/>
    <cellStyle name="Normal 7 2 2 2" xfId="0"/>
    <cellStyle name="Normal 7 20" xfId="0"/>
    <cellStyle name="Normal 7 200" xfId="0"/>
    <cellStyle name="Normal 7 201" xfId="0"/>
    <cellStyle name="Normal 7 202" xfId="0"/>
    <cellStyle name="Normal 7 203" xfId="0"/>
    <cellStyle name="Normal 7 204" xfId="0"/>
    <cellStyle name="Normal 7 205" xfId="0"/>
    <cellStyle name="Normal 7 206" xfId="0"/>
    <cellStyle name="Normal 7 207" xfId="0"/>
    <cellStyle name="Normal 7 208" xfId="0"/>
    <cellStyle name="Normal 7 209" xfId="0"/>
    <cellStyle name="Normal 7 21" xfId="0"/>
    <cellStyle name="Normal 7 210" xfId="0"/>
    <cellStyle name="Normal 7 211" xfId="0"/>
    <cellStyle name="Normal 7 212" xfId="0"/>
    <cellStyle name="Normal 7 213" xfId="0"/>
    <cellStyle name="Normal 7 214" xfId="0"/>
    <cellStyle name="Normal 7 215" xfId="0"/>
    <cellStyle name="Normal 7 216" xfId="0"/>
    <cellStyle name="Normal 7 217" xfId="0"/>
    <cellStyle name="Normal 7 218" xfId="0"/>
    <cellStyle name="Normal 7 219" xfId="0"/>
    <cellStyle name="Normal 7 22" xfId="0"/>
    <cellStyle name="Normal 7 220" xfId="0"/>
    <cellStyle name="Normal 7 221" xfId="0"/>
    <cellStyle name="Normal 7 23" xfId="0"/>
    <cellStyle name="Normal 7 24" xfId="0"/>
    <cellStyle name="Normal 7 25" xfId="0"/>
    <cellStyle name="Normal 7 26" xfId="0"/>
    <cellStyle name="Normal 7 27" xfId="0"/>
    <cellStyle name="Normal 7 28" xfId="0"/>
    <cellStyle name="Normal 7 29" xfId="0"/>
    <cellStyle name="Normal 7 3" xfId="0"/>
    <cellStyle name="Normal 7 3 2" xfId="0"/>
    <cellStyle name="Normal 7 3 3" xfId="0"/>
    <cellStyle name="Normal 7 30" xfId="0"/>
    <cellStyle name="Normal 7 31" xfId="0"/>
    <cellStyle name="Normal 7 32" xfId="0"/>
    <cellStyle name="Normal 7 33" xfId="0"/>
    <cellStyle name="Normal 7 34" xfId="0"/>
    <cellStyle name="Normal 7 35" xfId="0"/>
    <cellStyle name="Normal 7 36" xfId="0"/>
    <cellStyle name="Normal 7 37" xfId="0"/>
    <cellStyle name="Normal 7 38" xfId="0"/>
    <cellStyle name="Normal 7 39" xfId="0"/>
    <cellStyle name="Normal 7 4" xfId="0"/>
    <cellStyle name="Normal 7 4 2" xfId="0"/>
    <cellStyle name="Normal 7 4 3" xfId="0"/>
    <cellStyle name="Normal 7 40" xfId="0"/>
    <cellStyle name="Normal 7 41" xfId="0"/>
    <cellStyle name="Normal 7 42" xfId="0"/>
    <cellStyle name="Normal 7 43" xfId="0"/>
    <cellStyle name="Normal 7 44" xfId="0"/>
    <cellStyle name="Normal 7 45" xfId="0"/>
    <cellStyle name="Normal 7 46" xfId="0"/>
    <cellStyle name="Normal 7 47" xfId="0"/>
    <cellStyle name="Normal 7 48" xfId="0"/>
    <cellStyle name="Normal 7 49" xfId="0"/>
    <cellStyle name="Normal 7 5" xfId="0"/>
    <cellStyle name="Normal 7 5 2" xfId="0"/>
    <cellStyle name="Normal 7 5 3" xfId="0"/>
    <cellStyle name="Normal 7 50" xfId="0"/>
    <cellStyle name="Normal 7 51" xfId="0"/>
    <cellStyle name="Normal 7 52" xfId="0"/>
    <cellStyle name="Normal 7 53" xfId="0"/>
    <cellStyle name="Normal 7 54" xfId="0"/>
    <cellStyle name="Normal 7 55" xfId="0"/>
    <cellStyle name="Normal 7 56" xfId="0"/>
    <cellStyle name="Normal 7 57" xfId="0"/>
    <cellStyle name="Normal 7 58" xfId="0"/>
    <cellStyle name="Normal 7 59" xfId="0"/>
    <cellStyle name="Normal 7 6" xfId="0"/>
    <cellStyle name="Normal 7 6 2" xfId="0"/>
    <cellStyle name="Normal 7 60" xfId="0"/>
    <cellStyle name="Normal 7 61" xfId="0"/>
    <cellStyle name="Normal 7 62" xfId="0"/>
    <cellStyle name="Normal 7 63" xfId="0"/>
    <cellStyle name="Normal 7 64" xfId="0"/>
    <cellStyle name="Normal 7 65" xfId="0"/>
    <cellStyle name="Normal 7 66" xfId="0"/>
    <cellStyle name="Normal 7 67" xfId="0"/>
    <cellStyle name="Normal 7 68" xfId="0"/>
    <cellStyle name="Normal 7 69" xfId="0"/>
    <cellStyle name="Normal 7 7" xfId="0"/>
    <cellStyle name="Normal 7 7 2" xfId="0"/>
    <cellStyle name="Normal 7 70" xfId="0"/>
    <cellStyle name="Normal 7 71" xfId="0"/>
    <cellStyle name="Normal 7 72" xfId="0"/>
    <cellStyle name="Normal 7 73" xfId="0"/>
    <cellStyle name="Normal 7 74" xfId="0"/>
    <cellStyle name="Normal 7 75" xfId="0"/>
    <cellStyle name="Normal 7 76" xfId="0"/>
    <cellStyle name="Normal 7 77" xfId="0"/>
    <cellStyle name="Normal 7 78" xfId="0"/>
    <cellStyle name="Normal 7 79" xfId="0"/>
    <cellStyle name="Normal 7 8" xfId="0"/>
    <cellStyle name="Normal 7 80" xfId="0"/>
    <cellStyle name="Normal 7 81" xfId="0"/>
    <cellStyle name="Normal 7 82" xfId="0"/>
    <cellStyle name="Normal 7 83" xfId="0"/>
    <cellStyle name="Normal 7 84" xfId="0"/>
    <cellStyle name="Normal 7 85" xfId="0"/>
    <cellStyle name="Normal 7 86" xfId="0"/>
    <cellStyle name="Normal 7 87" xfId="0"/>
    <cellStyle name="Normal 7 88" xfId="0"/>
    <cellStyle name="Normal 7 89" xfId="0"/>
    <cellStyle name="Normal 7 9" xfId="0"/>
    <cellStyle name="Normal 7 90" xfId="0"/>
    <cellStyle name="Normal 7 91" xfId="0"/>
    <cellStyle name="Normal 7 92" xfId="0"/>
    <cellStyle name="Normal 7 93" xfId="0"/>
    <cellStyle name="Normal 7 94" xfId="0"/>
    <cellStyle name="Normal 7 95" xfId="0"/>
    <cellStyle name="Normal 7 96" xfId="0"/>
    <cellStyle name="Normal 7 97" xfId="0"/>
    <cellStyle name="Normal 7 98" xfId="0"/>
    <cellStyle name="Normal 7 99" xfId="0"/>
    <cellStyle name="Normal 70" xfId="0"/>
    <cellStyle name="Normal 71" xfId="0"/>
    <cellStyle name="Normal 71 10" xfId="0"/>
    <cellStyle name="Normal 71 100" xfId="0"/>
    <cellStyle name="Normal 71 101" xfId="0"/>
    <cellStyle name="Normal 71 11" xfId="0"/>
    <cellStyle name="Normal 71 12" xfId="0"/>
    <cellStyle name="Normal 71 13" xfId="0"/>
    <cellStyle name="Normal 71 14" xfId="0"/>
    <cellStyle name="Normal 71 15" xfId="0"/>
    <cellStyle name="Normal 71 16" xfId="0"/>
    <cellStyle name="Normal 71 17" xfId="0"/>
    <cellStyle name="Normal 71 18" xfId="0"/>
    <cellStyle name="Normal 71 19" xfId="0"/>
    <cellStyle name="Normal 71 2" xfId="0"/>
    <cellStyle name="Normal 71 20" xfId="0"/>
    <cellStyle name="Normal 71 21" xfId="0"/>
    <cellStyle name="Normal 71 22" xfId="0"/>
    <cellStyle name="Normal 71 23" xfId="0"/>
    <cellStyle name="Normal 71 24" xfId="0"/>
    <cellStyle name="Normal 71 25" xfId="0"/>
    <cellStyle name="Normal 71 26" xfId="0"/>
    <cellStyle name="Normal 71 27" xfId="0"/>
    <cellStyle name="Normal 71 28" xfId="0"/>
    <cellStyle name="Normal 71 29" xfId="0"/>
    <cellStyle name="Normal 71 3" xfId="0"/>
    <cellStyle name="Normal 71 30" xfId="0"/>
    <cellStyle name="Normal 71 31" xfId="0"/>
    <cellStyle name="Normal 71 32" xfId="0"/>
    <cellStyle name="Normal 71 33" xfId="0"/>
    <cellStyle name="Normal 71 34" xfId="0"/>
    <cellStyle name="Normal 71 35" xfId="0"/>
    <cellStyle name="Normal 71 36" xfId="0"/>
    <cellStyle name="Normal 71 37" xfId="0"/>
    <cellStyle name="Normal 71 38" xfId="0"/>
    <cellStyle name="Normal 71 39" xfId="0"/>
    <cellStyle name="Normal 71 4" xfId="0"/>
    <cellStyle name="Normal 71 40" xfId="0"/>
    <cellStyle name="Normal 71 41" xfId="0"/>
    <cellStyle name="Normal 71 42" xfId="0"/>
    <cellStyle name="Normal 71 43" xfId="0"/>
    <cellStyle name="Normal 71 44" xfId="0"/>
    <cellStyle name="Normal 71 45" xfId="0"/>
    <cellStyle name="Normal 71 46" xfId="0"/>
    <cellStyle name="Normal 71 47" xfId="0"/>
    <cellStyle name="Normal 71 48" xfId="0"/>
    <cellStyle name="Normal 71 49" xfId="0"/>
    <cellStyle name="Normal 71 5" xfId="0"/>
    <cellStyle name="Normal 71 50" xfId="0"/>
    <cellStyle name="Normal 71 51" xfId="0"/>
    <cellStyle name="Normal 71 52" xfId="0"/>
    <cellStyle name="Normal 71 53" xfId="0"/>
    <cellStyle name="Normal 71 54" xfId="0"/>
    <cellStyle name="Normal 71 55" xfId="0"/>
    <cellStyle name="Normal 71 56" xfId="0"/>
    <cellStyle name="Normal 71 57" xfId="0"/>
    <cellStyle name="Normal 71 58" xfId="0"/>
    <cellStyle name="Normal 71 59" xfId="0"/>
    <cellStyle name="Normal 71 6" xfId="0"/>
    <cellStyle name="Normal 71 60" xfId="0"/>
    <cellStyle name="Normal 71 61" xfId="0"/>
    <cellStyle name="Normal 71 62" xfId="0"/>
    <cellStyle name="Normal 71 63" xfId="0"/>
    <cellStyle name="Normal 71 64" xfId="0"/>
    <cellStyle name="Normal 71 65" xfId="0"/>
    <cellStyle name="Normal 71 66" xfId="0"/>
    <cellStyle name="Normal 71 67" xfId="0"/>
    <cellStyle name="Normal 71 68" xfId="0"/>
    <cellStyle name="Normal 71 69" xfId="0"/>
    <cellStyle name="Normal 71 7" xfId="0"/>
    <cellStyle name="Normal 71 70" xfId="0"/>
    <cellStyle name="Normal 71 71" xfId="0"/>
    <cellStyle name="Normal 71 72" xfId="0"/>
    <cellStyle name="Normal 71 73" xfId="0"/>
    <cellStyle name="Normal 71 74" xfId="0"/>
    <cellStyle name="Normal 71 75" xfId="0"/>
    <cellStyle name="Normal 71 76" xfId="0"/>
    <cellStyle name="Normal 71 77" xfId="0"/>
    <cellStyle name="Normal 71 78" xfId="0"/>
    <cellStyle name="Normal 71 79" xfId="0"/>
    <cellStyle name="Normal 71 8" xfId="0"/>
    <cellStyle name="Normal 71 80" xfId="0"/>
    <cellStyle name="Normal 71 81" xfId="0"/>
    <cellStyle name="Normal 71 82" xfId="0"/>
    <cellStyle name="Normal 71 83" xfId="0"/>
    <cellStyle name="Normal 71 84" xfId="0"/>
    <cellStyle name="Normal 71 85" xfId="0"/>
    <cellStyle name="Normal 71 86" xfId="0"/>
    <cellStyle name="Normal 71 87" xfId="0"/>
    <cellStyle name="Normal 71 88" xfId="0"/>
    <cellStyle name="Normal 71 89" xfId="0"/>
    <cellStyle name="Normal 71 9" xfId="0"/>
    <cellStyle name="Normal 71 90" xfId="0"/>
    <cellStyle name="Normal 71 91" xfId="0"/>
    <cellStyle name="Normal 71 92" xfId="0"/>
    <cellStyle name="Normal 71 93" xfId="0"/>
    <cellStyle name="Normal 71 94" xfId="0"/>
    <cellStyle name="Normal 71 95" xfId="0"/>
    <cellStyle name="Normal 71 96" xfId="0"/>
    <cellStyle name="Normal 71 97" xfId="0"/>
    <cellStyle name="Normal 71 98" xfId="0"/>
    <cellStyle name="Normal 71 99" xfId="0"/>
    <cellStyle name="Normal 72" xfId="0"/>
    <cellStyle name="Normal 72 10" xfId="0"/>
    <cellStyle name="Normal 72 100" xfId="0"/>
    <cellStyle name="Normal 72 101" xfId="0"/>
    <cellStyle name="Normal 72 11" xfId="0"/>
    <cellStyle name="Normal 72 12" xfId="0"/>
    <cellStyle name="Normal 72 13" xfId="0"/>
    <cellStyle name="Normal 72 14" xfId="0"/>
    <cellStyle name="Normal 72 15" xfId="0"/>
    <cellStyle name="Normal 72 16" xfId="0"/>
    <cellStyle name="Normal 72 17" xfId="0"/>
    <cellStyle name="Normal 72 18" xfId="0"/>
    <cellStyle name="Normal 72 19" xfId="0"/>
    <cellStyle name="Normal 72 2" xfId="0"/>
    <cellStyle name="Normal 72 20" xfId="0"/>
    <cellStyle name="Normal 72 21" xfId="0"/>
    <cellStyle name="Normal 72 22" xfId="0"/>
    <cellStyle name="Normal 72 23" xfId="0"/>
    <cellStyle name="Normal 72 24" xfId="0"/>
    <cellStyle name="Normal 72 25" xfId="0"/>
    <cellStyle name="Normal 72 26" xfId="0"/>
    <cellStyle name="Normal 72 27" xfId="0"/>
    <cellStyle name="Normal 72 28" xfId="0"/>
    <cellStyle name="Normal 72 29" xfId="0"/>
    <cellStyle name="Normal 72 3" xfId="0"/>
    <cellStyle name="Normal 72 30" xfId="0"/>
    <cellStyle name="Normal 72 31" xfId="0"/>
    <cellStyle name="Normal 72 32" xfId="0"/>
    <cellStyle name="Normal 72 33" xfId="0"/>
    <cellStyle name="Normal 72 34" xfId="0"/>
    <cellStyle name="Normal 72 35" xfId="0"/>
    <cellStyle name="Normal 72 36" xfId="0"/>
    <cellStyle name="Normal 72 37" xfId="0"/>
    <cellStyle name="Normal 72 38" xfId="0"/>
    <cellStyle name="Normal 72 39" xfId="0"/>
    <cellStyle name="Normal 72 4" xfId="0"/>
    <cellStyle name="Normal 72 40" xfId="0"/>
    <cellStyle name="Normal 72 41" xfId="0"/>
    <cellStyle name="Normal 72 42" xfId="0"/>
    <cellStyle name="Normal 72 43" xfId="0"/>
    <cellStyle name="Normal 72 44" xfId="0"/>
    <cellStyle name="Normal 72 45" xfId="0"/>
    <cellStyle name="Normal 72 46" xfId="0"/>
    <cellStyle name="Normal 72 47" xfId="0"/>
    <cellStyle name="Normal 72 48" xfId="0"/>
    <cellStyle name="Normal 72 49" xfId="0"/>
    <cellStyle name="Normal 72 5" xfId="0"/>
    <cellStyle name="Normal 72 50" xfId="0"/>
    <cellStyle name="Normal 72 51" xfId="0"/>
    <cellStyle name="Normal 72 52" xfId="0"/>
    <cellStyle name="Normal 72 53" xfId="0"/>
    <cellStyle name="Normal 72 54" xfId="0"/>
    <cellStyle name="Normal 72 55" xfId="0"/>
    <cellStyle name="Normal 72 56" xfId="0"/>
    <cellStyle name="Normal 72 57" xfId="0"/>
    <cellStyle name="Normal 72 58" xfId="0"/>
    <cellStyle name="Normal 72 59" xfId="0"/>
    <cellStyle name="Normal 72 6" xfId="0"/>
    <cellStyle name="Normal 72 60" xfId="0"/>
    <cellStyle name="Normal 72 61" xfId="0"/>
    <cellStyle name="Normal 72 62" xfId="0"/>
    <cellStyle name="Normal 72 63" xfId="0"/>
    <cellStyle name="Normal 72 64" xfId="0"/>
    <cellStyle name="Normal 72 65" xfId="0"/>
    <cellStyle name="Normal 72 66" xfId="0"/>
    <cellStyle name="Normal 72 67" xfId="0"/>
    <cellStyle name="Normal 72 68" xfId="0"/>
    <cellStyle name="Normal 72 69" xfId="0"/>
    <cellStyle name="Normal 72 7" xfId="0"/>
    <cellStyle name="Normal 72 70" xfId="0"/>
    <cellStyle name="Normal 72 71" xfId="0"/>
    <cellStyle name="Normal 72 72" xfId="0"/>
    <cellStyle name="Normal 72 73" xfId="0"/>
    <cellStyle name="Normal 72 74" xfId="0"/>
    <cellStyle name="Normal 72 75" xfId="0"/>
    <cellStyle name="Normal 72 76" xfId="0"/>
    <cellStyle name="Normal 72 77" xfId="0"/>
    <cellStyle name="Normal 72 78" xfId="0"/>
    <cellStyle name="Normal 72 79" xfId="0"/>
    <cellStyle name="Normal 72 8" xfId="0"/>
    <cellStyle name="Normal 72 80" xfId="0"/>
    <cellStyle name="Normal 72 81" xfId="0"/>
    <cellStyle name="Normal 72 82" xfId="0"/>
    <cellStyle name="Normal 72 83" xfId="0"/>
    <cellStyle name="Normal 72 84" xfId="0"/>
    <cellStyle name="Normal 72 85" xfId="0"/>
    <cellStyle name="Normal 72 86" xfId="0"/>
    <cellStyle name="Normal 72 87" xfId="0"/>
    <cellStyle name="Normal 72 88" xfId="0"/>
    <cellStyle name="Normal 72 89" xfId="0"/>
    <cellStyle name="Normal 72 9" xfId="0"/>
    <cellStyle name="Normal 72 90" xfId="0"/>
    <cellStyle name="Normal 72 91" xfId="0"/>
    <cellStyle name="Normal 72 92" xfId="0"/>
    <cellStyle name="Normal 72 93" xfId="0"/>
    <cellStyle name="Normal 72 94" xfId="0"/>
    <cellStyle name="Normal 72 95" xfId="0"/>
    <cellStyle name="Normal 72 96" xfId="0"/>
    <cellStyle name="Normal 72 97" xfId="0"/>
    <cellStyle name="Normal 72 98" xfId="0"/>
    <cellStyle name="Normal 72 99" xfId="0"/>
    <cellStyle name="Normal 73" xfId="0"/>
    <cellStyle name="Normal 74" xfId="0"/>
    <cellStyle name="Normal 75" xfId="0"/>
    <cellStyle name="Normal 76" xfId="0"/>
    <cellStyle name="Normal 77" xfId="0"/>
    <cellStyle name="Normal 78" xfId="0"/>
    <cellStyle name="Normal 79" xfId="0"/>
    <cellStyle name="Normal 7_Market Fresh Cost" xfId="0"/>
    <cellStyle name="Normal 8" xfId="0"/>
    <cellStyle name="Normal 8 10" xfId="0"/>
    <cellStyle name="Normal 8 11" xfId="0"/>
    <cellStyle name="Normal 8 12" xfId="0"/>
    <cellStyle name="Normal 8 13" xfId="0"/>
    <cellStyle name="Normal 8 14" xfId="0"/>
    <cellStyle name="Normal 8 15" xfId="0"/>
    <cellStyle name="Normal 8 16" xfId="0"/>
    <cellStyle name="Normal 8 17" xfId="0"/>
    <cellStyle name="Normal 8 18" xfId="0"/>
    <cellStyle name="Normal 8 19" xfId="0"/>
    <cellStyle name="Normal 8 2" xfId="0"/>
    <cellStyle name="Normal 8 2 2" xfId="0"/>
    <cellStyle name="Normal 8 2 2 2" xfId="0"/>
    <cellStyle name="Normal 8 2 3" xfId="0"/>
    <cellStyle name="Normal 8 20" xfId="0"/>
    <cellStyle name="Normal 8 21" xfId="0"/>
    <cellStyle name="Normal 8 22" xfId="0"/>
    <cellStyle name="Normal 8 23" xfId="0"/>
    <cellStyle name="Normal 8 24" xfId="0"/>
    <cellStyle name="Normal 8 25" xfId="0"/>
    <cellStyle name="Normal 8 26" xfId="0"/>
    <cellStyle name="Normal 8 27" xfId="0"/>
    <cellStyle name="Normal 8 28" xfId="0"/>
    <cellStyle name="Normal 8 29" xfId="0"/>
    <cellStyle name="Normal 8 3" xfId="0"/>
    <cellStyle name="Normal 8 3 2" xfId="0"/>
    <cellStyle name="Normal 8 3 3" xfId="0"/>
    <cellStyle name="Normal 8 30" xfId="0"/>
    <cellStyle name="Normal 8 31" xfId="0"/>
    <cellStyle name="Normal 8 32" xfId="0"/>
    <cellStyle name="Normal 8 33" xfId="0"/>
    <cellStyle name="Normal 8 34" xfId="0"/>
    <cellStyle name="Normal 8 35" xfId="0"/>
    <cellStyle name="Normal 8 36" xfId="0"/>
    <cellStyle name="Normal 8 37" xfId="0"/>
    <cellStyle name="Normal 8 38" xfId="0"/>
    <cellStyle name="Normal 8 39" xfId="0"/>
    <cellStyle name="Normal 8 4" xfId="0"/>
    <cellStyle name="Normal 8 4 2" xfId="0"/>
    <cellStyle name="Normal 8 40" xfId="0"/>
    <cellStyle name="Normal 8 41" xfId="0"/>
    <cellStyle name="Normal 8 42" xfId="0"/>
    <cellStyle name="Normal 8 43" xfId="0"/>
    <cellStyle name="Normal 8 44" xfId="0"/>
    <cellStyle name="Normal 8 45" xfId="0"/>
    <cellStyle name="Normal 8 46" xfId="0"/>
    <cellStyle name="Normal 8 47" xfId="0"/>
    <cellStyle name="Normal 8 48" xfId="0"/>
    <cellStyle name="Normal 8 49" xfId="0"/>
    <cellStyle name="Normal 8 5" xfId="0"/>
    <cellStyle name="Normal 8 50" xfId="0"/>
    <cellStyle name="Normal 8 51" xfId="0"/>
    <cellStyle name="Normal 8 52" xfId="0"/>
    <cellStyle name="Normal 8 53" xfId="0"/>
    <cellStyle name="Normal 8 54" xfId="0"/>
    <cellStyle name="Normal 8 55" xfId="0"/>
    <cellStyle name="Normal 8 56" xfId="0"/>
    <cellStyle name="Normal 8 57" xfId="0"/>
    <cellStyle name="Normal 8 58" xfId="0"/>
    <cellStyle name="Normal 8 59" xfId="0"/>
    <cellStyle name="Normal 8 6" xfId="0"/>
    <cellStyle name="Normal 8 7" xfId="0"/>
    <cellStyle name="Normal 8 8" xfId="0"/>
    <cellStyle name="Normal 8 9" xfId="0"/>
    <cellStyle name="Normal 80" xfId="0"/>
    <cellStyle name="Normal 81" xfId="0"/>
    <cellStyle name="Normal 82" xfId="0"/>
    <cellStyle name="Normal 83" xfId="0"/>
    <cellStyle name="Normal 83 2" xfId="0"/>
    <cellStyle name="Normal 83 2 2" xfId="0"/>
    <cellStyle name="Normal 83 2 2 2" xfId="0"/>
    <cellStyle name="Normal 83 2 2 2 2" xfId="0"/>
    <cellStyle name="Normal 83 2 2 2 2 2" xfId="0"/>
    <cellStyle name="Normal 83 2 2 2 2 2 2" xfId="0"/>
    <cellStyle name="Normal 83 2 2 2 2 2 2 2" xfId="0"/>
    <cellStyle name="Normal 83 2 2 2 2 2 3" xfId="0"/>
    <cellStyle name="Normal 83 2 2 2 2 3" xfId="0"/>
    <cellStyle name="Normal 83 2 2 2 2 3 2" xfId="0"/>
    <cellStyle name="Normal 83 2 2 2 2 4" xfId="0"/>
    <cellStyle name="Normal 83 2 2 2 3" xfId="0"/>
    <cellStyle name="Normal 83 2 2 2 3 2" xfId="0"/>
    <cellStyle name="Normal 83 2 2 2 3 2 2" xfId="0"/>
    <cellStyle name="Normal 83 2 2 2 3 3" xfId="0"/>
    <cellStyle name="Normal 83 2 2 2 4" xfId="0"/>
    <cellStyle name="Normal 83 2 2 2 4 2" xfId="0"/>
    <cellStyle name="Normal 83 2 2 2 5" xfId="0"/>
    <cellStyle name="Normal 83 2 2 3" xfId="0"/>
    <cellStyle name="Normal 83 2 2 3 2" xfId="0"/>
    <cellStyle name="Normal 83 2 2 3 2 2" xfId="0"/>
    <cellStyle name="Normal 83 2 2 3 2 2 2" xfId="0"/>
    <cellStyle name="Normal 83 2 2 3 2 3" xfId="0"/>
    <cellStyle name="Normal 83 2 2 3 3" xfId="0"/>
    <cellStyle name="Normal 83 2 2 3 3 2" xfId="0"/>
    <cellStyle name="Normal 83 2 2 3 4" xfId="0"/>
    <cellStyle name="Normal 83 2 2 4" xfId="0"/>
    <cellStyle name="Normal 83 2 2 4 2" xfId="0"/>
    <cellStyle name="Normal 83 2 2 4 2 2" xfId="0"/>
    <cellStyle name="Normal 83 2 2 4 3" xfId="0"/>
    <cellStyle name="Normal 83 2 2 5" xfId="0"/>
    <cellStyle name="Normal 83 2 2 5 2" xfId="0"/>
    <cellStyle name="Normal 83 2 2 6" xfId="0"/>
    <cellStyle name="Normal 83 2 3" xfId="0"/>
    <cellStyle name="Normal 83 2 3 2" xfId="0"/>
    <cellStyle name="Normal 83 2 3 2 2" xfId="0"/>
    <cellStyle name="Normal 83 2 3 2 2 2" xfId="0"/>
    <cellStyle name="Normal 83 2 3 2 2 2 2" xfId="0"/>
    <cellStyle name="Normal 83 2 3 2 2 3" xfId="0"/>
    <cellStyle name="Normal 83 2 3 2 3" xfId="0"/>
    <cellStyle name="Normal 83 2 3 2 3 2" xfId="0"/>
    <cellStyle name="Normal 83 2 3 2 4" xfId="0"/>
    <cellStyle name="Normal 83 2 3 3" xfId="0"/>
    <cellStyle name="Normal 83 2 3 3 2" xfId="0"/>
    <cellStyle name="Normal 83 2 3 3 2 2" xfId="0"/>
    <cellStyle name="Normal 83 2 3 3 3" xfId="0"/>
    <cellStyle name="Normal 83 2 3 4" xfId="0"/>
    <cellStyle name="Normal 83 2 3 4 2" xfId="0"/>
    <cellStyle name="Normal 83 2 3 5" xfId="0"/>
    <cellStyle name="Normal 83 2 4" xfId="0"/>
    <cellStyle name="Normal 83 2 4 2" xfId="0"/>
    <cellStyle name="Normal 83 2 4 2 2" xfId="0"/>
    <cellStyle name="Normal 83 2 4 2 2 2" xfId="0"/>
    <cellStyle name="Normal 83 2 4 2 3" xfId="0"/>
    <cellStyle name="Normal 83 2 4 3" xfId="0"/>
    <cellStyle name="Normal 83 2 4 3 2" xfId="0"/>
    <cellStyle name="Normal 83 2 4 4" xfId="0"/>
    <cellStyle name="Normal 83 2 5" xfId="0"/>
    <cellStyle name="Normal 83 2 5 2" xfId="0"/>
    <cellStyle name="Normal 83 2 5 2 2" xfId="0"/>
    <cellStyle name="Normal 83 2 5 3" xfId="0"/>
    <cellStyle name="Normal 83 2 6" xfId="0"/>
    <cellStyle name="Normal 83 2 6 2" xfId="0"/>
    <cellStyle name="Normal 83 2 7" xfId="0"/>
    <cellStyle name="Normal 83 3" xfId="0"/>
    <cellStyle name="Normal 83 3 2" xfId="0"/>
    <cellStyle name="Normal 83 3 2 2" xfId="0"/>
    <cellStyle name="Normal 83 3 2 2 2" xfId="0"/>
    <cellStyle name="Normal 83 3 2 2 2 2" xfId="0"/>
    <cellStyle name="Normal 83 3 2 2 2 2 2" xfId="0"/>
    <cellStyle name="Normal 83 3 2 2 2 3" xfId="0"/>
    <cellStyle name="Normal 83 3 2 2 3" xfId="0"/>
    <cellStyle name="Normal 83 3 2 2 3 2" xfId="0"/>
    <cellStyle name="Normal 83 3 2 2 4" xfId="0"/>
    <cellStyle name="Normal 83 3 2 3" xfId="0"/>
    <cellStyle name="Normal 83 3 2 3 2" xfId="0"/>
    <cellStyle name="Normal 83 3 2 3 2 2" xfId="0"/>
    <cellStyle name="Normal 83 3 2 3 3" xfId="0"/>
    <cellStyle name="Normal 83 3 2 4" xfId="0"/>
    <cellStyle name="Normal 83 3 2 4 2" xfId="0"/>
    <cellStyle name="Normal 83 3 2 5" xfId="0"/>
    <cellStyle name="Normal 83 3 3" xfId="0"/>
    <cellStyle name="Normal 83 3 3 2" xfId="0"/>
    <cellStyle name="Normal 83 3 3 2 2" xfId="0"/>
    <cellStyle name="Normal 83 3 3 2 2 2" xfId="0"/>
    <cellStyle name="Normal 83 3 3 2 3" xfId="0"/>
    <cellStyle name="Normal 83 3 3 3" xfId="0"/>
    <cellStyle name="Normal 83 3 3 3 2" xfId="0"/>
    <cellStyle name="Normal 83 3 3 4" xfId="0"/>
    <cellStyle name="Normal 83 3 4" xfId="0"/>
    <cellStyle name="Normal 83 3 4 2" xfId="0"/>
    <cellStyle name="Normal 83 3 4 2 2" xfId="0"/>
    <cellStyle name="Normal 83 3 4 3" xfId="0"/>
    <cellStyle name="Normal 83 3 5" xfId="0"/>
    <cellStyle name="Normal 83 3 5 2" xfId="0"/>
    <cellStyle name="Normal 83 3 6" xfId="0"/>
    <cellStyle name="Normal 83 4" xfId="0"/>
    <cellStyle name="Normal 83 4 2" xfId="0"/>
    <cellStyle name="Normal 83 4 2 2" xfId="0"/>
    <cellStyle name="Normal 83 4 2 2 2" xfId="0"/>
    <cellStyle name="Normal 83 4 2 2 2 2" xfId="0"/>
    <cellStyle name="Normal 83 4 2 2 3" xfId="0"/>
    <cellStyle name="Normal 83 4 2 3" xfId="0"/>
    <cellStyle name="Normal 83 4 2 3 2" xfId="0"/>
    <cellStyle name="Normal 83 4 2 4" xfId="0"/>
    <cellStyle name="Normal 83 4 3" xfId="0"/>
    <cellStyle name="Normal 83 4 3 2" xfId="0"/>
    <cellStyle name="Normal 83 4 3 2 2" xfId="0"/>
    <cellStyle name="Normal 83 4 3 3" xfId="0"/>
    <cellStyle name="Normal 83 4 4" xfId="0"/>
    <cellStyle name="Normal 83 4 4 2" xfId="0"/>
    <cellStyle name="Normal 83 4 5" xfId="0"/>
    <cellStyle name="Normal 83 5" xfId="0"/>
    <cellStyle name="Normal 83 5 2" xfId="0"/>
    <cellStyle name="Normal 83 5 2 2" xfId="0"/>
    <cellStyle name="Normal 83 5 2 2 2" xfId="0"/>
    <cellStyle name="Normal 83 5 2 3" xfId="0"/>
    <cellStyle name="Normal 83 5 3" xfId="0"/>
    <cellStyle name="Normal 83 5 3 2" xfId="0"/>
    <cellStyle name="Normal 83 5 4" xfId="0"/>
    <cellStyle name="Normal 83 6" xfId="0"/>
    <cellStyle name="Normal 83 6 2" xfId="0"/>
    <cellStyle name="Normal 83 6 2 2" xfId="0"/>
    <cellStyle name="Normal 83 6 3" xfId="0"/>
    <cellStyle name="Normal 83 7" xfId="0"/>
    <cellStyle name="Normal 83 7 2" xfId="0"/>
    <cellStyle name="Normal 83 8" xfId="0"/>
    <cellStyle name="Normal 84" xfId="0"/>
    <cellStyle name="Normal 84 2" xfId="0"/>
    <cellStyle name="Normal 84 2 2" xfId="0"/>
    <cellStyle name="Normal 84 2 2 2" xfId="0"/>
    <cellStyle name="Normal 84 2 2 2 2" xfId="0"/>
    <cellStyle name="Normal 84 2 2 2 2 2" xfId="0"/>
    <cellStyle name="Normal 84 2 2 2 2 2 2" xfId="0"/>
    <cellStyle name="Normal 84 2 2 2 2 2 2 2" xfId="0"/>
    <cellStyle name="Normal 84 2 2 2 2 2 3" xfId="0"/>
    <cellStyle name="Normal 84 2 2 2 2 3" xfId="0"/>
    <cellStyle name="Normal 84 2 2 2 2 3 2" xfId="0"/>
    <cellStyle name="Normal 84 2 2 2 2 4" xfId="0"/>
    <cellStyle name="Normal 84 2 2 2 3" xfId="0"/>
    <cellStyle name="Normal 84 2 2 2 3 2" xfId="0"/>
    <cellStyle name="Normal 84 2 2 2 3 2 2" xfId="0"/>
    <cellStyle name="Normal 84 2 2 2 3 3" xfId="0"/>
    <cellStyle name="Normal 84 2 2 2 4" xfId="0"/>
    <cellStyle name="Normal 84 2 2 2 4 2" xfId="0"/>
    <cellStyle name="Normal 84 2 2 2 5" xfId="0"/>
    <cellStyle name="Normal 84 2 2 3" xfId="0"/>
    <cellStyle name="Normal 84 2 2 3 2" xfId="0"/>
    <cellStyle name="Normal 84 2 2 3 2 2" xfId="0"/>
    <cellStyle name="Normal 84 2 2 3 2 2 2" xfId="0"/>
    <cellStyle name="Normal 84 2 2 3 2 3" xfId="0"/>
    <cellStyle name="Normal 84 2 2 3 3" xfId="0"/>
    <cellStyle name="Normal 84 2 2 3 3 2" xfId="0"/>
    <cellStyle name="Normal 84 2 2 3 4" xfId="0"/>
    <cellStyle name="Normal 84 2 2 4" xfId="0"/>
    <cellStyle name="Normal 84 2 2 4 2" xfId="0"/>
    <cellStyle name="Normal 84 2 2 4 2 2" xfId="0"/>
    <cellStyle name="Normal 84 2 2 4 3" xfId="0"/>
    <cellStyle name="Normal 84 2 2 5" xfId="0"/>
    <cellStyle name="Normal 84 2 2 5 2" xfId="0"/>
    <cellStyle name="Normal 84 2 2 6" xfId="0"/>
    <cellStyle name="Normal 84 2 3" xfId="0"/>
    <cellStyle name="Normal 84 2 3 2" xfId="0"/>
    <cellStyle name="Normal 84 2 3 2 2" xfId="0"/>
    <cellStyle name="Normal 84 2 3 2 2 2" xfId="0"/>
    <cellStyle name="Normal 84 2 3 2 2 2 2" xfId="0"/>
    <cellStyle name="Normal 84 2 3 2 2 3" xfId="0"/>
    <cellStyle name="Normal 84 2 3 2 3" xfId="0"/>
    <cellStyle name="Normal 84 2 3 2 3 2" xfId="0"/>
    <cellStyle name="Normal 84 2 3 2 4" xfId="0"/>
    <cellStyle name="Normal 84 2 3 3" xfId="0"/>
    <cellStyle name="Normal 84 2 3 3 2" xfId="0"/>
    <cellStyle name="Normal 84 2 3 3 2 2" xfId="0"/>
    <cellStyle name="Normal 84 2 3 3 3" xfId="0"/>
    <cellStyle name="Normal 84 2 3 4" xfId="0"/>
    <cellStyle name="Normal 84 2 3 4 2" xfId="0"/>
    <cellStyle name="Normal 84 2 3 5" xfId="0"/>
    <cellStyle name="Normal 84 2 4" xfId="0"/>
    <cellStyle name="Normal 84 2 4 2" xfId="0"/>
    <cellStyle name="Normal 84 2 4 2 2" xfId="0"/>
    <cellStyle name="Normal 84 2 4 2 2 2" xfId="0"/>
    <cellStyle name="Normal 84 2 4 2 3" xfId="0"/>
    <cellStyle name="Normal 84 2 4 3" xfId="0"/>
    <cellStyle name="Normal 84 2 4 3 2" xfId="0"/>
    <cellStyle name="Normal 84 2 4 4" xfId="0"/>
    <cellStyle name="Normal 84 2 5" xfId="0"/>
    <cellStyle name="Normal 84 2 5 2" xfId="0"/>
    <cellStyle name="Normal 84 2 5 2 2" xfId="0"/>
    <cellStyle name="Normal 84 2 5 3" xfId="0"/>
    <cellStyle name="Normal 84 2 6" xfId="0"/>
    <cellStyle name="Normal 84 2 6 2" xfId="0"/>
    <cellStyle name="Normal 84 2 7" xfId="0"/>
    <cellStyle name="Normal 84 3" xfId="0"/>
    <cellStyle name="Normal 84 3 2" xfId="0"/>
    <cellStyle name="Normal 84 3 2 2" xfId="0"/>
    <cellStyle name="Normal 84 3 2 2 2" xfId="0"/>
    <cellStyle name="Normal 84 3 2 2 2 2" xfId="0"/>
    <cellStyle name="Normal 84 3 2 2 2 2 2" xfId="0"/>
    <cellStyle name="Normal 84 3 2 2 2 3" xfId="0"/>
    <cellStyle name="Normal 84 3 2 2 3" xfId="0"/>
    <cellStyle name="Normal 84 3 2 2 3 2" xfId="0"/>
    <cellStyle name="Normal 84 3 2 2 4" xfId="0"/>
    <cellStyle name="Normal 84 3 2 3" xfId="0"/>
    <cellStyle name="Normal 84 3 2 3 2" xfId="0"/>
    <cellStyle name="Normal 84 3 2 3 2 2" xfId="0"/>
    <cellStyle name="Normal 84 3 2 3 3" xfId="0"/>
    <cellStyle name="Normal 84 3 2 4" xfId="0"/>
    <cellStyle name="Normal 84 3 2 4 2" xfId="0"/>
    <cellStyle name="Normal 84 3 2 5" xfId="0"/>
    <cellStyle name="Normal 84 3 3" xfId="0"/>
    <cellStyle name="Normal 84 3 3 2" xfId="0"/>
    <cellStyle name="Normal 84 3 3 2 2" xfId="0"/>
    <cellStyle name="Normal 84 3 3 2 2 2" xfId="0"/>
    <cellStyle name="Normal 84 3 3 2 3" xfId="0"/>
    <cellStyle name="Normal 84 3 3 3" xfId="0"/>
    <cellStyle name="Normal 84 3 3 3 2" xfId="0"/>
    <cellStyle name="Normal 84 3 3 4" xfId="0"/>
    <cellStyle name="Normal 84 3 4" xfId="0"/>
    <cellStyle name="Normal 84 3 4 2" xfId="0"/>
    <cellStyle name="Normal 84 3 4 2 2" xfId="0"/>
    <cellStyle name="Normal 84 3 4 3" xfId="0"/>
    <cellStyle name="Normal 84 3 5" xfId="0"/>
    <cellStyle name="Normal 84 3 5 2" xfId="0"/>
    <cellStyle name="Normal 84 3 6" xfId="0"/>
    <cellStyle name="Normal 84 4" xfId="0"/>
    <cellStyle name="Normal 84 4 2" xfId="0"/>
    <cellStyle name="Normal 84 4 2 2" xfId="0"/>
    <cellStyle name="Normal 84 4 2 2 2" xfId="0"/>
    <cellStyle name="Normal 84 4 2 2 2 2" xfId="0"/>
    <cellStyle name="Normal 84 4 2 2 3" xfId="0"/>
    <cellStyle name="Normal 84 4 2 3" xfId="0"/>
    <cellStyle name="Normal 84 4 2 3 2" xfId="0"/>
    <cellStyle name="Normal 84 4 2 4" xfId="0"/>
    <cellStyle name="Normal 84 4 3" xfId="0"/>
    <cellStyle name="Normal 84 4 3 2" xfId="0"/>
    <cellStyle name="Normal 84 4 3 2 2" xfId="0"/>
    <cellStyle name="Normal 84 4 3 3" xfId="0"/>
    <cellStyle name="Normal 84 4 4" xfId="0"/>
    <cellStyle name="Normal 84 4 4 2" xfId="0"/>
    <cellStyle name="Normal 84 4 5" xfId="0"/>
    <cellStyle name="Normal 84 5" xfId="0"/>
    <cellStyle name="Normal 84 5 2" xfId="0"/>
    <cellStyle name="Normal 84 5 2 2" xfId="0"/>
    <cellStyle name="Normal 84 5 2 2 2" xfId="0"/>
    <cellStyle name="Normal 84 5 2 3" xfId="0"/>
    <cellStyle name="Normal 84 5 3" xfId="0"/>
    <cellStyle name="Normal 84 5 3 2" xfId="0"/>
    <cellStyle name="Normal 84 5 4" xfId="0"/>
    <cellStyle name="Normal 84 6" xfId="0"/>
    <cellStyle name="Normal 84 6 2" xfId="0"/>
    <cellStyle name="Normal 84 6 2 2" xfId="0"/>
    <cellStyle name="Normal 84 6 3" xfId="0"/>
    <cellStyle name="Normal 84 7" xfId="0"/>
    <cellStyle name="Normal 84 7 2" xfId="0"/>
    <cellStyle name="Normal 84 8" xfId="0"/>
    <cellStyle name="Normal 85" xfId="0"/>
    <cellStyle name="Normal 85 2" xfId="0"/>
    <cellStyle name="Normal 85 2 2" xfId="0"/>
    <cellStyle name="Normal 85 2 2 2" xfId="0"/>
    <cellStyle name="Normal 85 2 2 2 2" xfId="0"/>
    <cellStyle name="Normal 85 2 2 2 2 2" xfId="0"/>
    <cellStyle name="Normal 85 2 2 2 2 2 2" xfId="0"/>
    <cellStyle name="Normal 85 2 2 2 2 3" xfId="0"/>
    <cellStyle name="Normal 85 2 2 2 3" xfId="0"/>
    <cellStyle name="Normal 85 2 2 2 3 2" xfId="0"/>
    <cellStyle name="Normal 85 2 2 2 4" xfId="0"/>
    <cellStyle name="Normal 85 2 2 3" xfId="0"/>
    <cellStyle name="Normal 85 2 2 3 2" xfId="0"/>
    <cellStyle name="Normal 85 2 2 3 2 2" xfId="0"/>
    <cellStyle name="Normal 85 2 2 3 3" xfId="0"/>
    <cellStyle name="Normal 85 2 2 4" xfId="0"/>
    <cellStyle name="Normal 85 2 2 4 2" xfId="0"/>
    <cellStyle name="Normal 85 2 2 5" xfId="0"/>
    <cellStyle name="Normal 85 2 3" xfId="0"/>
    <cellStyle name="Normal 85 2 3 2" xfId="0"/>
    <cellStyle name="Normal 85 2 3 2 2" xfId="0"/>
    <cellStyle name="Normal 85 2 3 2 2 2" xfId="0"/>
    <cellStyle name="Normal 85 2 3 2 3" xfId="0"/>
    <cellStyle name="Normal 85 2 3 3" xfId="0"/>
    <cellStyle name="Normal 85 2 3 3 2" xfId="0"/>
    <cellStyle name="Normal 85 2 3 4" xfId="0"/>
    <cellStyle name="Normal 85 2 4" xfId="0"/>
    <cellStyle name="Normal 85 2 4 2" xfId="0"/>
    <cellStyle name="Normal 85 2 4 2 2" xfId="0"/>
    <cellStyle name="Normal 85 2 4 3" xfId="0"/>
    <cellStyle name="Normal 85 2 5" xfId="0"/>
    <cellStyle name="Normal 85 2 5 2" xfId="0"/>
    <cellStyle name="Normal 85 2 6" xfId="0"/>
    <cellStyle name="Normal 85 3" xfId="0"/>
    <cellStyle name="Normal 85 3 2" xfId="0"/>
    <cellStyle name="Normal 85 3 2 2" xfId="0"/>
    <cellStyle name="Normal 85 3 2 2 2" xfId="0"/>
    <cellStyle name="Normal 85 3 2 2 2 2" xfId="0"/>
    <cellStyle name="Normal 85 3 2 2 3" xfId="0"/>
    <cellStyle name="Normal 85 3 2 3" xfId="0"/>
    <cellStyle name="Normal 85 3 2 3 2" xfId="0"/>
    <cellStyle name="Normal 85 3 2 4" xfId="0"/>
    <cellStyle name="Normal 85 3 3" xfId="0"/>
    <cellStyle name="Normal 85 3 3 2" xfId="0"/>
    <cellStyle name="Normal 85 3 3 2 2" xfId="0"/>
    <cellStyle name="Normal 85 3 3 3" xfId="0"/>
    <cellStyle name="Normal 85 3 4" xfId="0"/>
    <cellStyle name="Normal 85 3 4 2" xfId="0"/>
    <cellStyle name="Normal 85 3 5" xfId="0"/>
    <cellStyle name="Normal 85 4" xfId="0"/>
    <cellStyle name="Normal 85 4 2" xfId="0"/>
    <cellStyle name="Normal 85 4 2 2" xfId="0"/>
    <cellStyle name="Normal 85 4 2 2 2" xfId="0"/>
    <cellStyle name="Normal 85 4 2 3" xfId="0"/>
    <cellStyle name="Normal 85 4 3" xfId="0"/>
    <cellStyle name="Normal 85 4 3 2" xfId="0"/>
    <cellStyle name="Normal 85 4 4" xfId="0"/>
    <cellStyle name="Normal 85 5" xfId="0"/>
    <cellStyle name="Normal 85 5 2" xfId="0"/>
    <cellStyle name="Normal 85 5 2 2" xfId="0"/>
    <cellStyle name="Normal 85 5 3" xfId="0"/>
    <cellStyle name="Normal 85 6" xfId="0"/>
    <cellStyle name="Normal 85 6 2" xfId="0"/>
    <cellStyle name="Normal 85 7" xfId="0"/>
    <cellStyle name="Normal 86" xfId="0"/>
    <cellStyle name="Normal 86 2" xfId="0"/>
    <cellStyle name="Normal 86 2 2" xfId="0"/>
    <cellStyle name="Normal 86 2 2 2" xfId="0"/>
    <cellStyle name="Normal 86 2 2 2 2" xfId="0"/>
    <cellStyle name="Normal 86 2 2 2 2 2" xfId="0"/>
    <cellStyle name="Normal 86 2 2 2 2 2 2" xfId="0"/>
    <cellStyle name="Normal 86 2 2 2 2 3" xfId="0"/>
    <cellStyle name="Normal 86 2 2 2 3" xfId="0"/>
    <cellStyle name="Normal 86 2 2 2 3 2" xfId="0"/>
    <cellStyle name="Normal 86 2 2 2 4" xfId="0"/>
    <cellStyle name="Normal 86 2 2 3" xfId="0"/>
    <cellStyle name="Normal 86 2 2 3 2" xfId="0"/>
    <cellStyle name="Normal 86 2 2 3 2 2" xfId="0"/>
    <cellStyle name="Normal 86 2 2 3 3" xfId="0"/>
    <cellStyle name="Normal 86 2 2 4" xfId="0"/>
    <cellStyle name="Normal 86 2 2 4 2" xfId="0"/>
    <cellStyle name="Normal 86 2 2 5" xfId="0"/>
    <cellStyle name="Normal 86 2 3" xfId="0"/>
    <cellStyle name="Normal 86 2 3 2" xfId="0"/>
    <cellStyle name="Normal 86 2 3 2 2" xfId="0"/>
    <cellStyle name="Normal 86 2 3 2 2 2" xfId="0"/>
    <cellStyle name="Normal 86 2 3 2 3" xfId="0"/>
    <cellStyle name="Normal 86 2 3 3" xfId="0"/>
    <cellStyle name="Normal 86 2 3 3 2" xfId="0"/>
    <cellStyle name="Normal 86 2 3 4" xfId="0"/>
    <cellStyle name="Normal 86 2 4" xfId="0"/>
    <cellStyle name="Normal 86 2 4 2" xfId="0"/>
    <cellStyle name="Normal 86 2 4 2 2" xfId="0"/>
    <cellStyle name="Normal 86 2 4 3" xfId="0"/>
    <cellStyle name="Normal 86 2 5" xfId="0"/>
    <cellStyle name="Normal 86 2 5 2" xfId="0"/>
    <cellStyle name="Normal 86 2 6" xfId="0"/>
    <cellStyle name="Normal 86 3" xfId="0"/>
    <cellStyle name="Normal 86 3 2" xfId="0"/>
    <cellStyle name="Normal 86 3 2 2" xfId="0"/>
    <cellStyle name="Normal 86 3 2 2 2" xfId="0"/>
    <cellStyle name="Normal 86 3 2 2 2 2" xfId="0"/>
    <cellStyle name="Normal 86 3 2 2 3" xfId="0"/>
    <cellStyle name="Normal 86 3 2 3" xfId="0"/>
    <cellStyle name="Normal 86 3 2 3 2" xfId="0"/>
    <cellStyle name="Normal 86 3 2 4" xfId="0"/>
    <cellStyle name="Normal 86 3 3" xfId="0"/>
    <cellStyle name="Normal 86 3 3 2" xfId="0"/>
    <cellStyle name="Normal 86 3 3 2 2" xfId="0"/>
    <cellStyle name="Normal 86 3 3 3" xfId="0"/>
    <cellStyle name="Normal 86 3 4" xfId="0"/>
    <cellStyle name="Normal 86 3 4 2" xfId="0"/>
    <cellStyle name="Normal 86 3 5" xfId="0"/>
    <cellStyle name="Normal 86 4" xfId="0"/>
    <cellStyle name="Normal 86 4 2" xfId="0"/>
    <cellStyle name="Normal 86 4 2 2" xfId="0"/>
    <cellStyle name="Normal 86 4 2 2 2" xfId="0"/>
    <cellStyle name="Normal 86 4 2 3" xfId="0"/>
    <cellStyle name="Normal 86 4 3" xfId="0"/>
    <cellStyle name="Normal 86 4 3 2" xfId="0"/>
    <cellStyle name="Normal 86 4 4" xfId="0"/>
    <cellStyle name="Normal 86 5" xfId="0"/>
    <cellStyle name="Normal 86 5 2" xfId="0"/>
    <cellStyle name="Normal 86 5 2 2" xfId="0"/>
    <cellStyle name="Normal 86 5 3" xfId="0"/>
    <cellStyle name="Normal 86 6" xfId="0"/>
    <cellStyle name="Normal 86 6 2" xfId="0"/>
    <cellStyle name="Normal 86 7" xfId="0"/>
    <cellStyle name="Normal 87" xfId="0"/>
    <cellStyle name="Normal 88" xfId="0"/>
    <cellStyle name="Normal 89" xfId="0"/>
    <cellStyle name="Normal 8_Market Fresh Cost" xfId="0"/>
    <cellStyle name="Normal 9" xfId="0"/>
    <cellStyle name="Normal 9 10" xfId="0"/>
    <cellStyle name="Normal 9 11" xfId="0"/>
    <cellStyle name="Normal 9 12" xfId="0"/>
    <cellStyle name="Normal 9 13" xfId="0"/>
    <cellStyle name="Normal 9 14" xfId="0"/>
    <cellStyle name="Normal 9 15" xfId="0"/>
    <cellStyle name="Normal 9 16" xfId="0"/>
    <cellStyle name="Normal 9 17" xfId="0"/>
    <cellStyle name="Normal 9 18" xfId="0"/>
    <cellStyle name="Normal 9 19" xfId="0"/>
    <cellStyle name="Normal 9 2" xfId="0"/>
    <cellStyle name="Normal 9 2 2" xfId="0"/>
    <cellStyle name="Normal 9 2 3" xfId="0"/>
    <cellStyle name="Normal 9 20" xfId="0"/>
    <cellStyle name="Normal 9 21" xfId="0"/>
    <cellStyle name="Normal 9 22" xfId="0"/>
    <cellStyle name="Normal 9 23" xfId="0"/>
    <cellStyle name="Normal 9 24" xfId="0"/>
    <cellStyle name="Normal 9 25" xfId="0"/>
    <cellStyle name="Normal 9 26" xfId="0"/>
    <cellStyle name="Normal 9 27" xfId="0"/>
    <cellStyle name="Normal 9 28" xfId="0"/>
    <cellStyle name="Normal 9 29" xfId="0"/>
    <cellStyle name="Normal 9 3" xfId="0"/>
    <cellStyle name="Normal 9 3 2" xfId="0"/>
    <cellStyle name="Normal 9 30" xfId="0"/>
    <cellStyle name="Normal 9 31" xfId="0"/>
    <cellStyle name="Normal 9 32" xfId="0"/>
    <cellStyle name="Normal 9 33" xfId="0"/>
    <cellStyle name="Normal 9 34" xfId="0"/>
    <cellStyle name="Normal 9 35" xfId="0"/>
    <cellStyle name="Normal 9 36" xfId="0"/>
    <cellStyle name="Normal 9 37" xfId="0"/>
    <cellStyle name="Normal 9 38" xfId="0"/>
    <cellStyle name="Normal 9 39" xfId="0"/>
    <cellStyle name="Normal 9 4" xfId="0"/>
    <cellStyle name="Normal 9 4 2" xfId="0"/>
    <cellStyle name="Normal 9 40" xfId="0"/>
    <cellStyle name="Normal 9 41" xfId="0"/>
    <cellStyle name="Normal 9 42" xfId="0"/>
    <cellStyle name="Normal 9 43" xfId="0"/>
    <cellStyle name="Normal 9 44" xfId="0"/>
    <cellStyle name="Normal 9 45" xfId="0"/>
    <cellStyle name="Normal 9 46" xfId="0"/>
    <cellStyle name="Normal 9 47" xfId="0"/>
    <cellStyle name="Normal 9 48" xfId="0"/>
    <cellStyle name="Normal 9 49" xfId="0"/>
    <cellStyle name="Normal 9 5" xfId="0"/>
    <cellStyle name="Normal 9 50" xfId="0"/>
    <cellStyle name="Normal 9 51" xfId="0"/>
    <cellStyle name="Normal 9 52" xfId="0"/>
    <cellStyle name="Normal 9 53" xfId="0"/>
    <cellStyle name="Normal 9 54" xfId="0"/>
    <cellStyle name="Normal 9 55" xfId="0"/>
    <cellStyle name="Normal 9 56" xfId="0"/>
    <cellStyle name="Normal 9 57" xfId="0"/>
    <cellStyle name="Normal 9 58" xfId="0"/>
    <cellStyle name="Normal 9 59" xfId="0"/>
    <cellStyle name="Normal 9 6" xfId="0"/>
    <cellStyle name="Normal 9 60" xfId="0"/>
    <cellStyle name="Normal 9 61" xfId="0"/>
    <cellStyle name="Normal 9 62" xfId="0"/>
    <cellStyle name="Normal 9 63" xfId="0"/>
    <cellStyle name="Normal 9 64" xfId="0"/>
    <cellStyle name="Normal 9 65" xfId="0"/>
    <cellStyle name="Normal 9 7" xfId="0"/>
    <cellStyle name="Normal 9 8" xfId="0"/>
    <cellStyle name="Normal 9 9" xfId="0"/>
    <cellStyle name="Normal 90" xfId="0"/>
    <cellStyle name="Normal 91" xfId="0"/>
    <cellStyle name="Normal 92" xfId="0"/>
    <cellStyle name="Normal 93" xfId="0"/>
    <cellStyle name="Normal 94" xfId="0"/>
    <cellStyle name="Normal 95" xfId="0"/>
    <cellStyle name="Normal 96" xfId="0"/>
    <cellStyle name="Normal 97" xfId="0"/>
    <cellStyle name="Normal 98" xfId="0"/>
    <cellStyle name="Normal 99" xfId="0"/>
    <cellStyle name="Norm੎੎" xfId="0"/>
    <cellStyle name="Norm੎੎ 2" xfId="0"/>
    <cellStyle name="Norm੎੎ 2 2" xfId="0"/>
    <cellStyle name="Norm੎੎ 3" xfId="0"/>
    <cellStyle name="Norm੎੎_RETIREMEN vsi" xfId="0"/>
    <cellStyle name="Note 10" xfId="0"/>
    <cellStyle name="Note 10 2" xfId="0"/>
    <cellStyle name="Note 11" xfId="0"/>
    <cellStyle name="Note 11 2" xfId="0"/>
    <cellStyle name="Note 12" xfId="0"/>
    <cellStyle name="Note 12 2" xfId="0"/>
    <cellStyle name="Note 13" xfId="0"/>
    <cellStyle name="Note 13 2" xfId="0"/>
    <cellStyle name="Note 14" xfId="0"/>
    <cellStyle name="Note 14 2" xfId="0"/>
    <cellStyle name="Note 15" xfId="0"/>
    <cellStyle name="Note 15 2" xfId="0"/>
    <cellStyle name="Note 16" xfId="0"/>
    <cellStyle name="Note 16 2" xfId="0"/>
    <cellStyle name="Note 17" xfId="0"/>
    <cellStyle name="Note 17 2" xfId="0"/>
    <cellStyle name="Note 18" xfId="0"/>
    <cellStyle name="Note 18 2" xfId="0"/>
    <cellStyle name="Note 19" xfId="0"/>
    <cellStyle name="Note 19 2" xfId="0"/>
    <cellStyle name="Note 2" xfId="0"/>
    <cellStyle name="Note 2 10" xfId="0"/>
    <cellStyle name="Note 2 10 2" xfId="0"/>
    <cellStyle name="Note 2 10 2 2" xfId="0"/>
    <cellStyle name="Note 2 10 3" xfId="0"/>
    <cellStyle name="Note 2 11" xfId="0"/>
    <cellStyle name="Note 2 11 2" xfId="0"/>
    <cellStyle name="Note 2 11 2 2" xfId="0"/>
    <cellStyle name="Note 2 11 3" xfId="0"/>
    <cellStyle name="Note 2 12" xfId="0"/>
    <cellStyle name="Note 2 12 2" xfId="0"/>
    <cellStyle name="Note 2 13" xfId="0"/>
    <cellStyle name="Note 2 14" xfId="0"/>
    <cellStyle name="Note 2 15" xfId="0"/>
    <cellStyle name="Note 2 2" xfId="0"/>
    <cellStyle name="Note 2 2 2" xfId="0"/>
    <cellStyle name="Note 2 2 2 2" xfId="0"/>
    <cellStyle name="Note 2 2 3" xfId="0"/>
    <cellStyle name="Note 2 2 3 2" xfId="0"/>
    <cellStyle name="Note 2 2 4" xfId="0"/>
    <cellStyle name="Note 2 2 5" xfId="0"/>
    <cellStyle name="Note 2 2_Profitability Detail NT$ Sep-12" xfId="0"/>
    <cellStyle name="Note 2 3" xfId="0"/>
    <cellStyle name="Note 2 3 2" xfId="0"/>
    <cellStyle name="Note 2 3 2 2" xfId="0"/>
    <cellStyle name="Note 2 3 3" xfId="0"/>
    <cellStyle name="Note 2 4" xfId="0"/>
    <cellStyle name="Note 2 4 2" xfId="0"/>
    <cellStyle name="Note 2 4 2 2" xfId="0"/>
    <cellStyle name="Note 2 4 3" xfId="0"/>
    <cellStyle name="Note 2 5" xfId="0"/>
    <cellStyle name="Note 2 5 2" xfId="0"/>
    <cellStyle name="Note 2 5 2 2" xfId="0"/>
    <cellStyle name="Note 2 5 3" xfId="0"/>
    <cellStyle name="Note 2 6" xfId="0"/>
    <cellStyle name="Note 2 6 2" xfId="0"/>
    <cellStyle name="Note 2 6 2 2" xfId="0"/>
    <cellStyle name="Note 2 6 3" xfId="0"/>
    <cellStyle name="Note 2 7" xfId="0"/>
    <cellStyle name="Note 2 7 2" xfId="0"/>
    <cellStyle name="Note 2 7 2 2" xfId="0"/>
    <cellStyle name="Note 2 7 3" xfId="0"/>
    <cellStyle name="Note 2 8" xfId="0"/>
    <cellStyle name="Note 2 8 2" xfId="0"/>
    <cellStyle name="Note 2 8 2 2" xfId="0"/>
    <cellStyle name="Note 2 8 3" xfId="0"/>
    <cellStyle name="Note 2 9" xfId="0"/>
    <cellStyle name="Note 2 9 2" xfId="0"/>
    <cellStyle name="Note 2 9 2 2" xfId="0"/>
    <cellStyle name="Note 2 9 3" xfId="0"/>
    <cellStyle name="Note 20" xfId="0"/>
    <cellStyle name="Note 20 2" xfId="0"/>
    <cellStyle name="Note 21" xfId="0"/>
    <cellStyle name="Note 21 2" xfId="0"/>
    <cellStyle name="Note 22" xfId="0"/>
    <cellStyle name="Note 22 2" xfId="0"/>
    <cellStyle name="Note 23" xfId="0"/>
    <cellStyle name="Note 23 2" xfId="0"/>
    <cellStyle name="Note 24" xfId="0"/>
    <cellStyle name="Note 25" xfId="0"/>
    <cellStyle name="Note 2_PFT CPC sku" xfId="0"/>
    <cellStyle name="Note 3" xfId="0"/>
    <cellStyle name="Note 3 10" xfId="0"/>
    <cellStyle name="Note 3 10 2" xfId="0"/>
    <cellStyle name="Note 3 10 2 2" xfId="0"/>
    <cellStyle name="Note 3 10 3" xfId="0"/>
    <cellStyle name="Note 3 11" xfId="0"/>
    <cellStyle name="Note 3 11 2" xfId="0"/>
    <cellStyle name="Note 3 11 2 2" xfId="0"/>
    <cellStyle name="Note 3 11 3" xfId="0"/>
    <cellStyle name="Note 3 12" xfId="0"/>
    <cellStyle name="Note 3 12 2" xfId="0"/>
    <cellStyle name="Note 3 13" xfId="0"/>
    <cellStyle name="Note 3 14" xfId="0"/>
    <cellStyle name="Note 3 15" xfId="0"/>
    <cellStyle name="Note 3 2" xfId="0"/>
    <cellStyle name="Note 3 2 2" xfId="0"/>
    <cellStyle name="Note 3 2 2 2" xfId="0"/>
    <cellStyle name="Note 3 2 3" xfId="0"/>
    <cellStyle name="Note 3 2 3 2" xfId="0"/>
    <cellStyle name="Note 3 2 4" xfId="0"/>
    <cellStyle name="Note 3 2 5" xfId="0"/>
    <cellStyle name="Note 3 2_Profitability Detail NT$ Sep-12" xfId="0"/>
    <cellStyle name="Note 3 3" xfId="0"/>
    <cellStyle name="Note 3 3 2" xfId="0"/>
    <cellStyle name="Note 3 3 2 2" xfId="0"/>
    <cellStyle name="Note 3 3 3" xfId="0"/>
    <cellStyle name="Note 3 4" xfId="0"/>
    <cellStyle name="Note 3 4 2" xfId="0"/>
    <cellStyle name="Note 3 4 2 2" xfId="0"/>
    <cellStyle name="Note 3 4 3" xfId="0"/>
    <cellStyle name="Note 3 5" xfId="0"/>
    <cellStyle name="Note 3 5 2" xfId="0"/>
    <cellStyle name="Note 3 5 2 2" xfId="0"/>
    <cellStyle name="Note 3 5 3" xfId="0"/>
    <cellStyle name="Note 3 6" xfId="0"/>
    <cellStyle name="Note 3 6 2" xfId="0"/>
    <cellStyle name="Note 3 6 2 2" xfId="0"/>
    <cellStyle name="Note 3 6 3" xfId="0"/>
    <cellStyle name="Note 3 7" xfId="0"/>
    <cellStyle name="Note 3 7 2" xfId="0"/>
    <cellStyle name="Note 3 7 2 2" xfId="0"/>
    <cellStyle name="Note 3 7 3" xfId="0"/>
    <cellStyle name="Note 3 8" xfId="0"/>
    <cellStyle name="Note 3 8 2" xfId="0"/>
    <cellStyle name="Note 3 8 2 2" xfId="0"/>
    <cellStyle name="Note 3 8 3" xfId="0"/>
    <cellStyle name="Note 3 9" xfId="0"/>
    <cellStyle name="Note 3 9 2" xfId="0"/>
    <cellStyle name="Note 3 9 2 2" xfId="0"/>
    <cellStyle name="Note 3 9 3" xfId="0"/>
    <cellStyle name="Note 39" xfId="0"/>
    <cellStyle name="Note 3_PFT CPC sku" xfId="0"/>
    <cellStyle name="Note 4" xfId="0"/>
    <cellStyle name="Note 4 10" xfId="0"/>
    <cellStyle name="Note 4 10 2" xfId="0"/>
    <cellStyle name="Note 4 10 2 2" xfId="0"/>
    <cellStyle name="Note 4 10 3" xfId="0"/>
    <cellStyle name="Note 4 11" xfId="0"/>
    <cellStyle name="Note 4 11 2" xfId="0"/>
    <cellStyle name="Note 4 11 2 2" xfId="0"/>
    <cellStyle name="Note 4 11 3" xfId="0"/>
    <cellStyle name="Note 4 12" xfId="0"/>
    <cellStyle name="Note 4 12 2" xfId="0"/>
    <cellStyle name="Note 4 13" xfId="0"/>
    <cellStyle name="Note 4 14" xfId="0"/>
    <cellStyle name="Note 4 15" xfId="0"/>
    <cellStyle name="Note 4 2" xfId="0"/>
    <cellStyle name="Note 4 2 2" xfId="0"/>
    <cellStyle name="Note 4 2 2 2" xfId="0"/>
    <cellStyle name="Note 4 2 3" xfId="0"/>
    <cellStyle name="Note 4 2 3 2" xfId="0"/>
    <cellStyle name="Note 4 2 4" xfId="0"/>
    <cellStyle name="Note 4 2 5" xfId="0"/>
    <cellStyle name="Note 4 2_Profitability Detail NT$ Sep-12" xfId="0"/>
    <cellStyle name="Note 4 3" xfId="0"/>
    <cellStyle name="Note 4 3 2" xfId="0"/>
    <cellStyle name="Note 4 3 2 2" xfId="0"/>
    <cellStyle name="Note 4 3 3" xfId="0"/>
    <cellStyle name="Note 4 4" xfId="0"/>
    <cellStyle name="Note 4 4 2" xfId="0"/>
    <cellStyle name="Note 4 4 2 2" xfId="0"/>
    <cellStyle name="Note 4 4 3" xfId="0"/>
    <cellStyle name="Note 4 5" xfId="0"/>
    <cellStyle name="Note 4 5 2" xfId="0"/>
    <cellStyle name="Note 4 5 2 2" xfId="0"/>
    <cellStyle name="Note 4 5 3" xfId="0"/>
    <cellStyle name="Note 4 6" xfId="0"/>
    <cellStyle name="Note 4 6 2" xfId="0"/>
    <cellStyle name="Note 4 6 2 2" xfId="0"/>
    <cellStyle name="Note 4 6 3" xfId="0"/>
    <cellStyle name="Note 4 7" xfId="0"/>
    <cellStyle name="Note 4 7 2" xfId="0"/>
    <cellStyle name="Note 4 7 2 2" xfId="0"/>
    <cellStyle name="Note 4 7 3" xfId="0"/>
    <cellStyle name="Note 4 8" xfId="0"/>
    <cellStyle name="Note 4 8 2" xfId="0"/>
    <cellStyle name="Note 4 8 2 2" xfId="0"/>
    <cellStyle name="Note 4 8 3" xfId="0"/>
    <cellStyle name="Note 4 9" xfId="0"/>
    <cellStyle name="Note 4 9 2" xfId="0"/>
    <cellStyle name="Note 4 9 2 2" xfId="0"/>
    <cellStyle name="Note 4 9 3" xfId="0"/>
    <cellStyle name="Note 4_PFT CPC sku" xfId="0"/>
    <cellStyle name="Note 5" xfId="0"/>
    <cellStyle name="Note 5 2" xfId="0"/>
    <cellStyle name="Note 5 2 2" xfId="0"/>
    <cellStyle name="Note 5 2 3" xfId="0"/>
    <cellStyle name="Note 5 3" xfId="0"/>
    <cellStyle name="Note 5 4" xfId="0"/>
    <cellStyle name="Note 6" xfId="0"/>
    <cellStyle name="Note 6 2" xfId="0"/>
    <cellStyle name="Note 7" xfId="0"/>
    <cellStyle name="Note 7 2" xfId="0"/>
    <cellStyle name="Note 7 2 2" xfId="0"/>
    <cellStyle name="Note 7 3" xfId="0"/>
    <cellStyle name="Note 8" xfId="0"/>
    <cellStyle name="Note 8 2" xfId="0"/>
    <cellStyle name="Note 8 3" xfId="0"/>
    <cellStyle name="Note 9" xfId="0"/>
    <cellStyle name="Note 9 2" xfId="0"/>
    <cellStyle name="Note_20101210 WMR_VSI-1" xfId="0"/>
    <cellStyle name="Output" xfId="0"/>
    <cellStyle name="Output 10" xfId="0"/>
    <cellStyle name="Output 10 2" xfId="0"/>
    <cellStyle name="Output 11" xfId="0"/>
    <cellStyle name="Output 11 2" xfId="0"/>
    <cellStyle name="Output 12" xfId="0"/>
    <cellStyle name="Output 12 2" xfId="0"/>
    <cellStyle name="Output 13" xfId="0"/>
    <cellStyle name="Output 13 2" xfId="0"/>
    <cellStyle name="Output 14" xfId="0"/>
    <cellStyle name="Output 14 2" xfId="0"/>
    <cellStyle name="Output 15" xfId="0"/>
    <cellStyle name="Output 15 2" xfId="0"/>
    <cellStyle name="Output 16" xfId="0"/>
    <cellStyle name="Output 16 2" xfId="0"/>
    <cellStyle name="Output 17" xfId="0"/>
    <cellStyle name="Output 17 2" xfId="0"/>
    <cellStyle name="Output 18" xfId="0"/>
    <cellStyle name="Output 18 2" xfId="0"/>
    <cellStyle name="Output 19" xfId="0"/>
    <cellStyle name="Output 19 2" xfId="0"/>
    <cellStyle name="Output 2" xfId="0"/>
    <cellStyle name="Output 2 2" xfId="0"/>
    <cellStyle name="Output 2 2 2" xfId="0"/>
    <cellStyle name="Output 2 2 3" xfId="0"/>
    <cellStyle name="Output 2 3" xfId="0"/>
    <cellStyle name="Output 2 3 2" xfId="0"/>
    <cellStyle name="Output 2 3 3" xfId="0"/>
    <cellStyle name="Output 2 4" xfId="0"/>
    <cellStyle name="Output 2 4 2" xfId="0"/>
    <cellStyle name="Output 2 5" xfId="0"/>
    <cellStyle name="Output 2 5 2" xfId="0"/>
    <cellStyle name="Output 2 6" xfId="0"/>
    <cellStyle name="Output 2 7" xfId="0"/>
    <cellStyle name="Output 20" xfId="0"/>
    <cellStyle name="Output 20 2" xfId="0"/>
    <cellStyle name="Output 21" xfId="0"/>
    <cellStyle name="Output 21 2" xfId="0"/>
    <cellStyle name="Output 22" xfId="0"/>
    <cellStyle name="Output 22 2" xfId="0"/>
    <cellStyle name="Output 23" xfId="0"/>
    <cellStyle name="Output 23 2" xfId="0"/>
    <cellStyle name="Output 24" xfId="0"/>
    <cellStyle name="Output 25" xfId="0"/>
    <cellStyle name="Output 26" xfId="0"/>
    <cellStyle name="Output 27" xfId="0"/>
    <cellStyle name="Output 28" xfId="0"/>
    <cellStyle name="Output 29" xfId="0"/>
    <cellStyle name="Output 2_Profitability Detail NT$ Sep-12" xfId="0"/>
    <cellStyle name="Output 3" xfId="0"/>
    <cellStyle name="Output 3 2" xfId="0"/>
    <cellStyle name="Output 3 2 2" xfId="0"/>
    <cellStyle name="Output 3 3" xfId="0"/>
    <cellStyle name="Output 3 3 2" xfId="0"/>
    <cellStyle name="Output 3 4" xfId="0"/>
    <cellStyle name="Output 3 4 2" xfId="0"/>
    <cellStyle name="Output 3 5" xfId="0"/>
    <cellStyle name="Output 3 5 2" xfId="0"/>
    <cellStyle name="Output 3 6" xfId="0"/>
    <cellStyle name="Output 3 7" xfId="0"/>
    <cellStyle name="Output 3 8" xfId="0"/>
    <cellStyle name="Output 30" xfId="0"/>
    <cellStyle name="Output 3_Profitability Detail NT$ Sep-12" xfId="0"/>
    <cellStyle name="Output 4" xfId="0"/>
    <cellStyle name="Output 4 2" xfId="0"/>
    <cellStyle name="Output 4 2 2" xfId="0"/>
    <cellStyle name="Output 4 3" xfId="0"/>
    <cellStyle name="Output 4 3 2" xfId="0"/>
    <cellStyle name="Output 4 4" xfId="0"/>
    <cellStyle name="Output 4 4 2" xfId="0"/>
    <cellStyle name="Output 4 5" xfId="0"/>
    <cellStyle name="Output 4 5 2" xfId="0"/>
    <cellStyle name="Output 4 6" xfId="0"/>
    <cellStyle name="Output 4 7" xfId="0"/>
    <cellStyle name="Output 4_Profitability Detail NT$ Sep-12" xfId="0"/>
    <cellStyle name="Output 5" xfId="0"/>
    <cellStyle name="Output 5 2" xfId="0"/>
    <cellStyle name="Output 6" xfId="0"/>
    <cellStyle name="Output 6 2" xfId="0"/>
    <cellStyle name="Output 7" xfId="0"/>
    <cellStyle name="Output 7 2" xfId="0"/>
    <cellStyle name="Output 8" xfId="0"/>
    <cellStyle name="Output 8 2" xfId="0"/>
    <cellStyle name="Output 9" xfId="0"/>
    <cellStyle name="Output 9 2" xfId="0"/>
    <cellStyle name="Output Amounts" xfId="0"/>
    <cellStyle name="Output Amounts 2" xfId="0"/>
    <cellStyle name="Output Amounts_Prod Line MTD" xfId="0"/>
    <cellStyle name="Output Column Headings" xfId="0"/>
    <cellStyle name="Output Column Headings 2" xfId="0"/>
    <cellStyle name="Output Column Headings 2 2" xfId="0"/>
    <cellStyle name="Output Column Headings 2 3" xfId="0"/>
    <cellStyle name="Output Column Headings 2 4" xfId="0"/>
    <cellStyle name="Output Column Headings 3" xfId="0"/>
    <cellStyle name="Output Column Headings 4" xfId="0"/>
    <cellStyle name="Output Column Headings 5" xfId="0"/>
    <cellStyle name="Output Column Headings 6" xfId="0"/>
    <cellStyle name="Output Column Headings_BU Allocation" xfId="0"/>
    <cellStyle name="Output Line Items" xfId="0"/>
    <cellStyle name="Output Line Items 2" xfId="0"/>
    <cellStyle name="Output Line Items 2 2" xfId="0"/>
    <cellStyle name="Output Line Items 2 3" xfId="0"/>
    <cellStyle name="Output Line Items 2 4" xfId="0"/>
    <cellStyle name="Output Line Items 3" xfId="0"/>
    <cellStyle name="Output Line Items 4" xfId="0"/>
    <cellStyle name="Output Line Items 5" xfId="0"/>
    <cellStyle name="Output Line Items 6" xfId="0"/>
    <cellStyle name="Output Line Items_BU Allocation" xfId="0"/>
    <cellStyle name="Output Report Heading" xfId="0"/>
    <cellStyle name="Output Report Heading 2" xfId="0"/>
    <cellStyle name="Output Report Heading 2 2" xfId="0"/>
    <cellStyle name="Output Report Heading 3" xfId="0"/>
    <cellStyle name="Output Report Heading 3 2" xfId="0"/>
    <cellStyle name="Output Report Heading 4" xfId="0"/>
    <cellStyle name="Output Report Heading 4 2" xfId="0"/>
    <cellStyle name="Output Report Heading 5" xfId="0"/>
    <cellStyle name="Output Report Heading_Prod Line MTD" xfId="0"/>
    <cellStyle name="Output Report Title" xfId="0"/>
    <cellStyle name="Output Report Title 2" xfId="0"/>
    <cellStyle name="Output Report Title 2 2" xfId="0"/>
    <cellStyle name="Output Report Title 2 3" xfId="0"/>
    <cellStyle name="Output Report Title 2 4" xfId="0"/>
    <cellStyle name="Output Report Title 3" xfId="0"/>
    <cellStyle name="Output Report Title 4" xfId="0"/>
    <cellStyle name="Output Report Title 5" xfId="0"/>
    <cellStyle name="Output Report Title 6" xfId="0"/>
    <cellStyle name="Output Report Title_BU Allocation" xfId="0"/>
    <cellStyle name="Output_13-wk VSA_Revised" xfId="0"/>
    <cellStyle name="per.style" xfId="0"/>
    <cellStyle name="per.style 2" xfId="0"/>
    <cellStyle name="Percent %" xfId="0"/>
    <cellStyle name="Percent % Long Underline" xfId="0"/>
    <cellStyle name="Percent %_03 2004 VSC External Financial Package" xfId="0"/>
    <cellStyle name="Percent (0)" xfId="0"/>
    <cellStyle name="Percent (0) 2" xfId="0"/>
    <cellStyle name="Percent (0) 3" xfId="0"/>
    <cellStyle name="Percent 0.0%" xfId="0"/>
    <cellStyle name="Percent 0.0% Long Underline" xfId="0"/>
    <cellStyle name="Percent 0.0%_Consolidated condensed quarterly 2001-2002 &amp; Q1 2003" xfId="0"/>
    <cellStyle name="Percent 0.00%" xfId="0"/>
    <cellStyle name="Percent 0.00% Long Underline" xfId="0"/>
    <cellStyle name="Percent 0.00%_Consolidated condensed quarterly 2001-2002 &amp; Q1 2003" xfId="0"/>
    <cellStyle name="Percent 0.000%" xfId="0"/>
    <cellStyle name="Percent 0.000% Long Underline" xfId="0"/>
    <cellStyle name="Percent 0.000%_Consolidated condensed quarterly 2001-2002 &amp; Q1 2003" xfId="0"/>
    <cellStyle name="Percent 0.0000%" xfId="0"/>
    <cellStyle name="Percent 0.0000% Long Underline" xfId="0"/>
    <cellStyle name="Percent 10" xfId="0"/>
    <cellStyle name="Percent 11" xfId="0"/>
    <cellStyle name="Percent 11 2" xfId="0"/>
    <cellStyle name="Percent 12" xfId="0"/>
    <cellStyle name="Percent 12 2" xfId="0"/>
    <cellStyle name="Percent 13" xfId="0"/>
    <cellStyle name="Percent 13 2" xfId="0"/>
    <cellStyle name="Percent 13 3" xfId="0"/>
    <cellStyle name="Percent 14" xfId="0"/>
    <cellStyle name="Percent 14 2" xfId="0"/>
    <cellStyle name="Percent 14 3" xfId="0"/>
    <cellStyle name="Percent 15" xfId="0"/>
    <cellStyle name="Percent 15 2" xfId="0"/>
    <cellStyle name="Percent 16" xfId="0"/>
    <cellStyle name="Percent 16 2" xfId="0"/>
    <cellStyle name="Percent 17" xfId="0"/>
    <cellStyle name="Percent 17 2" xfId="0"/>
    <cellStyle name="Percent 18" xfId="0"/>
    <cellStyle name="Percent 18 2" xfId="0"/>
    <cellStyle name="Percent 19" xfId="0"/>
    <cellStyle name="Percent 19 2" xfId="0"/>
    <cellStyle name="Percent 2" xfId="0"/>
    <cellStyle name="Percent 2 2" xfId="0"/>
    <cellStyle name="Percent 2 2 2" xfId="0"/>
    <cellStyle name="Percent 2 2 3" xfId="0"/>
    <cellStyle name="Percent 2 2 4" xfId="0"/>
    <cellStyle name="Percent 2 3" xfId="0"/>
    <cellStyle name="Percent 2 3 2" xfId="0"/>
    <cellStyle name="Percent 2 3 3" xfId="0"/>
    <cellStyle name="Percent 2 4" xfId="0"/>
    <cellStyle name="Percent 2 4 2" xfId="0"/>
    <cellStyle name="Percent 2 4 3" xfId="0"/>
    <cellStyle name="Percent 2 5" xfId="0"/>
    <cellStyle name="Percent 2 5 2" xfId="0"/>
    <cellStyle name="Percent 2 6" xfId="0"/>
    <cellStyle name="Percent 2 7" xfId="0"/>
    <cellStyle name="Percent 2 8" xfId="0"/>
    <cellStyle name="Percent 20" xfId="0"/>
    <cellStyle name="Percent 20 2" xfId="0"/>
    <cellStyle name="Percent 21" xfId="0"/>
    <cellStyle name="Percent 21 2" xfId="0"/>
    <cellStyle name="Percent 22" xfId="0"/>
    <cellStyle name="Percent 22 2" xfId="0"/>
    <cellStyle name="Percent 23" xfId="0"/>
    <cellStyle name="Percent 23 2" xfId="0"/>
    <cellStyle name="Percent 24" xfId="0"/>
    <cellStyle name="Percent 24 2" xfId="0"/>
    <cellStyle name="Percent 25" xfId="0"/>
    <cellStyle name="Percent 25 2" xfId="0"/>
    <cellStyle name="Percent 26" xfId="0"/>
    <cellStyle name="Percent 26 2" xfId="0"/>
    <cellStyle name="Percent 27" xfId="0"/>
    <cellStyle name="Percent 27 2" xfId="0"/>
    <cellStyle name="Percent 28" xfId="0"/>
    <cellStyle name="Percent 28 2" xfId="0"/>
    <cellStyle name="Percent 29" xfId="0"/>
    <cellStyle name="Percent 29 2" xfId="0"/>
    <cellStyle name="Percent 3" xfId="0"/>
    <cellStyle name="Percent 3 2" xfId="0"/>
    <cellStyle name="Percent 3 2 2" xfId="0"/>
    <cellStyle name="Percent 3 3" xfId="0"/>
    <cellStyle name="Percent 30" xfId="0"/>
    <cellStyle name="Percent 30 2" xfId="0"/>
    <cellStyle name="Percent 31" xfId="0"/>
    <cellStyle name="Percent 31 2" xfId="0"/>
    <cellStyle name="Percent 32" xfId="0"/>
    <cellStyle name="Percent 32 2" xfId="0"/>
    <cellStyle name="Percent 33" xfId="0"/>
    <cellStyle name="Percent 33 2" xfId="0"/>
    <cellStyle name="Percent 34" xfId="0"/>
    <cellStyle name="Percent 34 2" xfId="0"/>
    <cellStyle name="Percent 35" xfId="0"/>
    <cellStyle name="Percent 35 2" xfId="0"/>
    <cellStyle name="Percent 36" xfId="0"/>
    <cellStyle name="Percent 36 2" xfId="0"/>
    <cellStyle name="Percent 37" xfId="0"/>
    <cellStyle name="Percent 37 2" xfId="0"/>
    <cellStyle name="Percent 38" xfId="0"/>
    <cellStyle name="Percent 38 2" xfId="0"/>
    <cellStyle name="Percent 39" xfId="0"/>
    <cellStyle name="Percent 39 2" xfId="0"/>
    <cellStyle name="Percent 4" xfId="0"/>
    <cellStyle name="Percent 4 2" xfId="0"/>
    <cellStyle name="Percent 4 2 2" xfId="0"/>
    <cellStyle name="Percent 4 3" xfId="0"/>
    <cellStyle name="Percent 40" xfId="0"/>
    <cellStyle name="Percent 40 2" xfId="0"/>
    <cellStyle name="Percent 41" xfId="0"/>
    <cellStyle name="Percent 41 2" xfId="0"/>
    <cellStyle name="Percent 42" xfId="0"/>
    <cellStyle name="Percent 42 2" xfId="0"/>
    <cellStyle name="Percent 43" xfId="0"/>
    <cellStyle name="Percent 43 2" xfId="0"/>
    <cellStyle name="Percent 44" xfId="0"/>
    <cellStyle name="Percent 44 2" xfId="0"/>
    <cellStyle name="Percent 45" xfId="0"/>
    <cellStyle name="Percent 45 2" xfId="0"/>
    <cellStyle name="Percent 46" xfId="0"/>
    <cellStyle name="Percent 46 2" xfId="0"/>
    <cellStyle name="Percent 47" xfId="0"/>
    <cellStyle name="Percent 47 2" xfId="0"/>
    <cellStyle name="Percent 48" xfId="0"/>
    <cellStyle name="Percent 48 2" xfId="0"/>
    <cellStyle name="Percent 49" xfId="0"/>
    <cellStyle name="Percent 49 2" xfId="0"/>
    <cellStyle name="Percent 5" xfId="0"/>
    <cellStyle name="Percent 5 2" xfId="0"/>
    <cellStyle name="Percent 5 2 2" xfId="0"/>
    <cellStyle name="Percent 5 3" xfId="0"/>
    <cellStyle name="Percent 5 4" xfId="0"/>
    <cellStyle name="Percent 50" xfId="0"/>
    <cellStyle name="Percent 50 2" xfId="0"/>
    <cellStyle name="Percent 51" xfId="0"/>
    <cellStyle name="Percent 51 2" xfId="0"/>
    <cellStyle name="Percent 52" xfId="0"/>
    <cellStyle name="Percent 52 2" xfId="0"/>
    <cellStyle name="Percent 53" xfId="0"/>
    <cellStyle name="Percent 53 2" xfId="0"/>
    <cellStyle name="Percent 54" xfId="0"/>
    <cellStyle name="Percent 55" xfId="0"/>
    <cellStyle name="Percent 56" xfId="0"/>
    <cellStyle name="Percent 57" xfId="0"/>
    <cellStyle name="Percent 58" xfId="0"/>
    <cellStyle name="Percent 59" xfId="0"/>
    <cellStyle name="Percent 6" xfId="0"/>
    <cellStyle name="Percent 6 2" xfId="0"/>
    <cellStyle name="Percent 6 2 2" xfId="0"/>
    <cellStyle name="Percent 6 3" xfId="0"/>
    <cellStyle name="Percent 60" xfId="0"/>
    <cellStyle name="Percent 61" xfId="0"/>
    <cellStyle name="Percent 62" xfId="0"/>
    <cellStyle name="Percent 63" xfId="0"/>
    <cellStyle name="Percent 64" xfId="0"/>
    <cellStyle name="Percent 65" xfId="0"/>
    <cellStyle name="Percent 66" xfId="0"/>
    <cellStyle name="Percent 67" xfId="0"/>
    <cellStyle name="Percent 68" xfId="0"/>
    <cellStyle name="Percent 69" xfId="0"/>
    <cellStyle name="Percent 7" xfId="0"/>
    <cellStyle name="Percent 7 2" xfId="0"/>
    <cellStyle name="Percent 70" xfId="0"/>
    <cellStyle name="Percent 71" xfId="0"/>
    <cellStyle name="Percent 72" xfId="0"/>
    <cellStyle name="Percent 73" xfId="0"/>
    <cellStyle name="Percent 74" xfId="0"/>
    <cellStyle name="Percent 75" xfId="0"/>
    <cellStyle name="Percent 76" xfId="0"/>
    <cellStyle name="Percent 77" xfId="0"/>
    <cellStyle name="Percent 78" xfId="0"/>
    <cellStyle name="Percent 8" xfId="0"/>
    <cellStyle name="Percent 9" xfId="0"/>
    <cellStyle name="Percent [2]" xfId="0"/>
    <cellStyle name="Percent [2] 2" xfId="0"/>
    <cellStyle name="pricing" xfId="0"/>
    <cellStyle name="pricing 10" xfId="0"/>
    <cellStyle name="pricing 11" xfId="0"/>
    <cellStyle name="pricing 2" xfId="0"/>
    <cellStyle name="pricing 3" xfId="0"/>
    <cellStyle name="pricing 4" xfId="0"/>
    <cellStyle name="pricing 5" xfId="0"/>
    <cellStyle name="pricing 6" xfId="0"/>
    <cellStyle name="pricing 7" xfId="0"/>
    <cellStyle name="pricing 8" xfId="0"/>
    <cellStyle name="pricing 9" xfId="0"/>
    <cellStyle name="PSChar" xfId="0"/>
    <cellStyle name="PSChar 10" xfId="0"/>
    <cellStyle name="PSChar 10 2" xfId="0"/>
    <cellStyle name="PSChar 11" xfId="0"/>
    <cellStyle name="PSChar 11 2" xfId="0"/>
    <cellStyle name="PSChar 12" xfId="0"/>
    <cellStyle name="PSChar 2" xfId="0"/>
    <cellStyle name="PSChar 2 2" xfId="0"/>
    <cellStyle name="PSChar 3" xfId="0"/>
    <cellStyle name="PSChar 3 2" xfId="0"/>
    <cellStyle name="PSChar 4" xfId="0"/>
    <cellStyle name="PSChar 4 2" xfId="0"/>
    <cellStyle name="PSChar 5" xfId="0"/>
    <cellStyle name="PSChar 5 2" xfId="0"/>
    <cellStyle name="PSChar 6" xfId="0"/>
    <cellStyle name="PSChar 6 2" xfId="0"/>
    <cellStyle name="PSChar 7" xfId="0"/>
    <cellStyle name="PSChar 7 2" xfId="0"/>
    <cellStyle name="PSChar 8" xfId="0"/>
    <cellStyle name="PSChar 8 2" xfId="0"/>
    <cellStyle name="PSChar 9" xfId="0"/>
    <cellStyle name="PSChar 9 2" xfId="0"/>
    <cellStyle name="RevList" xfId="0"/>
    <cellStyle name="RevList 10" xfId="0"/>
    <cellStyle name="RevList 11" xfId="0"/>
    <cellStyle name="RevList 2" xfId="0"/>
    <cellStyle name="RevList 3" xfId="0"/>
    <cellStyle name="RevList 4" xfId="0"/>
    <cellStyle name="RevList 5" xfId="0"/>
    <cellStyle name="RevList 6" xfId="0"/>
    <cellStyle name="RevList 7" xfId="0"/>
    <cellStyle name="RevList 8" xfId="0"/>
    <cellStyle name="RevList 9" xfId="0"/>
    <cellStyle name="Sheet Title" xfId="0"/>
    <cellStyle name="Sheet Title 2" xfId="0"/>
    <cellStyle name="Sheet Title 2 2" xfId="0"/>
    <cellStyle name="Sheet Title 3" xfId="0"/>
    <cellStyle name="Standard_Tabelle1" xfId="0"/>
    <cellStyle name="Style 1" xfId="0"/>
    <cellStyle name="Style 1 2" xfId="0"/>
    <cellStyle name="Style 1 2 2" xfId="0"/>
    <cellStyle name="Style 1 2 3" xfId="0"/>
    <cellStyle name="Style 1 3" xfId="0"/>
    <cellStyle name="Style 1 4" xfId="0"/>
    <cellStyle name="Style 1_Prod Line MTD" xfId="0"/>
    <cellStyle name="Subtotal" xfId="0"/>
    <cellStyle name="Subtotal 10" xfId="0"/>
    <cellStyle name="Subtotal 11" xfId="0"/>
    <cellStyle name="Subtotal 2" xfId="0"/>
    <cellStyle name="Subtotal 3" xfId="0"/>
    <cellStyle name="Subtotal 4" xfId="0"/>
    <cellStyle name="Subtotal 5" xfId="0"/>
    <cellStyle name="Subtotal 6" xfId="0"/>
    <cellStyle name="Subtotal 7" xfId="0"/>
    <cellStyle name="Subtotal 8" xfId="0"/>
    <cellStyle name="Subtotal 9" xfId="0"/>
    <cellStyle name="Tickmark" xfId="0"/>
    <cellStyle name="Tickmark 2" xfId="0"/>
    <cellStyle name="Times New Roman" xfId="0"/>
    <cellStyle name="Title" xfId="0"/>
    <cellStyle name="Title 10" xfId="0"/>
    <cellStyle name="Title 11" xfId="0"/>
    <cellStyle name="Title 12" xfId="0"/>
    <cellStyle name="Title 13" xfId="0"/>
    <cellStyle name="Title 14" xfId="0"/>
    <cellStyle name="Title 2" xfId="0"/>
    <cellStyle name="Title 2 2" xfId="0"/>
    <cellStyle name="Title 2 2 2" xfId="0"/>
    <cellStyle name="Title 2 2 3" xfId="0"/>
    <cellStyle name="Title 2 3" xfId="0"/>
    <cellStyle name="Title 2 3 2" xfId="0"/>
    <cellStyle name="Title 2 3 3" xfId="0"/>
    <cellStyle name="Title 2 4" xfId="0"/>
    <cellStyle name="Title 2 4 2" xfId="0"/>
    <cellStyle name="Title 2 5" xfId="0"/>
    <cellStyle name="Title 2 5 2" xfId="0"/>
    <cellStyle name="Title 2 6" xfId="0"/>
    <cellStyle name="Title 2 7" xfId="0"/>
    <cellStyle name="Title 2 8" xfId="0"/>
    <cellStyle name="Title 2 9" xfId="0"/>
    <cellStyle name="Title 2_Profitability Detail NT$ Sep-12" xfId="0"/>
    <cellStyle name="Title 3" xfId="0"/>
    <cellStyle name="Title 3 2" xfId="0"/>
    <cellStyle name="Title 3 2 2" xfId="0"/>
    <cellStyle name="Title 3 3" xfId="0"/>
    <cellStyle name="Title 3 3 2" xfId="0"/>
    <cellStyle name="Title 3 4" xfId="0"/>
    <cellStyle name="Title 3 4 2" xfId="0"/>
    <cellStyle name="Title 3 5" xfId="0"/>
    <cellStyle name="Title 3 5 2" xfId="0"/>
    <cellStyle name="Title 3 6" xfId="0"/>
    <cellStyle name="Title 3 7" xfId="0"/>
    <cellStyle name="Title 3 8" xfId="0"/>
    <cellStyle name="Title 3_Profitability Detail NT$ Sep-12" xfId="0"/>
    <cellStyle name="Title 4" xfId="0"/>
    <cellStyle name="Title 4 2" xfId="0"/>
    <cellStyle name="Title 4 2 2" xfId="0"/>
    <cellStyle name="Title 4 3" xfId="0"/>
    <cellStyle name="Title 4 3 2" xfId="0"/>
    <cellStyle name="Title 4 4" xfId="0"/>
    <cellStyle name="Title 4 4 2" xfId="0"/>
    <cellStyle name="Title 4 5" xfId="0"/>
    <cellStyle name="Title 4 5 2" xfId="0"/>
    <cellStyle name="Title 4 6" xfId="0"/>
    <cellStyle name="Title 4 7" xfId="0"/>
    <cellStyle name="Title 4 8" xfId="0"/>
    <cellStyle name="Title 4_Profitability Detail NT$ Sep-12" xfId="0"/>
    <cellStyle name="Title 5" xfId="0"/>
    <cellStyle name="Title 5 2" xfId="0"/>
    <cellStyle name="Title 5 3" xfId="0"/>
    <cellStyle name="Title 5 4" xfId="0"/>
    <cellStyle name="Title 6" xfId="0"/>
    <cellStyle name="Title 6 2" xfId="0"/>
    <cellStyle name="Title 7" xfId="0"/>
    <cellStyle name="Title 8" xfId="0"/>
    <cellStyle name="Title 9" xfId="0"/>
    <cellStyle name="Title_Apr CPC" xfId="0"/>
    <cellStyle name="Total" xfId="0"/>
    <cellStyle name="Total 10" xfId="0"/>
    <cellStyle name="Total 10 2" xfId="0"/>
    <cellStyle name="Total 11" xfId="0"/>
    <cellStyle name="Total 11 2" xfId="0"/>
    <cellStyle name="Total 12" xfId="0"/>
    <cellStyle name="Total 12 2" xfId="0"/>
    <cellStyle name="Total 13" xfId="0"/>
    <cellStyle name="Total 13 2" xfId="0"/>
    <cellStyle name="Total 14" xfId="0"/>
    <cellStyle name="Total 14 2" xfId="0"/>
    <cellStyle name="Total 15" xfId="0"/>
    <cellStyle name="Total 15 2" xfId="0"/>
    <cellStyle name="Total 16" xfId="0"/>
    <cellStyle name="Total 16 2" xfId="0"/>
    <cellStyle name="Total 17" xfId="0"/>
    <cellStyle name="Total 17 2" xfId="0"/>
    <cellStyle name="Total 18" xfId="0"/>
    <cellStyle name="Total 18 2" xfId="0"/>
    <cellStyle name="Total 19" xfId="0"/>
    <cellStyle name="Total 19 2" xfId="0"/>
    <cellStyle name="Total 2" xfId="0"/>
    <cellStyle name="Total 2 2" xfId="0"/>
    <cellStyle name="Total 2 2 2" xfId="0"/>
    <cellStyle name="Total 2 2 2 2" xfId="0"/>
    <cellStyle name="Total 2 2 3" xfId="0"/>
    <cellStyle name="Total 2 2 4" xfId="0"/>
    <cellStyle name="Total 2 3" xfId="0"/>
    <cellStyle name="Total 2 3 2" xfId="0"/>
    <cellStyle name="Total 2 3 3" xfId="0"/>
    <cellStyle name="Total 2 4" xfId="0"/>
    <cellStyle name="Total 2 4 2" xfId="0"/>
    <cellStyle name="Total 2 5" xfId="0"/>
    <cellStyle name="Total 2 5 2" xfId="0"/>
    <cellStyle name="Total 2 6" xfId="0"/>
    <cellStyle name="Total 2 7" xfId="0"/>
    <cellStyle name="Total 2 8" xfId="0"/>
    <cellStyle name="Total 2 9" xfId="0"/>
    <cellStyle name="Total 20" xfId="0"/>
    <cellStyle name="Total 20 2" xfId="0"/>
    <cellStyle name="Total 21" xfId="0"/>
    <cellStyle name="Total 21 2" xfId="0"/>
    <cellStyle name="Total 22" xfId="0"/>
    <cellStyle name="Total 22 2" xfId="0"/>
    <cellStyle name="Total 23" xfId="0"/>
    <cellStyle name="Total 23 2" xfId="0"/>
    <cellStyle name="Total 24" xfId="0"/>
    <cellStyle name="Total 25" xfId="0"/>
    <cellStyle name="Total 26" xfId="0"/>
    <cellStyle name="Total 27" xfId="0"/>
    <cellStyle name="Total 28" xfId="0"/>
    <cellStyle name="Total 29" xfId="0"/>
    <cellStyle name="Total 2_Profitability Detail NT$ Sep-12" xfId="0"/>
    <cellStyle name="Total 3" xfId="0"/>
    <cellStyle name="Total 3 2" xfId="0"/>
    <cellStyle name="Total 3 2 2" xfId="0"/>
    <cellStyle name="Total 3 2 2 2" xfId="0"/>
    <cellStyle name="Total 3 2 3" xfId="0"/>
    <cellStyle name="Total 3 3" xfId="0"/>
    <cellStyle name="Total 3 3 2" xfId="0"/>
    <cellStyle name="Total 3 4" xfId="0"/>
    <cellStyle name="Total 3 4 2" xfId="0"/>
    <cellStyle name="Total 3 5" xfId="0"/>
    <cellStyle name="Total 3 5 2" xfId="0"/>
    <cellStyle name="Total 3 6" xfId="0"/>
    <cellStyle name="Total 3 7" xfId="0"/>
    <cellStyle name="Total 3 8" xfId="0"/>
    <cellStyle name="Total 30" xfId="0"/>
    <cellStyle name="Total 31" xfId="0"/>
    <cellStyle name="Total 32" xfId="0"/>
    <cellStyle name="Total 33" xfId="0"/>
    <cellStyle name="Total 34" xfId="0"/>
    <cellStyle name="Total 35" xfId="0"/>
    <cellStyle name="Total 3_Profitability Detail NT$ Sep-12" xfId="0"/>
    <cellStyle name="Total 4" xfId="0"/>
    <cellStyle name="Total 4 2" xfId="0"/>
    <cellStyle name="Total 4 2 2" xfId="0"/>
    <cellStyle name="Total 4 2 2 2" xfId="0"/>
    <cellStyle name="Total 4 2 3" xfId="0"/>
    <cellStyle name="Total 4 3" xfId="0"/>
    <cellStyle name="Total 4 3 2" xfId="0"/>
    <cellStyle name="Total 4 4" xfId="0"/>
    <cellStyle name="Total 4 4 2" xfId="0"/>
    <cellStyle name="Total 4 5" xfId="0"/>
    <cellStyle name="Total 4 5 2" xfId="0"/>
    <cellStyle name="Total 4 6" xfId="0"/>
    <cellStyle name="Total 4 7" xfId="0"/>
    <cellStyle name="Total 4_Profitability Detail NT$ Sep-12" xfId="0"/>
    <cellStyle name="Total 5" xfId="0"/>
    <cellStyle name="Total 5 2" xfId="0"/>
    <cellStyle name="Total 5 3" xfId="0"/>
    <cellStyle name="Total 6" xfId="0"/>
    <cellStyle name="Total 6 2" xfId="0"/>
    <cellStyle name="Total 7" xfId="0"/>
    <cellStyle name="Total 7 2" xfId="0"/>
    <cellStyle name="Total 8" xfId="0"/>
    <cellStyle name="Total 8 2" xfId="0"/>
    <cellStyle name="Total 9" xfId="0"/>
    <cellStyle name="Total 9 2" xfId="0"/>
    <cellStyle name="Total_13-wk VSA_Revised" xfId="0"/>
    <cellStyle name="Warning Text" xfId="0"/>
    <cellStyle name="Warning Text 10" xfId="0"/>
    <cellStyle name="Warning Text 10 2" xfId="0"/>
    <cellStyle name="Warning Text 11" xfId="0"/>
    <cellStyle name="Warning Text 11 2" xfId="0"/>
    <cellStyle name="Warning Text 12" xfId="0"/>
    <cellStyle name="Warning Text 12 2" xfId="0"/>
    <cellStyle name="Warning Text 13" xfId="0"/>
    <cellStyle name="Warning Text 13 2" xfId="0"/>
    <cellStyle name="Warning Text 14" xfId="0"/>
    <cellStyle name="Warning Text 14 2" xfId="0"/>
    <cellStyle name="Warning Text 15" xfId="0"/>
    <cellStyle name="Warning Text 15 2" xfId="0"/>
    <cellStyle name="Warning Text 16" xfId="0"/>
    <cellStyle name="Warning Text 16 2" xfId="0"/>
    <cellStyle name="Warning Text 17" xfId="0"/>
    <cellStyle name="Warning Text 17 2" xfId="0"/>
    <cellStyle name="Warning Text 18" xfId="0"/>
    <cellStyle name="Warning Text 18 2" xfId="0"/>
    <cellStyle name="Warning Text 19" xfId="0"/>
    <cellStyle name="Warning Text 19 2" xfId="0"/>
    <cellStyle name="Warning Text 2" xfId="0"/>
    <cellStyle name="Warning Text 2 2" xfId="0"/>
    <cellStyle name="Warning Text 2 2 2" xfId="0"/>
    <cellStyle name="Warning Text 2 2 3" xfId="0"/>
    <cellStyle name="Warning Text 2 3" xfId="0"/>
    <cellStyle name="Warning Text 2 3 2" xfId="0"/>
    <cellStyle name="Warning Text 2 4" xfId="0"/>
    <cellStyle name="Warning Text 2 4 2" xfId="0"/>
    <cellStyle name="Warning Text 2 5" xfId="0"/>
    <cellStyle name="Warning Text 2 5 2" xfId="0"/>
    <cellStyle name="Warning Text 2 6" xfId="0"/>
    <cellStyle name="Warning Text 20" xfId="0"/>
    <cellStyle name="Warning Text 20 2" xfId="0"/>
    <cellStyle name="Warning Text 21" xfId="0"/>
    <cellStyle name="Warning Text 21 2" xfId="0"/>
    <cellStyle name="Warning Text 22" xfId="0"/>
    <cellStyle name="Warning Text 22 2" xfId="0"/>
    <cellStyle name="Warning Text 23" xfId="0"/>
    <cellStyle name="Warning Text 23 2" xfId="0"/>
    <cellStyle name="Warning Text 24" xfId="0"/>
    <cellStyle name="Warning Text 25" xfId="0"/>
    <cellStyle name="Warning Text 26" xfId="0"/>
    <cellStyle name="Warning Text 27" xfId="0"/>
    <cellStyle name="Warning Text 28" xfId="0"/>
    <cellStyle name="Warning Text 29" xfId="0"/>
    <cellStyle name="Warning Text 2_Profitability Detail NT$ Sep-12" xfId="0"/>
    <cellStyle name="Warning Text 3" xfId="0"/>
    <cellStyle name="Warning Text 3 2" xfId="0"/>
    <cellStyle name="Warning Text 3 2 2" xfId="0"/>
    <cellStyle name="Warning Text 3 3" xfId="0"/>
    <cellStyle name="Warning Text 3 3 2" xfId="0"/>
    <cellStyle name="Warning Text 3 4" xfId="0"/>
    <cellStyle name="Warning Text 3 4 2" xfId="0"/>
    <cellStyle name="Warning Text 3 5" xfId="0"/>
    <cellStyle name="Warning Text 3 5 2" xfId="0"/>
    <cellStyle name="Warning Text 3 6" xfId="0"/>
    <cellStyle name="Warning Text 3 7" xfId="0"/>
    <cellStyle name="Warning Text 30" xfId="0"/>
    <cellStyle name="Warning Text 3_Profitability Detail NT$ Sep-12" xfId="0"/>
    <cellStyle name="Warning Text 4" xfId="0"/>
    <cellStyle name="Warning Text 4 2" xfId="0"/>
    <cellStyle name="Warning Text 4 2 2" xfId="0"/>
    <cellStyle name="Warning Text 4 3" xfId="0"/>
    <cellStyle name="Warning Text 4 3 2" xfId="0"/>
    <cellStyle name="Warning Text 4 4" xfId="0"/>
    <cellStyle name="Warning Text 4 4 2" xfId="0"/>
    <cellStyle name="Warning Text 4 5" xfId="0"/>
    <cellStyle name="Warning Text 4 5 2" xfId="0"/>
    <cellStyle name="Warning Text 4 6" xfId="0"/>
    <cellStyle name="Warning Text 4 7" xfId="0"/>
    <cellStyle name="Warning Text 4_Profitability Detail NT$ Sep-12" xfId="0"/>
    <cellStyle name="Warning Text 5" xfId="0"/>
    <cellStyle name="Warning Text 5 2" xfId="0"/>
    <cellStyle name="Warning Text 5 3" xfId="0"/>
    <cellStyle name="Warning Text 6" xfId="0"/>
    <cellStyle name="Warning Text 6 2" xfId="0"/>
    <cellStyle name="Warning Text 6 3" xfId="0"/>
    <cellStyle name="Warning Text 7" xfId="0"/>
    <cellStyle name="Warning Text 7 2" xfId="0"/>
    <cellStyle name="Warning Text 8" xfId="0"/>
    <cellStyle name="Warning Text 8 2" xfId="0"/>
    <cellStyle name="Warning Text 9" xfId="0"/>
    <cellStyle name="Warning Text 9 2" xfId="0"/>
    <cellStyle name="Warning Text_13-wk VSA_Revised" xfId="0"/>
    <cellStyle name="XComma" xfId="0"/>
    <cellStyle name="XComma 0.0" xfId="0"/>
    <cellStyle name="XComma 0.00" xfId="0"/>
    <cellStyle name="XComma 0.000" xfId="0"/>
    <cellStyle name="XCurrency" xfId="0"/>
    <cellStyle name="XCurrency 0.0" xfId="0"/>
    <cellStyle name="XCurrency 0.00" xfId="0"/>
    <cellStyle name="XCurrency 0.000" xfId="0"/>
    <cellStyle name="Œ…‹æØ‚è [0.00]_Region Orders (2)" xfId="0"/>
    <cellStyle name="Œ…‹æØ‚è_Region Orders (2)" xfId="0"/>
    <cellStyle name="Обычный_Claim_NovPrice 05 PriceProtect_inv" xfId="0"/>
    <cellStyle name="一般 10" xfId="0"/>
    <cellStyle name="一般 10 2" xfId="0"/>
    <cellStyle name="一般 10 2 2" xfId="0"/>
    <cellStyle name="一般 10 2 3" xfId="0"/>
    <cellStyle name="一般 10 3" xfId="0"/>
    <cellStyle name="一般 10 4" xfId="0"/>
    <cellStyle name="一般 10 5" xfId="0"/>
    <cellStyle name="一般 11" xfId="0"/>
    <cellStyle name="一般 11 2" xfId="0"/>
    <cellStyle name="一般 11 2 2" xfId="0"/>
    <cellStyle name="一般 11 3" xfId="0"/>
    <cellStyle name="一般 11 4" xfId="0"/>
    <cellStyle name="一般 12" xfId="0"/>
    <cellStyle name="一般 12 2" xfId="0"/>
    <cellStyle name="一般 12 3" xfId="0"/>
    <cellStyle name="一般 12 4" xfId="0"/>
    <cellStyle name="一般 12 5" xfId="0"/>
    <cellStyle name="一般 13" xfId="0"/>
    <cellStyle name="一般 13 2" xfId="0"/>
    <cellStyle name="一般 13 2 2" xfId="0"/>
    <cellStyle name="一般 13 3" xfId="0"/>
    <cellStyle name="一般 13 4" xfId="0"/>
    <cellStyle name="一般 14" xfId="0"/>
    <cellStyle name="一般 14 2" xfId="0"/>
    <cellStyle name="一般 14 3" xfId="0"/>
    <cellStyle name="一般 15" xfId="0"/>
    <cellStyle name="一般 15 2" xfId="0"/>
    <cellStyle name="一般 15 3" xfId="0"/>
    <cellStyle name="一般 16" xfId="0"/>
    <cellStyle name="一般 16 10" xfId="0"/>
    <cellStyle name="一般 16 11" xfId="0"/>
    <cellStyle name="一般 16 2" xfId="0"/>
    <cellStyle name="一般 16 2 2" xfId="0"/>
    <cellStyle name="一般 16 2 2 2" xfId="0"/>
    <cellStyle name="一般 16 2 3" xfId="0"/>
    <cellStyle name="一般 16 2 4" xfId="0"/>
    <cellStyle name="一般 16 2 5" xfId="0"/>
    <cellStyle name="一般 16 3" xfId="0"/>
    <cellStyle name="一般 16 3 2" xfId="0"/>
    <cellStyle name="一般 16 3 3" xfId="0"/>
    <cellStyle name="一般 16 3 4" xfId="0"/>
    <cellStyle name="一般 16 4" xfId="0"/>
    <cellStyle name="一般 16 4 2" xfId="0"/>
    <cellStyle name="一般 16 4 3" xfId="0"/>
    <cellStyle name="一般 16 4 4" xfId="0"/>
    <cellStyle name="一般 16 5" xfId="0"/>
    <cellStyle name="一般 16 5 2" xfId="0"/>
    <cellStyle name="一般 16 5 3" xfId="0"/>
    <cellStyle name="一般 16 5 4" xfId="0"/>
    <cellStyle name="一般 16 6" xfId="0"/>
    <cellStyle name="一般 16 6 2" xfId="0"/>
    <cellStyle name="一般 16 6 3" xfId="0"/>
    <cellStyle name="一般 16 6 4" xfId="0"/>
    <cellStyle name="一般 16 7" xfId="0"/>
    <cellStyle name="一般 16 7 2" xfId="0"/>
    <cellStyle name="一般 16 7 3" xfId="0"/>
    <cellStyle name="一般 16 7 4" xfId="0"/>
    <cellStyle name="一般 16 8" xfId="0"/>
    <cellStyle name="一般 16 9" xfId="0"/>
    <cellStyle name="一般 17" xfId="0"/>
    <cellStyle name="一般 17 2" xfId="0"/>
    <cellStyle name="一般 17 3" xfId="0"/>
    <cellStyle name="一般 17 4" xfId="0"/>
    <cellStyle name="一般 18" xfId="0"/>
    <cellStyle name="一般 18 2" xfId="0"/>
    <cellStyle name="一般 18 3" xfId="0"/>
    <cellStyle name="一般 18 4" xfId="0"/>
    <cellStyle name="一般 19" xfId="0"/>
    <cellStyle name="一般 19 2" xfId="0"/>
    <cellStyle name="一般 2" xfId="0"/>
    <cellStyle name="一般 2 10" xfId="0"/>
    <cellStyle name="一般 2 10 2" xfId="0"/>
    <cellStyle name="一般 2 11" xfId="0"/>
    <cellStyle name="一般 2 11 2" xfId="0"/>
    <cellStyle name="一般 2 12" xfId="0"/>
    <cellStyle name="一般 2 12 2" xfId="0"/>
    <cellStyle name="一般 2 13" xfId="0"/>
    <cellStyle name="一般 2 13 2" xfId="0"/>
    <cellStyle name="一般 2 14" xfId="0"/>
    <cellStyle name="一般 2 14 2" xfId="0"/>
    <cellStyle name="一般 2 15" xfId="0"/>
    <cellStyle name="一般 2 2" xfId="0"/>
    <cellStyle name="一般 2 2 2" xfId="0"/>
    <cellStyle name="一般 2 2 2 2" xfId="0"/>
    <cellStyle name="一般 2 2 2 2 2" xfId="0"/>
    <cellStyle name="一般 2 2 2 3" xfId="0"/>
    <cellStyle name="一般 2 2 2 3 2" xfId="0"/>
    <cellStyle name="一般 2 2 2 4" xfId="0"/>
    <cellStyle name="一般 2 2 2 5" xfId="0"/>
    <cellStyle name="一般 2 2 3" xfId="0"/>
    <cellStyle name="一般 2 2 3 2" xfId="0"/>
    <cellStyle name="一般 2 2 3 3" xfId="0"/>
    <cellStyle name="一般 2 2 4" xfId="0"/>
    <cellStyle name="一般 2 2 4 2" xfId="0"/>
    <cellStyle name="一般 2 2 5" xfId="0"/>
    <cellStyle name="一般 2 2 5 2" xfId="0"/>
    <cellStyle name="一般 2 2 6" xfId="0"/>
    <cellStyle name="一般 2 2 7" xfId="0"/>
    <cellStyle name="一般 2 2_Prod Line MTD" xfId="0"/>
    <cellStyle name="一般 2 3" xfId="0"/>
    <cellStyle name="一般 2 3 2" xfId="0"/>
    <cellStyle name="一般 2 3 2 2" xfId="0"/>
    <cellStyle name="一般 2 3 2 3" xfId="0"/>
    <cellStyle name="一般 2 3 2 4" xfId="0"/>
    <cellStyle name="一般 2 3 2 5" xfId="0"/>
    <cellStyle name="一般 2 3 2 6" xfId="0"/>
    <cellStyle name="一般 2 3 3" xfId="0"/>
    <cellStyle name="一般 2 3 4" xfId="0"/>
    <cellStyle name="一般 2 4" xfId="0"/>
    <cellStyle name="一般 2 4 2" xfId="0"/>
    <cellStyle name="一般 2 4 3" xfId="0"/>
    <cellStyle name="一般 2 5" xfId="0"/>
    <cellStyle name="一般 2 5 2" xfId="0"/>
    <cellStyle name="一般 2 5 3" xfId="0"/>
    <cellStyle name="一般 2 6" xfId="0"/>
    <cellStyle name="一般 2 6 2" xfId="0"/>
    <cellStyle name="一般 2 6 3" xfId="0"/>
    <cellStyle name="一般 2 7" xfId="0"/>
    <cellStyle name="一般 2 7 2" xfId="0"/>
    <cellStyle name="一般 2 7 2 2" xfId="0"/>
    <cellStyle name="一般 2 7 3" xfId="0"/>
    <cellStyle name="一般 2 7 3 2" xfId="0"/>
    <cellStyle name="一般 2 7 4" xfId="0"/>
    <cellStyle name="一般 2 7 5" xfId="0"/>
    <cellStyle name="一般 2 8" xfId="0"/>
    <cellStyle name="一般 2 8 2" xfId="0"/>
    <cellStyle name="一般 2 9" xfId="0"/>
    <cellStyle name="一般 2 9 2" xfId="0"/>
    <cellStyle name="一般 20" xfId="0"/>
    <cellStyle name="一般 20 2" xfId="0"/>
    <cellStyle name="一般 21" xfId="0"/>
    <cellStyle name="一般 21 2" xfId="0"/>
    <cellStyle name="一般 22" xfId="0"/>
    <cellStyle name="一般 22 2" xfId="0"/>
    <cellStyle name="一般 23" xfId="0"/>
    <cellStyle name="一般 23 2" xfId="0"/>
    <cellStyle name="一般 24" xfId="0"/>
    <cellStyle name="一般 24 2" xfId="0"/>
    <cellStyle name="一般 25" xfId="0"/>
    <cellStyle name="一般 25 2" xfId="0"/>
    <cellStyle name="一般 26" xfId="0"/>
    <cellStyle name="一般 27" xfId="0"/>
    <cellStyle name="一般 2_BU Allocation" xfId="0"/>
    <cellStyle name="一般 3" xfId="0"/>
    <cellStyle name="一般 3 2" xfId="0"/>
    <cellStyle name="一般 3 2 2" xfId="0"/>
    <cellStyle name="一般 3 2 2 2" xfId="0"/>
    <cellStyle name="一般 3 2 2 3" xfId="0"/>
    <cellStyle name="一般 3 2 3" xfId="0"/>
    <cellStyle name="一般 3 2 3 2" xfId="0"/>
    <cellStyle name="一般 3 2 3 3" xfId="0"/>
    <cellStyle name="一般 3 2 4" xfId="0"/>
    <cellStyle name="一般 3 2 4 2" xfId="0"/>
    <cellStyle name="一般 3 2 5" xfId="0"/>
    <cellStyle name="一般 3 2 6" xfId="0"/>
    <cellStyle name="一般 3 3" xfId="0"/>
    <cellStyle name="一般 3 3 2" xfId="0"/>
    <cellStyle name="一般 3 3 3" xfId="0"/>
    <cellStyle name="一般 3 3 4" xfId="0"/>
    <cellStyle name="一般 3 4" xfId="0"/>
    <cellStyle name="一般 3 4 2" xfId="0"/>
    <cellStyle name="一般 3 4 3" xfId="0"/>
    <cellStyle name="一般 3 5" xfId="0"/>
    <cellStyle name="一般 3 5 2" xfId="0"/>
    <cellStyle name="一般 3 6" xfId="0"/>
    <cellStyle name="一般 3 6 2" xfId="0"/>
    <cellStyle name="一般 3 7" xfId="0"/>
    <cellStyle name="一般 3 8" xfId="0"/>
    <cellStyle name="一般 3_BU Allocation" xfId="0"/>
    <cellStyle name="一般 4" xfId="0"/>
    <cellStyle name="一般 4 2" xfId="0"/>
    <cellStyle name="一般 4 2 2" xfId="0"/>
    <cellStyle name="一般 4 2 2 2" xfId="0"/>
    <cellStyle name="一般 4 2 3" xfId="0"/>
    <cellStyle name="一般 4 3" xfId="0"/>
    <cellStyle name="一般 4 3 2" xfId="0"/>
    <cellStyle name="一般 4 4" xfId="0"/>
    <cellStyle name="一般 4 5" xfId="0"/>
    <cellStyle name="一般 4 6" xfId="0"/>
    <cellStyle name="一般 4_BU Allocation" xfId="0"/>
    <cellStyle name="一般 5" xfId="0"/>
    <cellStyle name="一般 5 2" xfId="0"/>
    <cellStyle name="一般 5 2 2" xfId="0"/>
    <cellStyle name="一般 5 3" xfId="0"/>
    <cellStyle name="一般 5 3 2" xfId="0"/>
    <cellStyle name="一般 5 4" xfId="0"/>
    <cellStyle name="一般 5 4 2" xfId="0"/>
    <cellStyle name="一般 5 5" xfId="0"/>
    <cellStyle name="一般 5 6" xfId="0"/>
    <cellStyle name="一般 5_WMR VSI" xfId="0"/>
    <cellStyle name="一般 6" xfId="0"/>
    <cellStyle name="一般 6 2" xfId="0"/>
    <cellStyle name="一般 6 2 2" xfId="0"/>
    <cellStyle name="一般 6 3" xfId="0"/>
    <cellStyle name="一般 6 3 2" xfId="0"/>
    <cellStyle name="一般 6 4" xfId="0"/>
    <cellStyle name="一般 6 4 2" xfId="0"/>
    <cellStyle name="一般 6 5" xfId="0"/>
    <cellStyle name="一般 6 5 2" xfId="0"/>
    <cellStyle name="一般 6 6" xfId="0"/>
    <cellStyle name="一般 6 6 2" xfId="0"/>
    <cellStyle name="一般 6 7" xfId="0"/>
    <cellStyle name="一般 6 7 2" xfId="0"/>
    <cellStyle name="一般 6 8" xfId="0"/>
    <cellStyle name="一般 6 9" xfId="0"/>
    <cellStyle name="一般 6_13-wk VSI_Revised" xfId="0"/>
    <cellStyle name="一般 7" xfId="0"/>
    <cellStyle name="一般 7 2" xfId="0"/>
    <cellStyle name="一般 7 2 2" xfId="0"/>
    <cellStyle name="一般 7 3" xfId="0"/>
    <cellStyle name="一般 8" xfId="0"/>
    <cellStyle name="一般 8 2" xfId="0"/>
    <cellStyle name="一般 8 2 2" xfId="0"/>
    <cellStyle name="一般 8 2 2 2" xfId="0"/>
    <cellStyle name="一般 8 2 3" xfId="0"/>
    <cellStyle name="一般 8 2 4" xfId="0"/>
    <cellStyle name="一般 8 2 5" xfId="0"/>
    <cellStyle name="一般 8 3" xfId="0"/>
    <cellStyle name="一般 8 3 2" xfId="0"/>
    <cellStyle name="一般 8 4" xfId="0"/>
    <cellStyle name="一般 8 4 2" xfId="0"/>
    <cellStyle name="一般 8 5" xfId="0"/>
    <cellStyle name="一般 8 6" xfId="0"/>
    <cellStyle name="一般 8_13-wk VSI_Revised" xfId="0"/>
    <cellStyle name="一般 9" xfId="0"/>
    <cellStyle name="一般 9 2" xfId="0"/>
    <cellStyle name="一般 9 2 2" xfId="0"/>
    <cellStyle name="一般 9 3" xfId="0"/>
    <cellStyle name="一般 9_By Region" xfId="0"/>
    <cellStyle name="中等 2" xfId="0"/>
    <cellStyle name="中等 2 2" xfId="0"/>
    <cellStyle name="中等 2 3" xfId="0"/>
    <cellStyle name="中等 3" xfId="0"/>
    <cellStyle name="備註 2" xfId="0"/>
    <cellStyle name="備註 2 2" xfId="0"/>
    <cellStyle name="備註 2 3" xfId="0"/>
    <cellStyle name="備註 3" xfId="0"/>
    <cellStyle name="備註 4" xfId="0"/>
    <cellStyle name="備註 5" xfId="0"/>
    <cellStyle name="備註 6" xfId="0"/>
    <cellStyle name="千位分隔 2" xfId="0"/>
    <cellStyle name="千位分隔_9-21 AP-AR" xfId="0"/>
    <cellStyle name="千分位 10" xfId="0"/>
    <cellStyle name="千分位 10 2" xfId="0"/>
    <cellStyle name="千分位 11" xfId="0"/>
    <cellStyle name="千分位 12" xfId="0"/>
    <cellStyle name="千分位 2" xfId="0"/>
    <cellStyle name="千分位 2 10" xfId="0"/>
    <cellStyle name="千分位 2 11" xfId="0"/>
    <cellStyle name="千分位 2 12" xfId="0"/>
    <cellStyle name="千分位 2 2" xfId="0"/>
    <cellStyle name="千分位 2 2 2" xfId="0"/>
    <cellStyle name="千分位 2 2 3" xfId="0"/>
    <cellStyle name="千分位 2 3" xfId="0"/>
    <cellStyle name="千分位 2 3 2" xfId="0"/>
    <cellStyle name="千分位 2 3 3" xfId="0"/>
    <cellStyle name="千分位 2 4" xfId="0"/>
    <cellStyle name="千分位 2 5" xfId="0"/>
    <cellStyle name="千分位 2 6" xfId="0"/>
    <cellStyle name="千分位 2 7" xfId="0"/>
    <cellStyle name="千分位 2 8" xfId="0"/>
    <cellStyle name="千分位 2 9" xfId="0"/>
    <cellStyle name="千分位 2_BU Allocation" xfId="0"/>
    <cellStyle name="千分位 3" xfId="0"/>
    <cellStyle name="千分位 3 10" xfId="0"/>
    <cellStyle name="千分位 3 10 2" xfId="0"/>
    <cellStyle name="千分位 3 11" xfId="0"/>
    <cellStyle name="千分位 3 11 2" xfId="0"/>
    <cellStyle name="千分位 3 12" xfId="0"/>
    <cellStyle name="千分位 3 12 2" xfId="0"/>
    <cellStyle name="千分位 3 13" xfId="0"/>
    <cellStyle name="千分位 3 2" xfId="0"/>
    <cellStyle name="千分位 3 2 2" xfId="0"/>
    <cellStyle name="千分位 3 2 2 2" xfId="0"/>
    <cellStyle name="千分位 3 2 2 3" xfId="0"/>
    <cellStyle name="千分位 3 2 3" xfId="0"/>
    <cellStyle name="千分位 3 2 4" xfId="0"/>
    <cellStyle name="千分位 3 2 5" xfId="0"/>
    <cellStyle name="千分位 3 2 6" xfId="0"/>
    <cellStyle name="千分位 3 3" xfId="0"/>
    <cellStyle name="千分位 3 3 2" xfId="0"/>
    <cellStyle name="千分位 3 3 3" xfId="0"/>
    <cellStyle name="千分位 3 4" xfId="0"/>
    <cellStyle name="千分位 3 4 2" xfId="0"/>
    <cellStyle name="千分位 3 4 3" xfId="0"/>
    <cellStyle name="千分位 3 5" xfId="0"/>
    <cellStyle name="千分位 3 6" xfId="0"/>
    <cellStyle name="千分位 3 7" xfId="0"/>
    <cellStyle name="千分位 3 7 2" xfId="0"/>
    <cellStyle name="千分位 3 7 3" xfId="0"/>
    <cellStyle name="千分位 3 8" xfId="0"/>
    <cellStyle name="千分位 3 9" xfId="0"/>
    <cellStyle name="千分位 3 9 2" xfId="0"/>
    <cellStyle name="千分位 3_BU Allocation" xfId="0"/>
    <cellStyle name="千分位 4" xfId="0"/>
    <cellStyle name="千分位 4 2" xfId="0"/>
    <cellStyle name="千分位 4 2 2" xfId="0"/>
    <cellStyle name="千分位 4 2 3" xfId="0"/>
    <cellStyle name="千分位 4 3" xfId="0"/>
    <cellStyle name="千分位 4 4" xfId="0"/>
    <cellStyle name="千分位 4 5" xfId="0"/>
    <cellStyle name="千分位 4 6" xfId="0"/>
    <cellStyle name="千分位 4 7" xfId="0"/>
    <cellStyle name="千分位 5" xfId="0"/>
    <cellStyle name="千分位 5 2" xfId="0"/>
    <cellStyle name="千分位 5 2 2" xfId="0"/>
    <cellStyle name="千分位 5 2 3" xfId="0"/>
    <cellStyle name="千分位 5 2 4" xfId="0"/>
    <cellStyle name="千分位 5 3" xfId="0"/>
    <cellStyle name="千分位 5 4" xfId="0"/>
    <cellStyle name="千分位 6" xfId="0"/>
    <cellStyle name="千分位 6 2" xfId="0"/>
    <cellStyle name="千分位 6 3" xfId="0"/>
    <cellStyle name="千分位 7" xfId="0"/>
    <cellStyle name="千分位 7 2" xfId="0"/>
    <cellStyle name="千分位 7 2 2" xfId="0"/>
    <cellStyle name="千分位 7 3" xfId="0"/>
    <cellStyle name="千分位 7 4" xfId="0"/>
    <cellStyle name="千分位 7 5" xfId="0"/>
    <cellStyle name="千分位 8" xfId="0"/>
    <cellStyle name="千分位 8 2" xfId="0"/>
    <cellStyle name="千分位 8 3" xfId="0"/>
    <cellStyle name="千分位 8 4" xfId="0"/>
    <cellStyle name="千分位 9" xfId="0"/>
    <cellStyle name="千分位 9 2" xfId="0"/>
    <cellStyle name="千分位 9 3" xfId="0"/>
    <cellStyle name="千分位[0] 2" xfId="0"/>
    <cellStyle name="合計 2" xfId="0"/>
    <cellStyle name="合計 2 2" xfId="0"/>
    <cellStyle name="合計 2 3" xfId="0"/>
    <cellStyle name="合計 3" xfId="0"/>
    <cellStyle name="壞 2" xfId="0"/>
    <cellStyle name="壞 2 2" xfId="0"/>
    <cellStyle name="壞 2 3" xfId="0"/>
    <cellStyle name="壞 3" xfId="0"/>
    <cellStyle name="壞_1" xfId="0"/>
    <cellStyle name="壞_1 2" xfId="0"/>
    <cellStyle name="壞_2011 Budget - Product Mix Summary (2)" xfId="0"/>
    <cellStyle name="壞_2011 Budget - Product Mix Summary (2) 2" xfId="0"/>
    <cellStyle name="壞_APR" xfId="0"/>
    <cellStyle name="壞_APR (2)" xfId="0"/>
    <cellStyle name="壞_APR 2" xfId="0"/>
    <cellStyle name="壞_APR 3" xfId="0"/>
    <cellStyle name="壞_APR 4" xfId="0"/>
    <cellStyle name="壞_ATP+EnRoute-detail (original)" xfId="0"/>
    <cellStyle name="壞_ATP+EnRoute-detail (original) 2" xfId="0"/>
    <cellStyle name="壞_AUG" xfId="0"/>
    <cellStyle name="壞_AUG -53" xfId="0"/>
    <cellStyle name="壞_AUG -53 2" xfId="0"/>
    <cellStyle name="壞_AUG 2" xfId="0"/>
    <cellStyle name="壞_BU Allocation" xfId="0"/>
    <cellStyle name="壞_BU Allocation 2" xfId="0"/>
    <cellStyle name="壞_BU Allocation Q1" xfId="0"/>
    <cellStyle name="壞_BU Allocation Q113" xfId="0"/>
    <cellStyle name="壞_BU Allocation Q113_1" xfId="0"/>
    <cellStyle name="壞_BU Allocation Q113_2" xfId="0"/>
    <cellStyle name="壞_BU Allocation Q1_1" xfId="0"/>
    <cellStyle name="壞_BU Allocation Q2" xfId="0"/>
    <cellStyle name="壞_BU Allocation Q2_1" xfId="0"/>
    <cellStyle name="壞_BU Allocation Q3" xfId="0"/>
    <cellStyle name="壞_BU Allocation Q3 2" xfId="0"/>
    <cellStyle name="壞_BU Allocation Q3_1" xfId="0"/>
    <cellStyle name="壞_BU Allocation Q3_1 2" xfId="0"/>
    <cellStyle name="壞_BU Allocation Q412" xfId="0"/>
    <cellStyle name="壞_BU Allocation Q412_1" xfId="0"/>
    <cellStyle name="壞_BU Allocation Q412_2" xfId="0"/>
    <cellStyle name="壞_BU Allocation_1" xfId="0"/>
    <cellStyle name="壞_BU Allocation_1 2" xfId="0"/>
    <cellStyle name="壞_BU Allocation_2" xfId="0"/>
    <cellStyle name="壞_By Region" xfId="0"/>
    <cellStyle name="壞_By Region 2" xfId="0"/>
    <cellStyle name="壞_By Region_1" xfId="0"/>
    <cellStyle name="壞_By Region_1 2" xfId="0"/>
    <cellStyle name="壞_By Region_2" xfId="0"/>
    <cellStyle name="壞_Cloud" xfId="0"/>
    <cellStyle name="壞_CORP" xfId="0"/>
    <cellStyle name="壞_CORP 2" xfId="0"/>
    <cellStyle name="壞_DCR-Inventory" xfId="0"/>
    <cellStyle name="壞_DCR-Inventory 2" xfId="0"/>
    <cellStyle name="壞_DCR-Inventory_WMR VSI" xfId="0"/>
    <cellStyle name="壞_DCR-Inventory_WMR VSI 2" xfId="0"/>
    <cellStyle name="壞_DCR-Inventory_WMR VSI 2 2" xfId="0"/>
    <cellStyle name="壞_DCR-Inventory_WMR VSI 2_13-wk VSI_Revised" xfId="0"/>
    <cellStyle name="壞_DCR-Inventory_WMR VSI 2_13-wk VSI_Revised 2" xfId="0"/>
    <cellStyle name="壞_DCR-Inventory_WMR VSI 3" xfId="0"/>
    <cellStyle name="壞_DCR-Inventory_WMR VSI 3 2" xfId="0"/>
    <cellStyle name="壞_DCR-Inventory_WMR VSI 3_13-wk VSI_Revised" xfId="0"/>
    <cellStyle name="壞_DCR-Inventory_WMR VSI 3_13-wk VSI_Revised 2" xfId="0"/>
    <cellStyle name="壞_DCR-Inventory_WMR VSI 4" xfId="0"/>
    <cellStyle name="壞_DCR-Inventory_WMR VSI 4 2" xfId="0"/>
    <cellStyle name="壞_DCR-Inventory_WMR VSI 4_13-wk VSI_Revised" xfId="0"/>
    <cellStyle name="壞_DCR-Inventory_WMR VSI 4_13-wk VSI_Revised 2" xfId="0"/>
    <cellStyle name="壞_DCR-Inventory_WMR VSI 5" xfId="0"/>
    <cellStyle name="壞_DCR-Inventory_WMR VSI 5 2" xfId="0"/>
    <cellStyle name="壞_DCR-Inventory_WMR VSI 5_13-wk VSI_Revised" xfId="0"/>
    <cellStyle name="壞_DCR-Inventory_WMR VSI 5_13-wk VSI_Revised 2" xfId="0"/>
    <cellStyle name="壞_DCR-Inventory_WMR VSI 6" xfId="0"/>
    <cellStyle name="壞_DCR-Inventory_WMR VSI 6 2" xfId="0"/>
    <cellStyle name="壞_DCR-Inventory_WMR VSI 6_13-wk VSI_Revised" xfId="0"/>
    <cellStyle name="壞_DCR-Inventory_WMR VSI 6_13-wk VSI_Revised 2" xfId="0"/>
    <cellStyle name="壞_DCR-Inventory_WMR VSI 7" xfId="0"/>
    <cellStyle name="壞_DCR-Inventory_WMR VSI 8" xfId="0"/>
    <cellStyle name="壞_DCR-Inventory_WMR VSI 9" xfId="0"/>
    <cellStyle name="壞_DCR-Inventory_WMR VSI_13-wk VSI_Revised" xfId="0"/>
    <cellStyle name="壞_DCR-Inventory_WMR VSI_13-wk VSI_Revised 2" xfId="0"/>
    <cellStyle name="壞_DCR-Inventory_WMR VSI_WMR VSI" xfId="0"/>
    <cellStyle name="壞_DCR-Inventory_WMR VSI_WMR VSI 2" xfId="0"/>
    <cellStyle name="壞_DEC" xfId="0"/>
    <cellStyle name="壞_Digital Signage" xfId="0"/>
    <cellStyle name="壞_FEB" xfId="0"/>
    <cellStyle name="壞_JAN" xfId="0"/>
    <cellStyle name="壞_JUL" xfId="0"/>
    <cellStyle name="壞_JUL 2" xfId="0"/>
    <cellStyle name="壞_JUN" xfId="0"/>
    <cellStyle name="壞_JUN (2)" xfId="0"/>
    <cellStyle name="壞_JUN (2) 2" xfId="0"/>
    <cellStyle name="壞_JUN (af audit)" xfId="0"/>
    <cellStyle name="壞_JUN (af audit) 2" xfId="0"/>
    <cellStyle name="壞_JUN 2" xfId="0"/>
    <cellStyle name="壞_JUN 3" xfId="0"/>
    <cellStyle name="壞_JUN 4" xfId="0"/>
    <cellStyle name="壞_JUN(af)" xfId="0"/>
    <cellStyle name="壞_LCDTV" xfId="0"/>
    <cellStyle name="壞_LCDTV 2" xfId="0"/>
    <cellStyle name="壞_Lighting" xfId="0"/>
    <cellStyle name="壞_MAR" xfId="0"/>
    <cellStyle name="壞_MAY" xfId="0"/>
    <cellStyle name="壞_MAY 2" xfId="0"/>
    <cellStyle name="壞_NOV" xfId="0"/>
    <cellStyle name="壞_OCT" xfId="0"/>
    <cellStyle name="壞_PC Tablet" xfId="0"/>
    <cellStyle name="壞_PC_DT" xfId="0"/>
    <cellStyle name="壞_PC_DT 2" xfId="0"/>
    <cellStyle name="壞_Q1" xfId="0"/>
    <cellStyle name="壞_Q1_1" xfId="0"/>
    <cellStyle name="壞_Q2" xfId="0"/>
    <cellStyle name="壞_Q2 2" xfId="0"/>
    <cellStyle name="壞_Q2 3" xfId="0"/>
    <cellStyle name="壞_Q2 BU Allocation" xfId="0"/>
    <cellStyle name="壞_Q2 BU Allocation 2" xfId="0"/>
    <cellStyle name="壞_Q2 BU Allocation_1" xfId="0"/>
    <cellStyle name="壞_Q2 BU Allocation_1 2" xfId="0"/>
    <cellStyle name="壞_Q2(af)" xfId="0"/>
    <cellStyle name="壞_Q2(af) 2" xfId="0"/>
    <cellStyle name="壞_Q2_1" xfId="0"/>
    <cellStyle name="壞_Q3" xfId="0"/>
    <cellStyle name="壞_Q3 (2)" xfId="0"/>
    <cellStyle name="壞_Q3 2" xfId="0"/>
    <cellStyle name="壞_Q3 3" xfId="0"/>
    <cellStyle name="壞_Q3 4" xfId="0"/>
    <cellStyle name="壞_Q3_1" xfId="0"/>
    <cellStyle name="壞_Q4" xfId="0"/>
    <cellStyle name="壞_Q4 2" xfId="0"/>
    <cellStyle name="壞_Q4_1" xfId="0"/>
    <cellStyle name="壞_RETIREMEN vsi" xfId="0"/>
    <cellStyle name="壞_RETIREMEN vsi 2" xfId="0"/>
    <cellStyle name="壞_RETIREMEN vsi_1" xfId="0"/>
    <cellStyle name="壞_RETIREMEN vsi_1 2" xfId="0"/>
    <cellStyle name="壞_Sales Eval" xfId="0"/>
    <cellStyle name="壞_Sales Eval 2" xfId="0"/>
    <cellStyle name="壞_SEP" xfId="0"/>
    <cellStyle name="壞_SEP (2)" xfId="0"/>
    <cellStyle name="壞_SEP 2" xfId="0"/>
    <cellStyle name="壞_SEP 3" xfId="0"/>
    <cellStyle name="壞_SEP 4" xfId="0"/>
    <cellStyle name="壞_SEP1" xfId="0"/>
    <cellStyle name="壞_SEP1 2" xfId="0"/>
    <cellStyle name="壞_Template" xfId="0"/>
    <cellStyle name="壞_VSE WFP 110311" xfId="0"/>
    <cellStyle name="壞_VSE WFP 110311 2" xfId="0"/>
    <cellStyle name="壞_VSE WFP 110415" xfId="0"/>
    <cellStyle name="壞_VSE WFP 110415 2" xfId="0"/>
    <cellStyle name="壞_VSI 100326" xfId="0"/>
    <cellStyle name="壞_VSI 100326 2" xfId="0"/>
    <cellStyle name="壞_VSI Inventory aging 2013-01-28" xfId="0"/>
    <cellStyle name="壞_VSI Inventory aging 2013-01-28 2" xfId="0"/>
    <cellStyle name="壞_YTD" xfId="0"/>
    <cellStyle name="壞_YTD (2)" xfId="0"/>
    <cellStyle name="壞_YTD 2" xfId="0"/>
    <cellStyle name="壞_YTD 3" xfId="0"/>
    <cellStyle name="壞_YTD 4" xfId="0"/>
    <cellStyle name="好 2" xfId="0"/>
    <cellStyle name="好 2 2" xfId="0"/>
    <cellStyle name="好 2 3" xfId="0"/>
    <cellStyle name="好 3" xfId="0"/>
    <cellStyle name="好 3 2" xfId="0"/>
    <cellStyle name="好 4" xfId="0"/>
    <cellStyle name="好_1" xfId="0"/>
    <cellStyle name="好_1 2" xfId="0"/>
    <cellStyle name="好_2011 Budget - Product Mix Summary (2)" xfId="0"/>
    <cellStyle name="好_2011 Budget - Product Mix Summary (2) 2" xfId="0"/>
    <cellStyle name="好_APR" xfId="0"/>
    <cellStyle name="好_APR (2)" xfId="0"/>
    <cellStyle name="好_APR 2" xfId="0"/>
    <cellStyle name="好_APR 3" xfId="0"/>
    <cellStyle name="好_APR 4" xfId="0"/>
    <cellStyle name="好_ATP+EnRoute-detail (original)" xfId="0"/>
    <cellStyle name="好_ATP+EnRoute-detail (original) 2" xfId="0"/>
    <cellStyle name="好_AUG" xfId="0"/>
    <cellStyle name="好_AUG -53" xfId="0"/>
    <cellStyle name="好_AUG -53 2" xfId="0"/>
    <cellStyle name="好_AUG 2" xfId="0"/>
    <cellStyle name="好_BU Allocation" xfId="0"/>
    <cellStyle name="好_BU Allocation 2" xfId="0"/>
    <cellStyle name="好_BU Allocation Q1" xfId="0"/>
    <cellStyle name="好_BU Allocation Q113" xfId="0"/>
    <cellStyle name="好_BU Allocation Q113_1" xfId="0"/>
    <cellStyle name="好_BU Allocation Q113_2" xfId="0"/>
    <cellStyle name="好_BU Allocation Q1_1" xfId="0"/>
    <cellStyle name="好_BU Allocation Q2" xfId="0"/>
    <cellStyle name="好_BU Allocation Q2_1" xfId="0"/>
    <cellStyle name="好_BU Allocation Q3" xfId="0"/>
    <cellStyle name="好_BU Allocation Q3 2" xfId="0"/>
    <cellStyle name="好_BU Allocation Q3_1" xfId="0"/>
    <cellStyle name="好_BU Allocation Q3_1 2" xfId="0"/>
    <cellStyle name="好_BU Allocation Q412" xfId="0"/>
    <cellStyle name="好_BU Allocation Q412_1" xfId="0"/>
    <cellStyle name="好_BU Allocation Q412_2" xfId="0"/>
    <cellStyle name="好_BU Allocation_1" xfId="0"/>
    <cellStyle name="好_BU Allocation_1 2" xfId="0"/>
    <cellStyle name="好_BU Allocation_2" xfId="0"/>
    <cellStyle name="好_By Region" xfId="0"/>
    <cellStyle name="好_By Region 2" xfId="0"/>
    <cellStyle name="好_By Region_1" xfId="0"/>
    <cellStyle name="好_By Region_1 2" xfId="0"/>
    <cellStyle name="好_By Region_2" xfId="0"/>
    <cellStyle name="好_Cloud" xfId="0"/>
    <cellStyle name="好_CORP" xfId="0"/>
    <cellStyle name="好_CORP 2" xfId="0"/>
    <cellStyle name="好_DCR-Inventory" xfId="0"/>
    <cellStyle name="好_DCR-Inventory 2" xfId="0"/>
    <cellStyle name="好_DCR-Inventory_WMR VSI" xfId="0"/>
    <cellStyle name="好_DCR-Inventory_WMR VSI 2" xfId="0"/>
    <cellStyle name="好_DCR-Inventory_WMR VSI 2 2" xfId="0"/>
    <cellStyle name="好_DCR-Inventory_WMR VSI 2_13-wk VSI_Revised" xfId="0"/>
    <cellStyle name="好_DCR-Inventory_WMR VSI 2_13-wk VSI_Revised 2" xfId="0"/>
    <cellStyle name="好_DCR-Inventory_WMR VSI 2_WMR VSI" xfId="0"/>
    <cellStyle name="好_DCR-Inventory_WMR VSI 2_WMR VSI 2" xfId="0"/>
    <cellStyle name="好_DCR-Inventory_WMR VSI 3" xfId="0"/>
    <cellStyle name="好_DCR-Inventory_WMR VSI 3 2" xfId="0"/>
    <cellStyle name="好_DCR-Inventory_WMR VSI 3_13-wk VSI_Revised" xfId="0"/>
    <cellStyle name="好_DCR-Inventory_WMR VSI 3_13-wk VSI_Revised 2" xfId="0"/>
    <cellStyle name="好_DCR-Inventory_WMR VSI 3_WMR VSI" xfId="0"/>
    <cellStyle name="好_DCR-Inventory_WMR VSI 3_WMR VSI 2" xfId="0"/>
    <cellStyle name="好_DCR-Inventory_WMR VSI 4" xfId="0"/>
    <cellStyle name="好_DCR-Inventory_WMR VSI 4 2" xfId="0"/>
    <cellStyle name="好_DCR-Inventory_WMR VSI 4_13-wk VSI_Revised" xfId="0"/>
    <cellStyle name="好_DCR-Inventory_WMR VSI 4_13-wk VSI_Revised 2" xfId="0"/>
    <cellStyle name="好_DCR-Inventory_WMR VSI 4_WMR VSI" xfId="0"/>
    <cellStyle name="好_DCR-Inventory_WMR VSI 4_WMR VSI 2" xfId="0"/>
    <cellStyle name="好_DCR-Inventory_WMR VSI 5" xfId="0"/>
    <cellStyle name="好_DCR-Inventory_WMR VSI 5 2" xfId="0"/>
    <cellStyle name="好_DCR-Inventory_WMR VSI 5_13-wk VSI_Revised" xfId="0"/>
    <cellStyle name="好_DCR-Inventory_WMR VSI 5_13-wk VSI_Revised 2" xfId="0"/>
    <cellStyle name="好_DCR-Inventory_WMR VSI 5_WMR VSI" xfId="0"/>
    <cellStyle name="好_DCR-Inventory_WMR VSI 5_WMR VSI 2" xfId="0"/>
    <cellStyle name="好_DCR-Inventory_WMR VSI 6" xfId="0"/>
    <cellStyle name="好_DCR-Inventory_WMR VSI 6 2" xfId="0"/>
    <cellStyle name="好_DCR-Inventory_WMR VSI 6_13-wk VSI_Revised" xfId="0"/>
    <cellStyle name="好_DCR-Inventory_WMR VSI 6_13-wk VSI_Revised 2" xfId="0"/>
    <cellStyle name="好_DCR-Inventory_WMR VSI 6_WMR VSI" xfId="0"/>
    <cellStyle name="好_DCR-Inventory_WMR VSI 6_WMR VSI 2" xfId="0"/>
    <cellStyle name="好_DCR-Inventory_WMR VSI 7" xfId="0"/>
    <cellStyle name="好_DCR-Inventory_WMR VSI 8" xfId="0"/>
    <cellStyle name="好_DCR-Inventory_WMR VSI 9" xfId="0"/>
    <cellStyle name="好_DCR-Inventory_WMR VSI_13-wk VSI_Revised" xfId="0"/>
    <cellStyle name="好_DCR-Inventory_WMR VSI_13-wk VSI_Revised 2" xfId="0"/>
    <cellStyle name="好_DCR-Inventory_WMR VSI_WMR VSI" xfId="0"/>
    <cellStyle name="好_DCR-Inventory_WMR VSI_WMR VSI 2" xfId="0"/>
    <cellStyle name="好_DEC" xfId="0"/>
    <cellStyle name="好_Digital Signage" xfId="0"/>
    <cellStyle name="好_FEB" xfId="0"/>
    <cellStyle name="好_JAN" xfId="0"/>
    <cellStyle name="好_JUL" xfId="0"/>
    <cellStyle name="好_JUL 2" xfId="0"/>
    <cellStyle name="好_JUN" xfId="0"/>
    <cellStyle name="好_JUN (2)" xfId="0"/>
    <cellStyle name="好_JUN (2) 2" xfId="0"/>
    <cellStyle name="好_JUN (af audit)" xfId="0"/>
    <cellStyle name="好_JUN (af audit) 2" xfId="0"/>
    <cellStyle name="好_JUN 2" xfId="0"/>
    <cellStyle name="好_JUN 3" xfId="0"/>
    <cellStyle name="好_JUN 4" xfId="0"/>
    <cellStyle name="好_JUN(af)" xfId="0"/>
    <cellStyle name="好_LCDTV" xfId="0"/>
    <cellStyle name="好_LCDTV 2" xfId="0"/>
    <cellStyle name="好_Lighting" xfId="0"/>
    <cellStyle name="好_MAR" xfId="0"/>
    <cellStyle name="好_MAY" xfId="0"/>
    <cellStyle name="好_MAY 2" xfId="0"/>
    <cellStyle name="好_NOV" xfId="0"/>
    <cellStyle name="好_OCT" xfId="0"/>
    <cellStyle name="好_PC Tablet" xfId="0"/>
    <cellStyle name="好_PC_DT" xfId="0"/>
    <cellStyle name="好_PC_DT 2" xfId="0"/>
    <cellStyle name="好_Q1" xfId="0"/>
    <cellStyle name="好_Q1_1" xfId="0"/>
    <cellStyle name="好_Q2" xfId="0"/>
    <cellStyle name="好_Q2 2" xfId="0"/>
    <cellStyle name="好_Q2 3" xfId="0"/>
    <cellStyle name="好_Q2 BU Allocation" xfId="0"/>
    <cellStyle name="好_Q2 BU Allocation 2" xfId="0"/>
    <cellStyle name="好_Q2 BU Allocation_1" xfId="0"/>
    <cellStyle name="好_Q2 BU Allocation_1 2" xfId="0"/>
    <cellStyle name="好_Q2(af)" xfId="0"/>
    <cellStyle name="好_Q2(af) 2" xfId="0"/>
    <cellStyle name="好_Q2_1" xfId="0"/>
    <cellStyle name="好_Q3" xfId="0"/>
    <cellStyle name="好_Q3 (2)" xfId="0"/>
    <cellStyle name="好_Q3 2" xfId="0"/>
    <cellStyle name="好_Q3 3" xfId="0"/>
    <cellStyle name="好_Q3 4" xfId="0"/>
    <cellStyle name="好_Q3_1" xfId="0"/>
    <cellStyle name="好_Q4" xfId="0"/>
    <cellStyle name="好_Q4 2" xfId="0"/>
    <cellStyle name="好_Q4_1" xfId="0"/>
    <cellStyle name="好_RETIREMEN vsi" xfId="0"/>
    <cellStyle name="好_RETIREMEN vsi 2" xfId="0"/>
    <cellStyle name="好_RETIREMEN vsi_1" xfId="0"/>
    <cellStyle name="好_RETIREMEN vsi_1 2" xfId="0"/>
    <cellStyle name="好_Sales Eval" xfId="0"/>
    <cellStyle name="好_Sales Eval 2" xfId="0"/>
    <cellStyle name="好_SEP" xfId="0"/>
    <cellStyle name="好_SEP (2)" xfId="0"/>
    <cellStyle name="好_SEP 2" xfId="0"/>
    <cellStyle name="好_SEP 3" xfId="0"/>
    <cellStyle name="好_SEP 4" xfId="0"/>
    <cellStyle name="好_SEP1" xfId="0"/>
    <cellStyle name="好_SEP1 2" xfId="0"/>
    <cellStyle name="好_Template" xfId="0"/>
    <cellStyle name="好_VSE WFP 110311" xfId="0"/>
    <cellStyle name="好_VSE WFP 110311 2" xfId="0"/>
    <cellStyle name="好_VSE WFP 110415" xfId="0"/>
    <cellStyle name="好_VSE WFP 110415 2" xfId="0"/>
    <cellStyle name="好_VSI 100326" xfId="0"/>
    <cellStyle name="好_VSI 100326 2" xfId="0"/>
    <cellStyle name="好_VSI Inventory aging 2013-01-28" xfId="0"/>
    <cellStyle name="好_VSI Inventory aging 2013-01-28 2" xfId="0"/>
    <cellStyle name="好_YTD" xfId="0"/>
    <cellStyle name="好_YTD (2)" xfId="0"/>
    <cellStyle name="好_YTD 2" xfId="0"/>
    <cellStyle name="好_YTD 3" xfId="0"/>
    <cellStyle name="好_YTD 4" xfId="0"/>
    <cellStyle name="差" xfId="0"/>
    <cellStyle name="差 2" xfId="0"/>
    <cellStyle name="常?_Amtran" xfId="0"/>
    <cellStyle name="常规 2" xfId="0"/>
    <cellStyle name="常规_06-last 3 month" xfId="0"/>
    <cellStyle name="强调文字颜色 1" xfId="0"/>
    <cellStyle name="强调文字颜色 1 2" xfId="0"/>
    <cellStyle name="强调文字颜色 2" xfId="0"/>
    <cellStyle name="强调文字颜色 2 2" xfId="0"/>
    <cellStyle name="强调文字颜色 3" xfId="0"/>
    <cellStyle name="强调文字颜色 3 2" xfId="0"/>
    <cellStyle name="强调文字颜色 4" xfId="0"/>
    <cellStyle name="强调文字颜色 4 2" xfId="0"/>
    <cellStyle name="强调文字颜色 5" xfId="0"/>
    <cellStyle name="强调文字颜色 5 2" xfId="0"/>
    <cellStyle name="强调文字颜色 6" xfId="0"/>
    <cellStyle name="强调文字颜色 6 2" xfId="0"/>
    <cellStyle name="标题" xfId="0"/>
    <cellStyle name="标题 1" xfId="0"/>
    <cellStyle name="标题 1 2" xfId="0"/>
    <cellStyle name="标题 2" xfId="0"/>
    <cellStyle name="标题 2 2" xfId="0"/>
    <cellStyle name="标题 3" xfId="0"/>
    <cellStyle name="标题 3 2" xfId="0"/>
    <cellStyle name="标题 3 3" xfId="0"/>
    <cellStyle name="标题 4" xfId="0"/>
    <cellStyle name="标题 4 2" xfId="0"/>
    <cellStyle name="标题 5" xfId="0"/>
    <cellStyle name="样式 1" xfId="0"/>
    <cellStyle name="样式 1 2" xfId="0"/>
    <cellStyle name="桁?切? [0.00]_Book1 ??? 1" xfId="0"/>
    <cellStyle name="桁?切?_Book1 ??? 1" xfId="0"/>
    <cellStyle name="桁区切り [0.00]_Book1 グラフ 1" xfId="0"/>
    <cellStyle name="桁区切り_Book1 グラフ 1" xfId="0"/>
    <cellStyle name="检查单元格" xfId="0"/>
    <cellStyle name="检查单元格 2" xfId="0"/>
    <cellStyle name="標準_00_ mktbudget" xfId="0"/>
    <cellStyle name="標題 1 2" xfId="0"/>
    <cellStyle name="標題 1 2 2" xfId="0"/>
    <cellStyle name="標題 1 2 3" xfId="0"/>
    <cellStyle name="標題 1 3" xfId="0"/>
    <cellStyle name="標題 10" xfId="0"/>
    <cellStyle name="標題 11" xfId="0"/>
    <cellStyle name="標題 12" xfId="0"/>
    <cellStyle name="標題 13" xfId="0"/>
    <cellStyle name="標題 14" xfId="0"/>
    <cellStyle name="標題 15" xfId="0"/>
    <cellStyle name="標題 16" xfId="0"/>
    <cellStyle name="標題 2 2" xfId="0"/>
    <cellStyle name="標題 2 2 2" xfId="0"/>
    <cellStyle name="標題 2 2 3" xfId="0"/>
    <cellStyle name="標題 2 3" xfId="0"/>
    <cellStyle name="標題 3 2" xfId="0"/>
    <cellStyle name="標題 3 2 2" xfId="0"/>
    <cellStyle name="標題 3 2 2 2" xfId="0"/>
    <cellStyle name="標題 3 2 2 3" xfId="0"/>
    <cellStyle name="標題 3 2 2 4" xfId="0"/>
    <cellStyle name="標題 3 2 3" xfId="0"/>
    <cellStyle name="標題 3 2 3 2" xfId="0"/>
    <cellStyle name="標題 3 2 3 3" xfId="0"/>
    <cellStyle name="標題 3 2 4" xfId="0"/>
    <cellStyle name="標題 3 2 5" xfId="0"/>
    <cellStyle name="標題 3 2 6" xfId="0"/>
    <cellStyle name="標題 3 2 7" xfId="0"/>
    <cellStyle name="標題 3 3" xfId="0"/>
    <cellStyle name="標題 4 2" xfId="0"/>
    <cellStyle name="標題 4 2 2" xfId="0"/>
    <cellStyle name="標題 4 2 3" xfId="0"/>
    <cellStyle name="標題 4 3" xfId="0"/>
    <cellStyle name="標題 4 4" xfId="0"/>
    <cellStyle name="標題 5" xfId="0"/>
    <cellStyle name="標題 5 2" xfId="0"/>
    <cellStyle name="標題 5 3" xfId="0"/>
    <cellStyle name="標題 6" xfId="0"/>
    <cellStyle name="標題 7" xfId="0"/>
    <cellStyle name="標題 8" xfId="0"/>
    <cellStyle name="標題 9" xfId="0"/>
    <cellStyle name="樣式 1" xfId="0"/>
    <cellStyle name="樣式 1 2" xfId="0"/>
    <cellStyle name="樣式 1 2 2" xfId="0"/>
    <cellStyle name="樣式 1 2 3" xfId="0"/>
    <cellStyle name="樣式 1 3" xfId="0"/>
    <cellStyle name="樣式 1 4" xfId="0"/>
    <cellStyle name="檢查儲存格 2" xfId="0"/>
    <cellStyle name="檢查儲存格 2 2" xfId="0"/>
    <cellStyle name="檢查儲存格 2 2 2" xfId="0"/>
    <cellStyle name="檢查儲存格 2 3" xfId="0"/>
    <cellStyle name="檢查儲存格 2 4" xfId="0"/>
    <cellStyle name="檢查儲存格 2 5" xfId="0"/>
    <cellStyle name="檢查儲存格 2 6" xfId="0"/>
    <cellStyle name="檢查儲存格 2 7" xfId="0"/>
    <cellStyle name="檢查儲存格 3" xfId="0"/>
    <cellStyle name="汇总" xfId="0"/>
    <cellStyle name="汇总 2" xfId="0"/>
    <cellStyle name="注释" xfId="0"/>
    <cellStyle name="百分比 10" xfId="0"/>
    <cellStyle name="百分比 10 2" xfId="0"/>
    <cellStyle name="百分比 11" xfId="0"/>
    <cellStyle name="百分比 12" xfId="0"/>
    <cellStyle name="百分比 2" xfId="0"/>
    <cellStyle name="百分比 2 2" xfId="0"/>
    <cellStyle name="百分比 2 2 2" xfId="0"/>
    <cellStyle name="百分比 2 2 2 2" xfId="0"/>
    <cellStyle name="百分比 2 3" xfId="0"/>
    <cellStyle name="百分比 2 3 2" xfId="0"/>
    <cellStyle name="百分比 2 4" xfId="0"/>
    <cellStyle name="百分比 2 4 2" xfId="0"/>
    <cellStyle name="百分比 3" xfId="0"/>
    <cellStyle name="百分比 3 2" xfId="0"/>
    <cellStyle name="百分比 3 3" xfId="0"/>
    <cellStyle name="百分比 3 3 2" xfId="0"/>
    <cellStyle name="百分比 3 3 3" xfId="0"/>
    <cellStyle name="百分比 3 4" xfId="0"/>
    <cellStyle name="百分比 3 5" xfId="0"/>
    <cellStyle name="百分比 4" xfId="0"/>
    <cellStyle name="百分比 4 2" xfId="0"/>
    <cellStyle name="百分比 4 3" xfId="0"/>
    <cellStyle name="百分比 5" xfId="0"/>
    <cellStyle name="百分比 5 2" xfId="0"/>
    <cellStyle name="百分比 5 3" xfId="0"/>
    <cellStyle name="百分比 6" xfId="0"/>
    <cellStyle name="百分比 6 2" xfId="0"/>
    <cellStyle name="百分比 6 3" xfId="0"/>
    <cellStyle name="百分比 7" xfId="0"/>
    <cellStyle name="百分比 7 2" xfId="0"/>
    <cellStyle name="百分比 8" xfId="0"/>
    <cellStyle name="百分比 8 2" xfId="0"/>
    <cellStyle name="百分比 9" xfId="0"/>
    <cellStyle name="百分比 9 2" xfId="0"/>
    <cellStyle name="解释性文本" xfId="0"/>
    <cellStyle name="解释性文本 2" xfId="0"/>
    <cellStyle name="計算方式 2" xfId="0"/>
    <cellStyle name="計算方式 2 2" xfId="0"/>
    <cellStyle name="計算方式 2 3" xfId="0"/>
    <cellStyle name="計算方式 3" xfId="0"/>
    <cellStyle name="說明文字 2" xfId="0"/>
    <cellStyle name="說明文字 2 2" xfId="0"/>
    <cellStyle name="說明文字 2 3" xfId="0"/>
    <cellStyle name="說明文字 3" xfId="0"/>
    <cellStyle name="說明文字 4" xfId="0"/>
    <cellStyle name="警告文字 2" xfId="0"/>
    <cellStyle name="警告文字 2 2" xfId="0"/>
    <cellStyle name="警告文字 2 3" xfId="0"/>
    <cellStyle name="警告文字 3" xfId="0"/>
    <cellStyle name="警告文本" xfId="0"/>
    <cellStyle name="警告文本 2" xfId="0"/>
    <cellStyle name="计算" xfId="0"/>
    <cellStyle name="计算 2" xfId="0"/>
    <cellStyle name="貨幣 2" xfId="0"/>
    <cellStyle name="貨幣 2 2" xfId="0"/>
    <cellStyle name="貨幣 2 3" xfId="0"/>
    <cellStyle name="貨幣 2 4" xfId="0"/>
    <cellStyle name="貨幣 2 5" xfId="0"/>
    <cellStyle name="貨幣 3" xfId="0"/>
    <cellStyle name="貨幣 3 2" xfId="0"/>
    <cellStyle name="貨幣 3 3" xfId="0"/>
    <cellStyle name="貨幣 3 4" xfId="0"/>
    <cellStyle name="貨幣 4" xfId="0"/>
    <cellStyle name="輔色1 2" xfId="0"/>
    <cellStyle name="輔色1 2 2" xfId="0"/>
    <cellStyle name="輔色1 2 3" xfId="0"/>
    <cellStyle name="輔色1 3" xfId="0"/>
    <cellStyle name="輔色2 2" xfId="0"/>
    <cellStyle name="輔色2 2 2" xfId="0"/>
    <cellStyle name="輔色2 2 3" xfId="0"/>
    <cellStyle name="輔色2 3" xfId="0"/>
    <cellStyle name="輔色3 2" xfId="0"/>
    <cellStyle name="輔色3 2 2" xfId="0"/>
    <cellStyle name="輔色3 2 3" xfId="0"/>
    <cellStyle name="輔色3 3" xfId="0"/>
    <cellStyle name="輔色4 2" xfId="0"/>
    <cellStyle name="輔色4 2 2" xfId="0"/>
    <cellStyle name="輔色4 2 3" xfId="0"/>
    <cellStyle name="輔色4 3" xfId="0"/>
    <cellStyle name="輔色5 2" xfId="0"/>
    <cellStyle name="輔色5 2 2" xfId="0"/>
    <cellStyle name="輔色5 2 3" xfId="0"/>
    <cellStyle name="輔色5 3" xfId="0"/>
    <cellStyle name="輔色6 2" xfId="0"/>
    <cellStyle name="輔色6 2 2" xfId="0"/>
    <cellStyle name="輔色6 2 3" xfId="0"/>
    <cellStyle name="輔色6 3" xfId="0"/>
    <cellStyle name="輸入 2" xfId="0"/>
    <cellStyle name="輸入 2 2" xfId="0"/>
    <cellStyle name="輸入 2 3" xfId="0"/>
    <cellStyle name="輸入 3" xfId="0"/>
    <cellStyle name="輸出 2" xfId="0"/>
    <cellStyle name="輸出 2 2" xfId="0"/>
    <cellStyle name="輸出 2 3" xfId="0"/>
    <cellStyle name="輸出 3" xfId="0"/>
    <cellStyle name="输入" xfId="0"/>
    <cellStyle name="输入 2" xfId="0"/>
    <cellStyle name="输出" xfId="0"/>
    <cellStyle name="输出 2" xfId="0"/>
    <cellStyle name="适中" xfId="0"/>
    <cellStyle name="适中 2" xfId="0"/>
    <cellStyle name="通貨 [0.00]_Book1 ??? 1" xfId="0"/>
    <cellStyle name="通貨_Book1 ??? 1" xfId="0"/>
    <cellStyle name="連結的儲存格 2" xfId="0"/>
    <cellStyle name="連結的儲存格 2 2" xfId="0"/>
    <cellStyle name="連結的儲存格 2 2 2" xfId="0"/>
    <cellStyle name="連結的儲存格 2 3" xfId="0"/>
    <cellStyle name="連結的儲存格 3" xfId="0"/>
    <cellStyle name="链接单元格" xfId="0"/>
    <cellStyle name="链接单元格 2" xfId="0"/>
    <cellStyle name="隨後的超連結_DELTA-CRT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DDD"/>
      <rgbColor rgb="FF808080"/>
      <rgbColor rgb="FFDBEEF4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CCFFCC"/>
      <rgbColor rgb="FFEBF1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517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B1:AR11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15" activeCellId="0" sqref="P15"/>
    </sheetView>
  </sheetViews>
  <sheetFormatPr defaultColWidth="9.484375" defaultRowHeight="12.8" zeroHeight="false" outlineLevelRow="0" outlineLevelCol="0"/>
  <sheetData>
    <row r="1" customFormat="false" ht="15" hidden="false" customHeight="false" outlineLevel="0" collapsed="false">
      <c r="B1" s="1"/>
    </row>
    <row r="2" customFormat="false" ht="15" hidden="false" customHeight="false" outlineLevel="0" collapsed="false">
      <c r="B2" s="2" t="s">
        <v>0</v>
      </c>
      <c r="Q2" s="2" t="s">
        <v>1</v>
      </c>
      <c r="AF2" s="2" t="s">
        <v>2</v>
      </c>
    </row>
    <row r="3" customFormat="false" ht="29.85" hidden="false" customHeight="false" outlineLevel="0" collapsed="false"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6" t="s">
        <v>15</v>
      </c>
      <c r="Q3" s="3" t="s">
        <v>3</v>
      </c>
      <c r="R3" s="4" t="s">
        <v>4</v>
      </c>
      <c r="S3" s="5" t="s">
        <v>5</v>
      </c>
      <c r="T3" s="5" t="s">
        <v>6</v>
      </c>
      <c r="U3" s="5" t="s">
        <v>7</v>
      </c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6" t="s">
        <v>15</v>
      </c>
      <c r="AF3" s="3" t="s">
        <v>3</v>
      </c>
      <c r="AG3" s="4" t="s">
        <v>4</v>
      </c>
      <c r="AH3" s="5" t="s">
        <v>5</v>
      </c>
      <c r="AI3" s="5" t="s">
        <v>6</v>
      </c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  <c r="AO3" s="5" t="s">
        <v>12</v>
      </c>
      <c r="AP3" s="5" t="s">
        <v>13</v>
      </c>
      <c r="AQ3" s="5" t="s">
        <v>14</v>
      </c>
      <c r="AR3" s="6" t="s">
        <v>15</v>
      </c>
    </row>
    <row r="4" customFormat="false" ht="15.6" hidden="false" customHeight="false" outlineLevel="0" collapsed="false">
      <c r="B4" s="7" t="s">
        <v>16</v>
      </c>
      <c r="C4" s="8" t="n">
        <v>79789</v>
      </c>
      <c r="D4" s="8" t="n">
        <v>16101</v>
      </c>
      <c r="E4" s="8" t="n">
        <v>134951</v>
      </c>
      <c r="F4" s="8" t="n">
        <v>12008</v>
      </c>
      <c r="G4" s="8" t="n">
        <v>137650</v>
      </c>
      <c r="H4" s="8" t="n">
        <v>32813.88</v>
      </c>
      <c r="I4" s="8" t="n">
        <v>68849</v>
      </c>
      <c r="J4" s="8" t="n">
        <v>11226</v>
      </c>
      <c r="K4" s="8" t="n">
        <v>168043.16</v>
      </c>
      <c r="L4" s="8" t="n">
        <v>10589.87</v>
      </c>
      <c r="M4" s="8" t="n">
        <v>69167.29</v>
      </c>
      <c r="N4" s="9" t="n">
        <v>11885.13</v>
      </c>
      <c r="Q4" s="7" t="s">
        <v>16</v>
      </c>
      <c r="R4" s="8" t="n">
        <v>10840.330500882703</v>
      </c>
      <c r="S4" s="8" t="n">
        <v>9612.414423655864</v>
      </c>
      <c r="T4" s="8" t="n">
        <v>103171.52126024499</v>
      </c>
      <c r="U4" s="8" t="n">
        <v>16214.098459807052</v>
      </c>
      <c r="V4" s="8" t="n">
        <v>29366.81228405684</v>
      </c>
      <c r="W4" s="8" t="n">
        <v>1224.3497889765288</v>
      </c>
      <c r="X4" s="8" t="n">
        <v>64971.37432633088</v>
      </c>
      <c r="Y4" s="8" t="n">
        <v>15798.270432402169</v>
      </c>
      <c r="Z4" s="8" t="n">
        <v>186048.0563232903</v>
      </c>
      <c r="AA4" s="8" t="n">
        <v>10885.645824094183</v>
      </c>
      <c r="AB4" s="8" t="n">
        <v>85258.63661345144</v>
      </c>
      <c r="AC4" s="9" t="n">
        <v>7507.3205817100425</v>
      </c>
      <c r="AF4" s="7" t="s">
        <v>16</v>
      </c>
      <c r="AG4" s="8" t="n">
        <v>47616.51598297152</v>
      </c>
      <c r="AH4" s="8" t="n">
        <v>16316.881922350287</v>
      </c>
      <c r="AI4" s="8" t="n">
        <v>77573.1285202173</v>
      </c>
      <c r="AJ4" s="8" t="n">
        <v>2729.4854990711433</v>
      </c>
      <c r="AK4" s="8" t="n">
        <v>100495.09593250719</v>
      </c>
      <c r="AL4" s="8" t="n">
        <v>40465.81226980817</v>
      </c>
      <c r="AM4" s="8" t="n">
        <v>91348.64479777028</v>
      </c>
      <c r="AN4" s="8" t="n">
        <v>9618.69105126488</v>
      </c>
      <c r="AO4" s="8" t="n">
        <v>28973.58274729702</v>
      </c>
      <c r="AP4" s="8" t="n">
        <v>7109.4600322037</v>
      </c>
      <c r="AQ4" s="8" t="n">
        <v>60988.92549520438</v>
      </c>
      <c r="AR4" s="9" t="n">
        <v>9576.230907000781</v>
      </c>
    </row>
    <row r="5" customFormat="false" ht="15.6" hidden="false" customHeight="false" outlineLevel="0" collapsed="false">
      <c r="B5" s="10" t="s">
        <v>17</v>
      </c>
      <c r="C5" s="8" t="n">
        <v>46576</v>
      </c>
      <c r="D5" s="8" t="n">
        <v>30297</v>
      </c>
      <c r="E5" s="8" t="n">
        <v>140616</v>
      </c>
      <c r="F5" s="8" t="n">
        <v>150014</v>
      </c>
      <c r="G5" s="8" t="n">
        <v>200348</v>
      </c>
      <c r="H5" s="8" t="n">
        <v>589247.33</v>
      </c>
      <c r="I5" s="8" t="n">
        <v>114892</v>
      </c>
      <c r="J5" s="8" t="n">
        <v>135097</v>
      </c>
      <c r="K5" s="8" t="n">
        <v>219272.05</v>
      </c>
      <c r="L5" s="8" t="n">
        <v>117158.38</v>
      </c>
      <c r="M5" s="8" t="n">
        <v>281120.95</v>
      </c>
      <c r="N5" s="11" t="n">
        <v>280401.96</v>
      </c>
      <c r="Q5" s="10" t="s">
        <v>17</v>
      </c>
      <c r="R5" s="8" t="n">
        <v>20484.85544705169</v>
      </c>
      <c r="S5" s="8" t="n">
        <v>3903.9808535854927</v>
      </c>
      <c r="T5" s="8" t="n">
        <v>82827.33008308666</v>
      </c>
      <c r="U5" s="8" t="n">
        <v>18523.416072997097</v>
      </c>
      <c r="V5" s="8" t="n">
        <v>61436.2830710685</v>
      </c>
      <c r="W5" s="8" t="n">
        <v>326326.38919408934</v>
      </c>
      <c r="X5" s="8" t="n">
        <v>19314.623062263447</v>
      </c>
      <c r="Y5" s="8" t="n">
        <v>192123.08851335975</v>
      </c>
      <c r="Z5" s="8" t="n">
        <v>286154.152020008</v>
      </c>
      <c r="AA5" s="8" t="n">
        <v>96112.1453108891</v>
      </c>
      <c r="AB5" s="8" t="n">
        <v>36385.18956293798</v>
      </c>
      <c r="AC5" s="11" t="n">
        <v>57115.135831828135</v>
      </c>
      <c r="AF5" s="10" t="s">
        <v>17</v>
      </c>
      <c r="AG5" s="8" t="n">
        <v>7692.966442713172</v>
      </c>
      <c r="AH5" s="8" t="n">
        <v>12285.569958845806</v>
      </c>
      <c r="AI5" s="8" t="n">
        <v>80547.47143662206</v>
      </c>
      <c r="AJ5" s="8" t="n">
        <v>59733.51015688497</v>
      </c>
      <c r="AK5" s="8" t="n">
        <v>170505.67649981458</v>
      </c>
      <c r="AL5" s="8" t="n">
        <v>806562.4668536326</v>
      </c>
      <c r="AM5" s="8" t="n">
        <v>160747.84263125493</v>
      </c>
      <c r="AN5" s="8" t="n">
        <v>154493.32825131234</v>
      </c>
      <c r="AO5" s="8" t="n">
        <v>316994.43047908373</v>
      </c>
      <c r="AP5" s="8" t="n">
        <v>97707.03438327172</v>
      </c>
      <c r="AQ5" s="8" t="n">
        <v>76506.86124555042</v>
      </c>
      <c r="AR5" s="11" t="n">
        <v>40095.50956653043</v>
      </c>
    </row>
    <row r="6" customFormat="false" ht="15.6" hidden="false" customHeight="false" outlineLevel="0" collapsed="false">
      <c r="B6" s="10" t="s">
        <v>18</v>
      </c>
      <c r="C6" s="8" t="n">
        <v>508781</v>
      </c>
      <c r="D6" s="8" t="n">
        <v>0</v>
      </c>
      <c r="E6" s="8" t="n">
        <v>396194</v>
      </c>
      <c r="F6" s="8" t="n">
        <v>0</v>
      </c>
      <c r="G6" s="8" t="n">
        <v>125016</v>
      </c>
      <c r="H6" s="8" t="n">
        <v>88069.94</v>
      </c>
      <c r="I6" s="8" t="n">
        <v>161042</v>
      </c>
      <c r="J6" s="8" t="n">
        <v>170540</v>
      </c>
      <c r="K6" s="8" t="n">
        <v>233735.65</v>
      </c>
      <c r="L6" s="8" t="n">
        <v>76126.81</v>
      </c>
      <c r="M6" s="8" t="n">
        <v>383303.58</v>
      </c>
      <c r="N6" s="11" t="n">
        <v>58333.3</v>
      </c>
      <c r="Q6" s="10" t="s">
        <v>18</v>
      </c>
      <c r="R6" s="8" t="n">
        <v>456176.08581290947</v>
      </c>
      <c r="S6" s="8" t="n">
        <v>0.0</v>
      </c>
      <c r="T6" s="8" t="n">
        <v>361927.6358458138</v>
      </c>
      <c r="U6" s="8" t="n">
        <v>0.0</v>
      </c>
      <c r="V6" s="8" t="n">
        <v>180743.11768359697</v>
      </c>
      <c r="W6" s="8" t="n">
        <v>59428.796716800745</v>
      </c>
      <c r="X6" s="8" t="n">
        <v>199350.48416562614</v>
      </c>
      <c r="Y6" s="8" t="n">
        <v>73770.51230971389</v>
      </c>
      <c r="Z6" s="8" t="n">
        <v>71286.81873671862</v>
      </c>
      <c r="AA6" s="8" t="n">
        <v>90576.17788591816</v>
      </c>
      <c r="AB6" s="8" t="n">
        <v>244663.44512913786</v>
      </c>
      <c r="AC6" s="11" t="n">
        <v>26799.982774671884</v>
      </c>
      <c r="AF6" s="10" t="s">
        <v>18</v>
      </c>
      <c r="AG6" s="8" t="n">
        <v>616507.8405136884</v>
      </c>
      <c r="AH6" s="8" t="n">
        <v>0.0</v>
      </c>
      <c r="AI6" s="8" t="n">
        <v>33869.73582222831</v>
      </c>
      <c r="AJ6" s="8" t="n">
        <v>0.0</v>
      </c>
      <c r="AK6" s="8" t="n">
        <v>162470.9836411758</v>
      </c>
      <c r="AL6" s="8" t="n">
        <v>91137.08815553959</v>
      </c>
      <c r="AM6" s="8" t="n">
        <v>210244.39195174957</v>
      </c>
      <c r="AN6" s="8" t="n">
        <v>175812.21025369162</v>
      </c>
      <c r="AO6" s="8" t="n">
        <v>208218.30467671048</v>
      </c>
      <c r="AP6" s="8" t="n">
        <v>11538.099436502227</v>
      </c>
      <c r="AQ6" s="8" t="n">
        <v>295408.75474446476</v>
      </c>
      <c r="AR6" s="11" t="n">
        <v>73266.7102141518</v>
      </c>
    </row>
    <row r="7" customFormat="false" ht="15.6" hidden="false" customHeight="false" outlineLevel="0" collapsed="false">
      <c r="B7" s="10" t="s">
        <v>19</v>
      </c>
      <c r="C7" s="8" t="n">
        <v>493309</v>
      </c>
      <c r="D7" s="8" t="n">
        <v>529335</v>
      </c>
      <c r="E7" s="8" t="n">
        <v>85858</v>
      </c>
      <c r="F7" s="8" t="n">
        <v>613222</v>
      </c>
      <c r="G7" s="8" t="n">
        <v>101288</v>
      </c>
      <c r="H7" s="8" t="n">
        <v>419426.87</v>
      </c>
      <c r="I7" s="8" t="n">
        <v>231930</v>
      </c>
      <c r="J7" s="8" t="n">
        <v>390498</v>
      </c>
      <c r="K7" s="8" t="n">
        <v>240690.11</v>
      </c>
      <c r="L7" s="8" t="n">
        <v>157227.3</v>
      </c>
      <c r="M7" s="8" t="n">
        <v>103422.35</v>
      </c>
      <c r="N7" s="11" t="n">
        <v>393442.51</v>
      </c>
      <c r="Q7" s="10" t="s">
        <v>19</v>
      </c>
      <c r="R7" s="8" t="n">
        <v>212817.0054120699</v>
      </c>
      <c r="S7" s="8" t="n">
        <v>659822.7487935064</v>
      </c>
      <c r="T7" s="8" t="n">
        <v>66114.9133429806</v>
      </c>
      <c r="U7" s="8" t="n">
        <v>515247.2913738267</v>
      </c>
      <c r="V7" s="8" t="n">
        <v>31234.965178393482</v>
      </c>
      <c r="W7" s="8" t="n">
        <v>326527.6341046817</v>
      </c>
      <c r="X7" s="8" t="n">
        <v>250712.3287397704</v>
      </c>
      <c r="Y7" s="8" t="n">
        <v>370681.5692369158</v>
      </c>
      <c r="Z7" s="8" t="n">
        <v>212449.91699889055</v>
      </c>
      <c r="AA7" s="8" t="n">
        <v>88140.93636033667</v>
      </c>
      <c r="AB7" s="8" t="n">
        <v>147339.78273525008</v>
      </c>
      <c r="AC7" s="11" t="n">
        <v>344832.66696985555</v>
      </c>
      <c r="AF7" s="10" t="s">
        <v>19</v>
      </c>
      <c r="AG7" s="8" t="n">
        <v>619582.7567875739</v>
      </c>
      <c r="AH7" s="8" t="n">
        <v>13097.037601009397</v>
      </c>
      <c r="AI7" s="8" t="n">
        <v>11344.931139717815</v>
      </c>
      <c r="AJ7" s="8" t="n">
        <v>317421.109861375</v>
      </c>
      <c r="AK7" s="8" t="n">
        <v>68913.81631636653</v>
      </c>
      <c r="AL7" s="8" t="n">
        <v>381792.5822773079</v>
      </c>
      <c r="AM7" s="8" t="n">
        <v>129809.00999417895</v>
      </c>
      <c r="AN7" s="8" t="n">
        <v>335525.72359320236</v>
      </c>
      <c r="AO7" s="8" t="n">
        <v>270992.9944465671</v>
      </c>
      <c r="AP7" s="8" t="n">
        <v>215927.33882162138</v>
      </c>
      <c r="AQ7" s="8" t="n">
        <v>98728.10985981628</v>
      </c>
      <c r="AR7" s="11" t="n">
        <v>87443.95867676793</v>
      </c>
    </row>
    <row r="8" customFormat="false" ht="15.6" hidden="false" customHeight="false" outlineLevel="0" collapsed="false">
      <c r="B8" s="7" t="s">
        <v>20</v>
      </c>
      <c r="C8" s="8" t="n">
        <v>68732</v>
      </c>
      <c r="D8" s="8" t="n">
        <v>85647</v>
      </c>
      <c r="E8" s="8" t="n">
        <v>96033</v>
      </c>
      <c r="F8" s="8" t="n">
        <v>63556</v>
      </c>
      <c r="G8" s="8" t="n">
        <v>64699</v>
      </c>
      <c r="H8" s="8" t="n">
        <v>89132</v>
      </c>
      <c r="I8" s="8" t="n">
        <v>76815</v>
      </c>
      <c r="J8" s="8" t="n">
        <v>56656</v>
      </c>
      <c r="K8" s="8" t="n">
        <v>68967.83</v>
      </c>
      <c r="L8" s="8" t="n">
        <v>55816.32</v>
      </c>
      <c r="M8" s="8" t="n">
        <v>43303</v>
      </c>
      <c r="N8" s="11" t="n">
        <v>85302.05</v>
      </c>
      <c r="Q8" s="7" t="s">
        <v>20</v>
      </c>
      <c r="R8" s="8" t="n">
        <v>62467.49156790931</v>
      </c>
      <c r="S8" s="8" t="n">
        <v>104651.34541035886</v>
      </c>
      <c r="T8" s="8" t="n">
        <v>102486.33449183297</v>
      </c>
      <c r="U8" s="8" t="n">
        <v>48916.54209080258</v>
      </c>
      <c r="V8" s="8" t="n">
        <v>53821.94566553762</v>
      </c>
      <c r="W8" s="8" t="n">
        <v>45938.6351231381</v>
      </c>
      <c r="X8" s="8" t="n">
        <v>91495.10418245604</v>
      </c>
      <c r="Y8" s="8" t="n">
        <v>43622.44126785378</v>
      </c>
      <c r="Z8" s="8" t="n">
        <v>88919.91464903293</v>
      </c>
      <c r="AA8" s="8" t="n">
        <v>69397.05023186076</v>
      </c>
      <c r="AB8" s="8" t="n">
        <v>9986.847593671499</v>
      </c>
      <c r="AC8" s="11" t="n">
        <v>10939.56775154261</v>
      </c>
      <c r="AF8" s="7" t="s">
        <v>20</v>
      </c>
      <c r="AG8" s="8" t="n">
        <v>69223.28874796255</v>
      </c>
      <c r="AH8" s="8" t="n">
        <v>69120.16014851315</v>
      </c>
      <c r="AI8" s="8" t="n">
        <v>4216.501458094086</v>
      </c>
      <c r="AJ8" s="8" t="n">
        <v>8418.933455273482</v>
      </c>
      <c r="AK8" s="8" t="n">
        <v>51691.94718958412</v>
      </c>
      <c r="AL8" s="8" t="n">
        <v>7931.23160430756</v>
      </c>
      <c r="AM8" s="8" t="n">
        <v>22058.035138285144</v>
      </c>
      <c r="AN8" s="8" t="n">
        <v>17771.22076015037</v>
      </c>
      <c r="AO8" s="8" t="n">
        <v>86911.7166196168</v>
      </c>
      <c r="AP8" s="8" t="n">
        <v>56561.17789397852</v>
      </c>
      <c r="AQ8" s="8" t="n">
        <v>7168.5857559794085</v>
      </c>
      <c r="AR8" s="11" t="n">
        <v>24725.992072009165</v>
      </c>
    </row>
    <row r="9" customFormat="false" ht="15.6" hidden="false" customHeight="false" outlineLevel="0" collapsed="false">
      <c r="B9" s="7" t="s">
        <v>21</v>
      </c>
      <c r="C9" s="8" t="n">
        <v>248724</v>
      </c>
      <c r="D9" s="8" t="n">
        <v>414351</v>
      </c>
      <c r="E9" s="8" t="n">
        <v>557782</v>
      </c>
      <c r="F9" s="8" t="n">
        <v>347329</v>
      </c>
      <c r="G9" s="8" t="n">
        <v>337316</v>
      </c>
      <c r="H9" s="8" t="n">
        <v>631262</v>
      </c>
      <c r="I9" s="8" t="n">
        <v>309874</v>
      </c>
      <c r="J9" s="8" t="n">
        <v>184489</v>
      </c>
      <c r="K9" s="8" t="n">
        <v>372388</v>
      </c>
      <c r="L9" s="8" t="n">
        <v>198720.21</v>
      </c>
      <c r="M9" s="8" t="n">
        <v>488578.96</v>
      </c>
      <c r="N9" s="11" t="n">
        <v>682005.46</v>
      </c>
      <c r="Q9" s="7" t="s">
        <v>21</v>
      </c>
      <c r="R9" s="8" t="n">
        <v>248299.40052420695</v>
      </c>
      <c r="S9" s="8" t="n">
        <v>364285.2787086645</v>
      </c>
      <c r="T9" s="8" t="n">
        <v>802986.7423566078</v>
      </c>
      <c r="U9" s="8" t="n">
        <v>345964.2558584279</v>
      </c>
      <c r="V9" s="8" t="n">
        <v>183660.9125261843</v>
      </c>
      <c r="W9" s="8" t="n">
        <v>902276.7527812017</v>
      </c>
      <c r="X9" s="8" t="n">
        <v>128156.57690142305</v>
      </c>
      <c r="Y9" s="8" t="n">
        <v>35452.63242775748</v>
      </c>
      <c r="Z9" s="8" t="n">
        <v>237683.8433885935</v>
      </c>
      <c r="AA9" s="8" t="n">
        <v>93827.18185587018</v>
      </c>
      <c r="AB9" s="8" t="n">
        <v>141274.996683159</v>
      </c>
      <c r="AC9" s="11" t="n">
        <v>79882.41717451799</v>
      </c>
      <c r="AF9" s="7" t="s">
        <v>21</v>
      </c>
      <c r="AG9" s="8" t="n">
        <v>17706.21309031391</v>
      </c>
      <c r="AH9" s="8" t="n">
        <v>405080.4147626188</v>
      </c>
      <c r="AI9" s="8" t="n">
        <v>722842.4302679881</v>
      </c>
      <c r="AJ9" s="8" t="n">
        <v>70947.0907352649</v>
      </c>
      <c r="AK9" s="8" t="n">
        <v>9446.559741179452</v>
      </c>
      <c r="AL9" s="8" t="n">
        <v>431496.4878077153</v>
      </c>
      <c r="AM9" s="8" t="n">
        <v>292896.7203774107</v>
      </c>
      <c r="AN9" s="8" t="n">
        <v>221469.17043963665</v>
      </c>
      <c r="AO9" s="8" t="n">
        <v>519792.8937258496</v>
      </c>
      <c r="AP9" s="8" t="n">
        <v>92797.52051650663</v>
      </c>
      <c r="AQ9" s="8" t="n">
        <v>664979.2802791991</v>
      </c>
      <c r="AR9" s="11" t="n">
        <v>119873.5887303804</v>
      </c>
    </row>
    <row r="10" customFormat="false" ht="15.6" hidden="false" customHeight="false" outlineLevel="0" collapsed="false">
      <c r="B10" s="7" t="s">
        <v>22</v>
      </c>
      <c r="C10" s="8" t="n">
        <v>72891</v>
      </c>
      <c r="D10" s="8" t="n">
        <v>28</v>
      </c>
      <c r="E10" s="8" t="n">
        <v>212814</v>
      </c>
      <c r="F10" s="8" t="n">
        <v>42123</v>
      </c>
      <c r="G10" s="8" t="n">
        <v>112442</v>
      </c>
      <c r="H10" s="8" t="n">
        <v>83176.81</v>
      </c>
      <c r="I10" s="8" t="n">
        <v>10770</v>
      </c>
      <c r="J10" s="8" t="n">
        <v>146214</v>
      </c>
      <c r="K10" s="8" t="n">
        <v>83827.22</v>
      </c>
      <c r="L10" s="8" t="n">
        <v>32217</v>
      </c>
      <c r="M10" s="8" t="n">
        <v>55522.19</v>
      </c>
      <c r="N10" s="11" t="n">
        <v>147216.03</v>
      </c>
      <c r="Q10" s="7" t="s">
        <v>22</v>
      </c>
      <c r="R10" s="8" t="n">
        <v>34357.61860460668</v>
      </c>
      <c r="S10" s="8" t="n">
        <v>30.394824125743938</v>
      </c>
      <c r="T10" s="8" t="n">
        <v>48586.62391189978</v>
      </c>
      <c r="U10" s="8" t="n">
        <v>18547.885564228</v>
      </c>
      <c r="V10" s="8" t="n">
        <v>165539.82890662085</v>
      </c>
      <c r="W10" s="8" t="n">
        <v>40618.57520509385</v>
      </c>
      <c r="X10" s="8" t="n">
        <v>2476.211549722191</v>
      </c>
      <c r="Y10" s="8" t="n">
        <v>210449.90345740548</v>
      </c>
      <c r="Z10" s="8" t="n">
        <v>17571.408530143584</v>
      </c>
      <c r="AA10" s="8" t="n">
        <v>31880.100392652887</v>
      </c>
      <c r="AB10" s="8" t="n">
        <v>51233.61812738591</v>
      </c>
      <c r="AC10" s="11" t="n">
        <v>95218.45473984658</v>
      </c>
      <c r="AF10" s="7" t="s">
        <v>22</v>
      </c>
      <c r="AG10" s="8" t="n">
        <v>100014.3191979917</v>
      </c>
      <c r="AH10" s="8" t="n">
        <v>33.9688206659811</v>
      </c>
      <c r="AI10" s="8" t="n">
        <v>178904.62955384352</v>
      </c>
      <c r="AJ10" s="8" t="n">
        <v>59644.57213045426</v>
      </c>
      <c r="AK10" s="8" t="n">
        <v>157234.6765342995</v>
      </c>
      <c r="AL10" s="8" t="n">
        <v>83490.61322123061</v>
      </c>
      <c r="AM10" s="8" t="n">
        <v>16094.839301629474</v>
      </c>
      <c r="AN10" s="8" t="n">
        <v>8616.008614412785</v>
      </c>
      <c r="AO10" s="8" t="n">
        <v>3800.839309057407</v>
      </c>
      <c r="AP10" s="8" t="n">
        <v>9988.195266620198</v>
      </c>
      <c r="AQ10" s="8" t="n">
        <v>23194.542014344228</v>
      </c>
      <c r="AR10" s="11" t="n">
        <v>126904.15082122324</v>
      </c>
    </row>
    <row r="11" customFormat="false" ht="15.6" hidden="false" customHeight="false" outlineLevel="0" collapsed="false">
      <c r="B11" s="7" t="s">
        <v>23</v>
      </c>
      <c r="C11" s="8" t="n">
        <v>116866</v>
      </c>
      <c r="D11" s="8" t="n">
        <v>2784</v>
      </c>
      <c r="E11" s="8" t="n">
        <v>10229</v>
      </c>
      <c r="F11" s="8" t="n">
        <v>66599</v>
      </c>
      <c r="G11" s="8" t="n">
        <v>20394</v>
      </c>
      <c r="H11" s="8" t="n">
        <v>34200.95</v>
      </c>
      <c r="I11" s="8" t="n">
        <v>72393</v>
      </c>
      <c r="J11" s="8" t="n">
        <v>80605</v>
      </c>
      <c r="K11" s="8" t="n">
        <v>0</v>
      </c>
      <c r="L11" s="8" t="n">
        <v>0</v>
      </c>
      <c r="M11" s="8" t="n">
        <v>49904.76</v>
      </c>
      <c r="N11" s="11" t="n">
        <v>0</v>
      </c>
      <c r="Q11" s="7" t="s">
        <v>23</v>
      </c>
      <c r="R11" s="8" t="n">
        <v>31253.103749426806</v>
      </c>
      <c r="S11" s="8" t="n">
        <v>4113.380507226563</v>
      </c>
      <c r="T11" s="8" t="n">
        <v>14880.208651930692</v>
      </c>
      <c r="U11" s="8" t="n">
        <v>93860.09820986382</v>
      </c>
      <c r="V11" s="8" t="n">
        <v>8448.782184901393</v>
      </c>
      <c r="W11" s="8" t="n">
        <v>33599.2183401412</v>
      </c>
      <c r="X11" s="8" t="n">
        <v>62862.79190354472</v>
      </c>
      <c r="Y11" s="8" t="n">
        <v>17780.49336730082</v>
      </c>
      <c r="Z11" s="8" t="n">
        <v>0.0</v>
      </c>
      <c r="AA11" s="8" t="n">
        <v>0.0</v>
      </c>
      <c r="AB11" s="8" t="n">
        <v>5294.495918069203</v>
      </c>
      <c r="AC11" s="11" t="n">
        <v>0.0</v>
      </c>
      <c r="AF11" s="7" t="s">
        <v>23</v>
      </c>
      <c r="AG11" s="8" t="n">
        <v>32226.373011872427</v>
      </c>
      <c r="AH11" s="8" t="n">
        <v>1855.9262742026424</v>
      </c>
      <c r="AI11" s="8" t="n">
        <v>3875.255909913811</v>
      </c>
      <c r="AJ11" s="8" t="n">
        <v>93885.70132473289</v>
      </c>
      <c r="AK11" s="8" t="n">
        <v>24773.135643892103</v>
      </c>
      <c r="AL11" s="8" t="n">
        <v>28722.468454472604</v>
      </c>
      <c r="AM11" s="8" t="n">
        <v>96485.50537906957</v>
      </c>
      <c r="AN11" s="8" t="n">
        <v>120320.18905721657</v>
      </c>
      <c r="AO11" s="8" t="n">
        <v>0.0</v>
      </c>
      <c r="AP11" s="8" t="n">
        <v>0.0</v>
      </c>
      <c r="AQ11" s="8" t="n">
        <v>55857.7979729142</v>
      </c>
      <c r="AR11" s="11" t="n">
        <v>0.0</v>
      </c>
    </row>
    <row r="12" customFormat="false" ht="15.6" hidden="false" customHeight="false" outlineLevel="0" collapsed="false">
      <c r="B12" s="7" t="s">
        <v>24</v>
      </c>
      <c r="C12" s="8" t="n">
        <v>147580</v>
      </c>
      <c r="D12" s="8" t="n">
        <v>60795</v>
      </c>
      <c r="E12" s="8" t="n">
        <v>33156</v>
      </c>
      <c r="F12" s="8" t="n">
        <v>83196</v>
      </c>
      <c r="G12" s="8" t="n">
        <v>36409</v>
      </c>
      <c r="H12" s="8" t="n">
        <v>40621.25</v>
      </c>
      <c r="I12" s="8" t="n">
        <v>8</v>
      </c>
      <c r="J12" s="8" t="n">
        <v>14200</v>
      </c>
      <c r="K12" s="8" t="n">
        <v>53988.35</v>
      </c>
      <c r="L12" s="8" t="n">
        <v>43325.4</v>
      </c>
      <c r="M12" s="8" t="n">
        <v>118215.26</v>
      </c>
      <c r="N12" s="11" t="n">
        <v>27056.28</v>
      </c>
      <c r="Q12" s="7" t="s">
        <v>24</v>
      </c>
      <c r="R12" s="8" t="n">
        <v>128765.63043324427</v>
      </c>
      <c r="S12" s="8" t="n">
        <v>6368.868294154359</v>
      </c>
      <c r="T12" s="8" t="n">
        <v>18397.0356686954</v>
      </c>
      <c r="U12" s="8" t="n">
        <v>23164.27148446112</v>
      </c>
      <c r="V12" s="8" t="n">
        <v>1580.9733827675434</v>
      </c>
      <c r="W12" s="8" t="n">
        <v>40195.591458624905</v>
      </c>
      <c r="X12" s="8" t="n">
        <v>5.996147172988781</v>
      </c>
      <c r="Y12" s="8" t="n">
        <v>13749.186847298848</v>
      </c>
      <c r="Z12" s="8" t="n">
        <v>39935.998340282</v>
      </c>
      <c r="AA12" s="8" t="n">
        <v>23748.865621300647</v>
      </c>
      <c r="AB12" s="8" t="n">
        <v>76105.78948343285</v>
      </c>
      <c r="AC12" s="11" t="n">
        <v>30802.705615433366</v>
      </c>
      <c r="AF12" s="7" t="s">
        <v>24</v>
      </c>
      <c r="AG12" s="8" t="n">
        <v>208248.33412083157</v>
      </c>
      <c r="AH12" s="8" t="n">
        <v>5074.783843703969</v>
      </c>
      <c r="AI12" s="8" t="n">
        <v>29689.575958979352</v>
      </c>
      <c r="AJ12" s="8" t="n">
        <v>27370.649644923487</v>
      </c>
      <c r="AK12" s="8" t="n">
        <v>7211.348268547033</v>
      </c>
      <c r="AL12" s="8" t="n">
        <v>49019.68193715611</v>
      </c>
      <c r="AM12" s="8" t="n">
        <v>2.267363270221763</v>
      </c>
      <c r="AN12" s="8" t="n">
        <v>19106.763191904167</v>
      </c>
      <c r="AO12" s="8" t="n">
        <v>43262.72398790519</v>
      </c>
      <c r="AP12" s="8" t="n">
        <v>49927.84601843783</v>
      </c>
      <c r="AQ12" s="8" t="n">
        <v>18725.41713020805</v>
      </c>
      <c r="AR12" s="11" t="n">
        <v>25983.118027415912</v>
      </c>
    </row>
    <row r="13" customFormat="false" ht="15.6" hidden="false" customHeight="false" outlineLevel="0" collapsed="false">
      <c r="B13" s="7" t="s">
        <v>25</v>
      </c>
      <c r="C13" s="8" t="n">
        <v>159519</v>
      </c>
      <c r="D13" s="8" t="n">
        <v>115377</v>
      </c>
      <c r="E13" s="8" t="n">
        <v>130566</v>
      </c>
      <c r="F13" s="8" t="n">
        <v>116268</v>
      </c>
      <c r="G13" s="8" t="n">
        <v>125367</v>
      </c>
      <c r="H13" s="8" t="n">
        <v>123198.61</v>
      </c>
      <c r="I13" s="8" t="n">
        <v>59778</v>
      </c>
      <c r="J13" s="8" t="n">
        <v>64214</v>
      </c>
      <c r="K13" s="8" t="n">
        <v>101716.29</v>
      </c>
      <c r="L13" s="8" t="n">
        <v>129377.1</v>
      </c>
      <c r="M13" s="8" t="n">
        <v>31810.3</v>
      </c>
      <c r="N13" s="11" t="n">
        <v>61140.95</v>
      </c>
      <c r="Q13" s="7" t="s">
        <v>25</v>
      </c>
      <c r="R13" s="8" t="n">
        <v>83350.16374710469</v>
      </c>
      <c r="S13" s="8" t="n">
        <v>42277.20719826963</v>
      </c>
      <c r="T13" s="8" t="n">
        <v>164287.58648214434</v>
      </c>
      <c r="U13" s="8" t="n">
        <v>64049.80733379415</v>
      </c>
      <c r="V13" s="8" t="n">
        <v>148935.51712924847</v>
      </c>
      <c r="W13" s="8" t="n">
        <v>67406.68550846803</v>
      </c>
      <c r="X13" s="8" t="n">
        <v>78107.58331035827</v>
      </c>
      <c r="Y13" s="8" t="n">
        <v>66856.86584986279</v>
      </c>
      <c r="Z13" s="8" t="n">
        <v>101182.64550091443</v>
      </c>
      <c r="AA13" s="8" t="n">
        <v>34950.781384874615</v>
      </c>
      <c r="AB13" s="8" t="n">
        <v>25241.063943821526</v>
      </c>
      <c r="AC13" s="11" t="n">
        <v>27083.353965629733</v>
      </c>
      <c r="AF13" s="7" t="s">
        <v>25</v>
      </c>
      <c r="AG13" s="8" t="n">
        <v>65868.52813172621</v>
      </c>
      <c r="AH13" s="8" t="n">
        <v>36280.467366107936</v>
      </c>
      <c r="AI13" s="8" t="n">
        <v>31373.443398518182</v>
      </c>
      <c r="AJ13" s="8" t="n">
        <v>118938.77896385328</v>
      </c>
      <c r="AK13" s="8" t="n">
        <v>103773.80923212365</v>
      </c>
      <c r="AL13" s="8" t="n">
        <v>62999.283844853126</v>
      </c>
      <c r="AM13" s="8" t="n">
        <v>69875.0070621351</v>
      </c>
      <c r="AN13" s="8" t="n">
        <v>35052.511999415095</v>
      </c>
      <c r="AO13" s="8" t="n">
        <v>103327.86341663012</v>
      </c>
      <c r="AP13" s="8" t="n">
        <v>47555.09117079369</v>
      </c>
      <c r="AQ13" s="8" t="n">
        <v>21421.31014259185</v>
      </c>
      <c r="AR13" s="11" t="n">
        <v>18426.77442651413</v>
      </c>
    </row>
    <row r="14" customFormat="false" ht="15.6" hidden="false" customHeight="false" outlineLevel="0" collapsed="false">
      <c r="B14" s="12" t="s">
        <v>26</v>
      </c>
      <c r="C14" s="8" t="n">
        <v>53496</v>
      </c>
      <c r="D14" s="8" t="n">
        <v>51775</v>
      </c>
      <c r="E14" s="8" t="n">
        <v>184930</v>
      </c>
      <c r="F14" s="8" t="n">
        <v>205774</v>
      </c>
      <c r="G14" s="8" t="n">
        <v>114137</v>
      </c>
      <c r="H14" s="8" t="n">
        <v>131801.91</v>
      </c>
      <c r="I14" s="8" t="n">
        <v>56471</v>
      </c>
      <c r="J14" s="8" t="n">
        <v>59545</v>
      </c>
      <c r="K14" s="8" t="n">
        <v>65100.54</v>
      </c>
      <c r="L14" s="8" t="n">
        <v>51401.31</v>
      </c>
      <c r="M14" s="8" t="n">
        <v>21531.7</v>
      </c>
      <c r="N14" s="11" t="n">
        <v>63633.63</v>
      </c>
      <c r="Q14" s="12" t="s">
        <v>26</v>
      </c>
      <c r="R14" s="8" t="n">
        <v>27572.833627575055</v>
      </c>
      <c r="S14" s="8" t="n">
        <v>44673.00763681388</v>
      </c>
      <c r="T14" s="8" t="n">
        <v>12115.707418754266</v>
      </c>
      <c r="U14" s="8" t="n">
        <v>198706.89260822014</v>
      </c>
      <c r="V14" s="8" t="n">
        <v>15793.182730424816</v>
      </c>
      <c r="W14" s="8" t="n">
        <v>141853.65022345164</v>
      </c>
      <c r="X14" s="8" t="n">
        <v>21760.426695582544</v>
      </c>
      <c r="Y14" s="8" t="n">
        <v>16066.010979602279</v>
      </c>
      <c r="Z14" s="8" t="n">
        <v>94949.05515902689</v>
      </c>
      <c r="AA14" s="8" t="n">
        <v>73292.77432894325</v>
      </c>
      <c r="AB14" s="8" t="n">
        <v>16933.727543032288</v>
      </c>
      <c r="AC14" s="11" t="n">
        <v>19638.83630385002</v>
      </c>
      <c r="AF14" s="12" t="s">
        <v>26</v>
      </c>
      <c r="AG14" s="8" t="n">
        <v>44183.59807971234</v>
      </c>
      <c r="AH14" s="8" t="n">
        <v>36393.463863734614</v>
      </c>
      <c r="AI14" s="8" t="n">
        <v>46510.039142550704</v>
      </c>
      <c r="AJ14" s="8" t="n">
        <v>54024.40364214078</v>
      </c>
      <c r="AK14" s="8" t="n">
        <v>57725.85771060269</v>
      </c>
      <c r="AL14" s="8" t="n">
        <v>46752.633786176055</v>
      </c>
      <c r="AM14" s="8" t="n">
        <v>55291.008906302464</v>
      </c>
      <c r="AN14" s="8" t="n">
        <v>30128.3964289742</v>
      </c>
      <c r="AO14" s="8" t="n">
        <v>69534.49457226682</v>
      </c>
      <c r="AP14" s="8" t="n">
        <v>23214.35844942218</v>
      </c>
      <c r="AQ14" s="8" t="n">
        <v>21795.27469917441</v>
      </c>
      <c r="AR14" s="11" t="n">
        <v>64259.88853744453</v>
      </c>
    </row>
    <row r="15" customFormat="false" ht="15.6" hidden="false" customHeight="false" outlineLevel="0" collapsed="false">
      <c r="B15" s="13" t="s">
        <v>27</v>
      </c>
      <c r="C15" s="14" t="n">
        <f aca="false">SUM(C4:C14)</f>
        <v>1996263</v>
      </c>
      <c r="D15" s="15" t="n">
        <f aca="false">SUM(D4:D14)</f>
        <v>1306490</v>
      </c>
      <c r="E15" s="15" t="n">
        <v>1983538</v>
      </c>
      <c r="F15" s="15" t="n">
        <v>1700663</v>
      </c>
      <c r="G15" s="15" t="n">
        <f aca="false">SUM(G4:G14)</f>
        <v>1375066</v>
      </c>
      <c r="H15" s="15" t="n">
        <v>2263178.57</v>
      </c>
      <c r="I15" s="15" t="n">
        <f aca="false">SUM(I4:I14)</f>
        <v>1162822</v>
      </c>
      <c r="J15" s="15" t="n">
        <f aca="false">SUM(J4:J14)</f>
        <v>1313284</v>
      </c>
      <c r="K15" s="15" t="n">
        <f aca="false">SUM(K4:K14)</f>
        <v>1607729.2</v>
      </c>
      <c r="L15" s="15" t="n">
        <f aca="false">SUM(L4:L14)</f>
        <v>871959.7</v>
      </c>
      <c r="M15" s="15" t="n">
        <v>1646931.56</v>
      </c>
      <c r="N15" s="16" t="n">
        <f aca="false">SUM(N4:N14)</f>
        <v>1810417.3</v>
      </c>
      <c r="Q15" s="13" t="s">
        <v>27</v>
      </c>
      <c r="R15" s="14" t="n">
        <f aca="false">SUM(R4:R14)</f>
        <v>809392.6662911242</v>
      </c>
      <c r="S15" s="15" t="n">
        <f aca="false">SUM(S4:S14)</f>
        <v>201656.9279888233</v>
      </c>
      <c r="T15" s="15" t="n">
        <v>2766829.829142968</v>
      </c>
      <c r="U15" s="15" t="n">
        <v>153529.6768167582</v>
      </c>
      <c r="V15" s="15" t="n">
        <f aca="false">SUM(V4:V14)</f>
        <v>1136244.2847149088</v>
      </c>
      <c r="W15" s="15" t="n">
        <v>2648910.082394668</v>
      </c>
      <c r="X15" s="15" t="n">
        <f aca="false">SUM(X4:X14)</f>
        <v>139913.2767735352</v>
      </c>
      <c r="Y15" s="15" t="n">
        <f aca="false">SUM(Y4:Y14)</f>
        <v>1353894.9589089542</v>
      </c>
      <c r="Z15" s="15" t="n">
        <f aca="false">SUM(Z4:Z14)</f>
        <v>1806762.4715269688</v>
      </c>
      <c r="AA15" s="15" t="n">
        <f aca="false">SUM(AA4:AA14)</f>
        <v>127611.41058625025</v>
      </c>
      <c r="AB15" s="15" t="n">
        <v>1583361.3003195187</v>
      </c>
      <c r="AC15" s="16" t="n">
        <f aca="false">SUM(AC4:AC14)</f>
        <v>2286712.03982719</v>
      </c>
      <c r="AF15" s="13" t="s">
        <v>27</v>
      </c>
      <c r="AG15" s="14" t="n">
        <f aca="false">SUM(AG4:AG14)</f>
        <v>1974474.158658357</v>
      </c>
      <c r="AH15" s="15" t="n">
        <f aca="false">SUM(AH4:AH14)</f>
        <v>1935098.787884572</v>
      </c>
      <c r="AI15" s="15" t="n">
        <v>1569366.6131002277</v>
      </c>
      <c r="AJ15" s="15" t="n">
        <v>541910.340134336</v>
      </c>
      <c r="AK15" s="15" t="n">
        <f aca="false">SUM(AK4:AK14)</f>
        <v>1236421.3300967426</v>
      </c>
      <c r="AL15" s="15" t="n">
        <v>3150733.4108879347</v>
      </c>
      <c r="AM15" s="15" t="n">
        <f aca="false">SUM(AM4:AM14)</f>
        <v>1442554.7756866566</v>
      </c>
      <c r="AN15" s="15" t="n">
        <f aca="false">SUM(AN4:AN14)</f>
        <v>1878901.1977432913</v>
      </c>
      <c r="AO15" s="15" t="n">
        <f aca="false">SUM(AO4:AO14)</f>
        <v>542027.9702108398</v>
      </c>
      <c r="AP15" s="15" t="n">
        <f aca="false">SUM(AP4:AP14)</f>
        <v>1138435.9096358523</v>
      </c>
      <c r="AQ15" s="15" t="n">
        <v>1816130.4532389685</v>
      </c>
      <c r="AR15" s="16" t="n">
        <f aca="false">SUM(AR4:AR14)</f>
        <v>398749.0827993546</v>
      </c>
    </row>
    <row r="16" customFormat="false" ht="15.6" hidden="false" customHeight="false" outlineLevel="0" collapsed="false">
      <c r="B16" s="17" t="s">
        <v>28</v>
      </c>
      <c r="C16" s="18" t="n">
        <v>201709</v>
      </c>
      <c r="D16" s="18" t="n">
        <v>149530</v>
      </c>
      <c r="E16" s="18" t="n">
        <v>250397</v>
      </c>
      <c r="F16" s="18" t="n">
        <v>152273</v>
      </c>
      <c r="G16" s="18" t="n">
        <v>181710</v>
      </c>
      <c r="H16" s="18" t="n">
        <v>169100</v>
      </c>
      <c r="I16" s="18" t="n">
        <v>147652.55</v>
      </c>
      <c r="J16" s="18" t="n">
        <v>183004.75</v>
      </c>
      <c r="K16" s="18" t="n">
        <v>104315.9</v>
      </c>
      <c r="L16" s="18" t="n">
        <v>164091</v>
      </c>
      <c r="M16" s="18" t="n">
        <v>154863.35</v>
      </c>
      <c r="N16" s="19" t="n">
        <v>140060.37</v>
      </c>
      <c r="Q16" s="17" t="s">
        <v>28</v>
      </c>
      <c r="R16" s="18" t="n">
        <v>262095.63363823976</v>
      </c>
      <c r="S16" s="18" t="n">
        <v>74536.98968631301</v>
      </c>
      <c r="T16" s="18" t="n">
        <v>71634.33252906453</v>
      </c>
      <c r="U16" s="18" t="n">
        <v>55276.29344939023</v>
      </c>
      <c r="V16" s="18" t="n">
        <v>190463.86111082605</v>
      </c>
      <c r="W16" s="18" t="n">
        <v>165803.35785163948</v>
      </c>
      <c r="X16" s="18" t="n">
        <v>161265.84030315233</v>
      </c>
      <c r="Y16" s="18" t="n">
        <v>235335.89818768564</v>
      </c>
      <c r="Z16" s="18" t="n">
        <v>90681.37427070987</v>
      </c>
      <c r="AA16" s="18" t="n">
        <v>181884.43150334756</v>
      </c>
      <c r="AB16" s="18" t="n">
        <v>52003.84592215136</v>
      </c>
      <c r="AC16" s="19" t="n">
        <v>177739.72132182453</v>
      </c>
      <c r="AF16" s="17" t="s">
        <v>28</v>
      </c>
      <c r="AG16" s="18" t="n">
        <v>32345.009429726997</v>
      </c>
      <c r="AH16" s="18" t="n">
        <v>184644.65431562634</v>
      </c>
      <c r="AI16" s="18" t="n">
        <v>207121.16879239716</v>
      </c>
      <c r="AJ16" s="18" t="n">
        <v>191889.23333551327</v>
      </c>
      <c r="AK16" s="18" t="n">
        <v>42427.52631072964</v>
      </c>
      <c r="AL16" s="18" t="n">
        <v>169104.54870471082</v>
      </c>
      <c r="AM16" s="18" t="n">
        <v>101870.64645287284</v>
      </c>
      <c r="AN16" s="18" t="n">
        <v>34373.064244931214</v>
      </c>
      <c r="AO16" s="18" t="n">
        <v>1569.4549893520898</v>
      </c>
      <c r="AP16" s="18" t="n">
        <v>11123.937669222807</v>
      </c>
      <c r="AQ16" s="18" t="n">
        <v>230713.09263881316</v>
      </c>
      <c r="AR16" s="19" t="n">
        <v>128348.61017963897</v>
      </c>
    </row>
    <row r="17" customFormat="false" ht="15.6" hidden="false" customHeight="false" outlineLevel="0" collapsed="false">
      <c r="B17" s="20" t="s">
        <v>28</v>
      </c>
      <c r="C17" s="21" t="n">
        <f aca="false">SUM(C16)</f>
        <v>201709</v>
      </c>
      <c r="D17" s="21" t="n">
        <f aca="false">SUM(D16)</f>
        <v>149530</v>
      </c>
      <c r="E17" s="21" t="n">
        <f aca="false">SUM(E16)</f>
        <v>250397</v>
      </c>
      <c r="F17" s="21" t="n">
        <f aca="false">SUM(F16)</f>
        <v>152273</v>
      </c>
      <c r="G17" s="21" t="n">
        <f aca="false">SUM(G16)</f>
        <v>181710</v>
      </c>
      <c r="H17" s="21" t="n">
        <f aca="false">SUM(H16)</f>
        <v>169100</v>
      </c>
      <c r="I17" s="21" t="n">
        <f aca="false">SUM(I16)</f>
        <v>147652.55</v>
      </c>
      <c r="J17" s="21" t="n">
        <f aca="false">SUM(J16)</f>
        <v>183004.75</v>
      </c>
      <c r="K17" s="21" t="n">
        <f aca="false">SUM(K16)</f>
        <v>104315.9</v>
      </c>
      <c r="L17" s="21" t="n">
        <f aca="false">SUM(L16)</f>
        <v>164091</v>
      </c>
      <c r="M17" s="21" t="n">
        <f aca="false">SUM(M16)</f>
        <v>154863.35</v>
      </c>
      <c r="N17" s="22" t="n">
        <f aca="false">SUM(N16)</f>
        <v>140060.37</v>
      </c>
      <c r="Q17" s="20" t="s">
        <v>28</v>
      </c>
      <c r="R17" s="21" t="n">
        <f aca="false">SUM(R16)</f>
        <v>102527.75893723588</v>
      </c>
      <c r="S17" s="21" t="n">
        <f aca="false">SUM(S16)</f>
        <v>52570.43778740733</v>
      </c>
      <c r="T17" s="21" t="n">
        <f aca="false">SUM(T16)</f>
        <v>273414.2344993166</v>
      </c>
      <c r="U17" s="21" t="n">
        <f aca="false">SUM(U16)</f>
        <v>5729.9082493441</v>
      </c>
      <c r="V17" s="21" t="n">
        <f aca="false">SUM(V16)</f>
        <v>213961.1570966593</v>
      </c>
      <c r="W17" s="21" t="n">
        <f aca="false">SUM(W16)</f>
        <v>31057.52046484266</v>
      </c>
      <c r="X17" s="21" t="n">
        <f aca="false">SUM(X16)</f>
        <v>69150.19768218957</v>
      </c>
      <c r="Y17" s="21" t="n">
        <f aca="false">SUM(Y16)</f>
        <v>231785.85459931855</v>
      </c>
      <c r="Z17" s="21" t="n">
        <f aca="false">SUM(Z16)</f>
        <v>110247.65388960391</v>
      </c>
      <c r="AA17" s="21" t="n">
        <f aca="false">SUM(AA16)</f>
        <v>24376.598227375598</v>
      </c>
      <c r="AB17" s="21" t="n">
        <f aca="false">SUM(AB16)</f>
        <v>217943.4004150161</v>
      </c>
      <c r="AC17" s="22" t="n">
        <f aca="false">SUM(AC16)</f>
        <v>4050.94032191076</v>
      </c>
      <c r="AF17" s="20" t="s">
        <v>28</v>
      </c>
      <c r="AG17" s="21" t="n">
        <f aca="false">SUM(AG16)</f>
        <v>265869.37847082806</v>
      </c>
      <c r="AH17" s="21" t="n">
        <f aca="false">SUM(AH16)</f>
        <v>27984.708317977624</v>
      </c>
      <c r="AI17" s="21" t="n">
        <f aca="false">SUM(AI16)</f>
        <v>367696.69251487404</v>
      </c>
      <c r="AJ17" s="21" t="n">
        <f aca="false">SUM(AJ16)</f>
        <v>99975.72749059291</v>
      </c>
      <c r="AK17" s="21" t="n">
        <f aca="false">SUM(AK16)</f>
        <v>92097.29813976218</v>
      </c>
      <c r="AL17" s="21" t="n">
        <f aca="false">SUM(AL16)</f>
        <v>178378.69440426677</v>
      </c>
      <c r="AM17" s="21" t="n">
        <f aca="false">SUM(AM16)</f>
        <v>70560.9570491993</v>
      </c>
      <c r="AN17" s="21" t="n">
        <f aca="false">SUM(AN16)</f>
        <v>43354.75402162165</v>
      </c>
      <c r="AO17" s="21" t="n">
        <f aca="false">SUM(AO16)</f>
        <v>3393.7824336454987</v>
      </c>
      <c r="AP17" s="21" t="n">
        <f aca="false">SUM(AP16)</f>
        <v>48936.97047128015</v>
      </c>
      <c r="AQ17" s="21" t="n">
        <f aca="false">SUM(AQ16)</f>
        <v>20641.660279044103</v>
      </c>
      <c r="AR17" s="22" t="n">
        <f aca="false">SUM(AR16)</f>
        <v>113643.76043294379</v>
      </c>
    </row>
    <row r="18" customFormat="false" ht="15.6" hidden="false" customHeight="false" outlineLevel="0" collapsed="false">
      <c r="B18" s="23" t="s">
        <v>29</v>
      </c>
      <c r="C18" s="8" t="n">
        <v>219956</v>
      </c>
      <c r="D18" s="8" t="n">
        <v>223896</v>
      </c>
      <c r="E18" s="8" t="n">
        <v>189841</v>
      </c>
      <c r="F18" s="8" t="n">
        <v>164369</v>
      </c>
      <c r="G18" s="8" t="n">
        <v>145853</v>
      </c>
      <c r="H18" s="8" t="n">
        <v>118086</v>
      </c>
      <c r="I18" s="8" t="n">
        <v>158757</v>
      </c>
      <c r="J18" s="8" t="n">
        <v>109944</v>
      </c>
      <c r="K18" s="8" t="n">
        <v>140895</v>
      </c>
      <c r="L18" s="8" t="n">
        <v>159717</v>
      </c>
      <c r="M18" s="8" t="n">
        <v>86458</v>
      </c>
      <c r="N18" s="8" t="n">
        <v>7120</v>
      </c>
      <c r="Q18" s="23" t="s">
        <v>29</v>
      </c>
      <c r="R18" s="8" t="n">
        <v>41167.61259322001</v>
      </c>
      <c r="S18" s="8" t="n">
        <v>41305.39148634993</v>
      </c>
      <c r="T18" s="8" t="n">
        <v>179077.3845633402</v>
      </c>
      <c r="U18" s="8" t="n">
        <v>24526.81800614909</v>
      </c>
      <c r="V18" s="8" t="n">
        <v>114305.45484424134</v>
      </c>
      <c r="W18" s="8" t="n">
        <v>1084.0833473847138</v>
      </c>
      <c r="X18" s="8" t="n">
        <v>148427.75487251263</v>
      </c>
      <c r="Y18" s="8" t="n">
        <v>140305.5540157428</v>
      </c>
      <c r="Z18" s="8" t="n">
        <v>2522.118829037517</v>
      </c>
      <c r="AA18" s="8" t="n">
        <v>63382.1040116667</v>
      </c>
      <c r="AB18" s="8" t="n">
        <v>28327.21727689041</v>
      </c>
      <c r="AC18" s="8" t="n">
        <v>9585.098279865293</v>
      </c>
      <c r="AF18" s="23" t="s">
        <v>29</v>
      </c>
      <c r="AG18" s="8" t="n">
        <v>274059.6594954446</v>
      </c>
      <c r="AH18" s="8" t="n">
        <v>231781.46454087208</v>
      </c>
      <c r="AI18" s="8" t="n">
        <v>166014.81457157474</v>
      </c>
      <c r="AJ18" s="8" t="n">
        <v>13042.39226446099</v>
      </c>
      <c r="AK18" s="8" t="n">
        <v>200779.90088910205</v>
      </c>
      <c r="AL18" s="8" t="n">
        <v>62157.64347871347</v>
      </c>
      <c r="AM18" s="8" t="n">
        <v>190326.46158564632</v>
      </c>
      <c r="AN18" s="8" t="n">
        <v>78756.47822843556</v>
      </c>
      <c r="AO18" s="8" t="n">
        <v>4909.337178360094</v>
      </c>
      <c r="AP18" s="8" t="n">
        <v>75745.43357538123</v>
      </c>
      <c r="AQ18" s="8" t="n">
        <v>97765.18473485525</v>
      </c>
      <c r="AR18" s="8" t="n">
        <v>1607.398153978148</v>
      </c>
    </row>
    <row r="19" customFormat="false" ht="15.6" hidden="false" customHeight="false" outlineLevel="0" collapsed="false">
      <c r="B19" s="23" t="s">
        <v>30</v>
      </c>
      <c r="C19" s="8" t="n">
        <v>345814</v>
      </c>
      <c r="D19" s="8" t="n">
        <v>123927</v>
      </c>
      <c r="E19" s="8" t="n">
        <v>349731</v>
      </c>
      <c r="F19" s="8" t="n">
        <v>176647</v>
      </c>
      <c r="G19" s="8" t="n">
        <v>115167</v>
      </c>
      <c r="H19" s="8" t="n">
        <v>231717</v>
      </c>
      <c r="I19" s="8" t="n">
        <v>207366</v>
      </c>
      <c r="J19" s="8" t="n">
        <v>326990</v>
      </c>
      <c r="K19" s="8" t="n">
        <v>217969</v>
      </c>
      <c r="L19" s="8" t="n">
        <v>380031</v>
      </c>
      <c r="M19" s="8" t="n">
        <v>242934</v>
      </c>
      <c r="N19" s="8" t="n">
        <v>310540</v>
      </c>
      <c r="Q19" s="23" t="s">
        <v>30</v>
      </c>
      <c r="R19" s="8" t="n">
        <v>346536.4744035213</v>
      </c>
      <c r="S19" s="8" t="n">
        <v>16325.16454583729</v>
      </c>
      <c r="T19" s="8" t="n">
        <v>27223.965894131936</v>
      </c>
      <c r="U19" s="8" t="n">
        <v>187650.55322005347</v>
      </c>
      <c r="V19" s="8" t="n">
        <v>42583.09607735775</v>
      </c>
      <c r="W19" s="8" t="n">
        <v>338453.7423106313</v>
      </c>
      <c r="X19" s="8" t="n">
        <v>285150.5678204676</v>
      </c>
      <c r="Y19" s="8" t="n">
        <v>26360.228217887492</v>
      </c>
      <c r="Z19" s="8" t="n">
        <v>47727.71084493711</v>
      </c>
      <c r="AA19" s="8" t="n">
        <v>392624.131713656</v>
      </c>
      <c r="AB19" s="8" t="n">
        <v>172705.3887279808</v>
      </c>
      <c r="AC19" s="8" t="n">
        <v>325071.8084986934</v>
      </c>
      <c r="AF19" s="23" t="s">
        <v>30</v>
      </c>
      <c r="AG19" s="8" t="n">
        <v>315308.6368313617</v>
      </c>
      <c r="AH19" s="8" t="n">
        <v>36738.21522076163</v>
      </c>
      <c r="AI19" s="8" t="n">
        <v>336494.4135786031</v>
      </c>
      <c r="AJ19" s="8" t="n">
        <v>57803.71799731379</v>
      </c>
      <c r="AK19" s="8" t="n">
        <v>80946.71439606557</v>
      </c>
      <c r="AL19" s="8" t="n">
        <v>63896.366188217915</v>
      </c>
      <c r="AM19" s="8" t="n">
        <v>192596.7290292303</v>
      </c>
      <c r="AN19" s="8" t="n">
        <v>424947.4966905089</v>
      </c>
      <c r="AO19" s="8" t="n">
        <v>237593.97432345024</v>
      </c>
      <c r="AP19" s="8" t="n">
        <v>55169.977341190686</v>
      </c>
      <c r="AQ19" s="8" t="n">
        <v>65086.141620368566</v>
      </c>
      <c r="AR19" s="8" t="n">
        <v>116913.57295366976</v>
      </c>
    </row>
    <row r="20" customFormat="false" ht="15.6" hidden="false" customHeight="false" outlineLevel="0" collapsed="false">
      <c r="B20" s="23" t="s">
        <v>31</v>
      </c>
      <c r="C20" s="8" t="n">
        <v>317730</v>
      </c>
      <c r="D20" s="8" t="n">
        <v>284002</v>
      </c>
      <c r="E20" s="8" t="n">
        <v>203209</v>
      </c>
      <c r="F20" s="8" t="n">
        <v>364334</v>
      </c>
      <c r="G20" s="8" t="n">
        <v>316787</v>
      </c>
      <c r="H20" s="8" t="n">
        <v>388038</v>
      </c>
      <c r="I20" s="8" t="n">
        <v>375941</v>
      </c>
      <c r="J20" s="8" t="n">
        <v>414623</v>
      </c>
      <c r="K20" s="8" t="n">
        <v>531135</v>
      </c>
      <c r="L20" s="8" t="n">
        <v>263596</v>
      </c>
      <c r="M20" s="8" t="n">
        <v>315728</v>
      </c>
      <c r="N20" s="8" t="n">
        <v>237915</v>
      </c>
      <c r="Q20" s="23" t="s">
        <v>31</v>
      </c>
      <c r="R20" s="8" t="n">
        <v>158988.80667746058</v>
      </c>
      <c r="S20" s="8" t="n">
        <v>100488.81872148497</v>
      </c>
      <c r="T20" s="8" t="n">
        <v>243115.5702369717</v>
      </c>
      <c r="U20" s="8" t="n">
        <v>341712.78623598046</v>
      </c>
      <c r="V20" s="8" t="n">
        <v>121154.43605543916</v>
      </c>
      <c r="W20" s="8" t="n">
        <v>481104.69379919855</v>
      </c>
      <c r="X20" s="8" t="n">
        <v>538683.7668827013</v>
      </c>
      <c r="Y20" s="8" t="n">
        <v>60743.53949549448</v>
      </c>
      <c r="Z20" s="8" t="n">
        <v>639188.9881199128</v>
      </c>
      <c r="AA20" s="8" t="n">
        <v>6293.357517112665</v>
      </c>
      <c r="AB20" s="8" t="n">
        <v>144031.31550310648</v>
      </c>
      <c r="AC20" s="8" t="n">
        <v>124791.92777001752</v>
      </c>
      <c r="AF20" s="23" t="s">
        <v>31</v>
      </c>
      <c r="AG20" s="8" t="n">
        <v>46906.67952134433</v>
      </c>
      <c r="AH20" s="8" t="n">
        <v>234878.35901715115</v>
      </c>
      <c r="AI20" s="8" t="n">
        <v>50481.05800616789</v>
      </c>
      <c r="AJ20" s="8" t="n">
        <v>341970.48725305236</v>
      </c>
      <c r="AK20" s="8" t="n">
        <v>221692.58865577786</v>
      </c>
      <c r="AL20" s="8" t="n">
        <v>153239.0766968383</v>
      </c>
      <c r="AM20" s="8" t="n">
        <v>66137.15197316221</v>
      </c>
      <c r="AN20" s="8" t="n">
        <v>547764.4600381203</v>
      </c>
      <c r="AO20" s="8" t="n">
        <v>243229.6337524551</v>
      </c>
      <c r="AP20" s="8" t="n">
        <v>25126.573376977314</v>
      </c>
      <c r="AQ20" s="8" t="n">
        <v>85457.34673761817</v>
      </c>
      <c r="AR20" s="8" t="n">
        <v>145577.83043864838</v>
      </c>
    </row>
    <row r="21" customFormat="false" ht="15.6" hidden="false" customHeight="false" outlineLevel="0" collapsed="false">
      <c r="B21" s="23" t="s">
        <v>32</v>
      </c>
      <c r="C21" s="8" t="n">
        <v>43389</v>
      </c>
      <c r="D21" s="8" t="n">
        <v>31815</v>
      </c>
      <c r="E21" s="8" t="n">
        <v>31094</v>
      </c>
      <c r="F21" s="8" t="n">
        <v>26534</v>
      </c>
      <c r="G21" s="8" t="n">
        <v>16468</v>
      </c>
      <c r="H21" s="8" t="n">
        <v>27021</v>
      </c>
      <c r="I21" s="8" t="n">
        <v>33635</v>
      </c>
      <c r="J21" s="8" t="n">
        <v>17600</v>
      </c>
      <c r="K21" s="8" t="n">
        <v>18554</v>
      </c>
      <c r="L21" s="8" t="n">
        <v>40584</v>
      </c>
      <c r="M21" s="8" t="n">
        <v>29150</v>
      </c>
      <c r="N21" s="8" t="n">
        <v>22449</v>
      </c>
      <c r="Q21" s="23" t="s">
        <v>32</v>
      </c>
      <c r="R21" s="8" t="n">
        <v>5535.303839031214</v>
      </c>
      <c r="S21" s="8" t="n">
        <v>4966.654649759883</v>
      </c>
      <c r="T21" s="8" t="n">
        <v>5107.162051639336</v>
      </c>
      <c r="U21" s="8" t="n">
        <v>28529.605112567016</v>
      </c>
      <c r="V21" s="8" t="n">
        <v>4610.607858877143</v>
      </c>
      <c r="W21" s="8" t="n">
        <v>6538.194963214566</v>
      </c>
      <c r="X21" s="8" t="n">
        <v>24154.006639528816</v>
      </c>
      <c r="Y21" s="8" t="n">
        <v>14533.390064820918</v>
      </c>
      <c r="Z21" s="8" t="n">
        <v>18102.727769366327</v>
      </c>
      <c r="AA21" s="8" t="n">
        <v>52601.0115587229</v>
      </c>
      <c r="AB21" s="8" t="n">
        <v>16293.073111602556</v>
      </c>
      <c r="AC21" s="8" t="n">
        <v>33204.51561746198</v>
      </c>
      <c r="AF21" s="23" t="s">
        <v>32</v>
      </c>
      <c r="AG21" s="8" t="n">
        <v>7097.056746415313</v>
      </c>
      <c r="AH21" s="8" t="n">
        <v>41816.368781988116</v>
      </c>
      <c r="AI21" s="8" t="n">
        <v>32361.671153906802</v>
      </c>
      <c r="AJ21" s="8" t="n">
        <v>38527.59593915012</v>
      </c>
      <c r="AK21" s="8" t="n">
        <v>23799.479075081414</v>
      </c>
      <c r="AL21" s="8" t="n">
        <v>32458.26217131396</v>
      </c>
      <c r="AM21" s="8" t="n">
        <v>46189.86769293</v>
      </c>
      <c r="AN21" s="8" t="n">
        <v>8501.716886979166</v>
      </c>
      <c r="AO21" s="8" t="n">
        <v>20704.186949658793</v>
      </c>
      <c r="AP21" s="8" t="n">
        <v>46968.36923332092</v>
      </c>
      <c r="AQ21" s="8" t="n">
        <v>3381.8292658299897</v>
      </c>
      <c r="AR21" s="8" t="n">
        <v>22177.483355256598</v>
      </c>
    </row>
    <row r="22" customFormat="false" ht="15.6" hidden="false" customHeight="false" outlineLevel="0" collapsed="false">
      <c r="B22" s="23" t="s">
        <v>33</v>
      </c>
      <c r="C22" s="8" t="n">
        <v>74076</v>
      </c>
      <c r="D22" s="8" t="n">
        <v>45631</v>
      </c>
      <c r="E22" s="8" t="n">
        <v>64602</v>
      </c>
      <c r="F22" s="8" t="n">
        <v>58295</v>
      </c>
      <c r="G22" s="8" t="n">
        <v>31469</v>
      </c>
      <c r="H22" s="8" t="n">
        <v>43268</v>
      </c>
      <c r="I22" s="8" t="n">
        <v>101752</v>
      </c>
      <c r="J22" s="8" t="n">
        <v>35233</v>
      </c>
      <c r="K22" s="8" t="n">
        <v>40266</v>
      </c>
      <c r="L22" s="8" t="n">
        <v>61068</v>
      </c>
      <c r="M22" s="8" t="n">
        <v>52456</v>
      </c>
      <c r="N22" s="8" t="n">
        <v>41662</v>
      </c>
      <c r="Q22" s="23" t="s">
        <v>33</v>
      </c>
      <c r="R22" s="8" t="n">
        <v>66424.84728284819</v>
      </c>
      <c r="S22" s="8" t="n">
        <v>3166.0495390775995</v>
      </c>
      <c r="T22" s="8" t="n">
        <v>59936.86902343187</v>
      </c>
      <c r="U22" s="8" t="n">
        <v>73890.11511595044</v>
      </c>
      <c r="V22" s="8" t="n">
        <v>18770.9841576929</v>
      </c>
      <c r="W22" s="8" t="n">
        <v>6644.854345071453</v>
      </c>
      <c r="X22" s="8" t="n">
        <v>119577.71751553948</v>
      </c>
      <c r="Y22" s="8" t="n">
        <v>30035.180809380625</v>
      </c>
      <c r="Z22" s="8" t="n">
        <v>46639.4390959424</v>
      </c>
      <c r="AA22" s="8" t="n">
        <v>64817.1770276967</v>
      </c>
      <c r="AB22" s="8" t="n">
        <v>41830.09790258985</v>
      </c>
      <c r="AC22" s="8" t="n">
        <v>38013.51464217558</v>
      </c>
      <c r="AF22" s="23" t="s">
        <v>33</v>
      </c>
      <c r="AG22" s="8" t="n">
        <v>51301.34160732068</v>
      </c>
      <c r="AH22" s="8" t="n">
        <v>9130.370311020799</v>
      </c>
      <c r="AI22" s="8" t="n">
        <v>32921.697021557404</v>
      </c>
      <c r="AJ22" s="8" t="n">
        <v>52258.03733959276</v>
      </c>
      <c r="AK22" s="8" t="n">
        <v>13028.401010933727</v>
      </c>
      <c r="AL22" s="8" t="n">
        <v>51947.243165590844</v>
      </c>
      <c r="AM22" s="8" t="n">
        <v>17826.207137216785</v>
      </c>
      <c r="AN22" s="8" t="n">
        <v>52099.0267729874</v>
      </c>
      <c r="AO22" s="8" t="n">
        <v>18212.875449894036</v>
      </c>
      <c r="AP22" s="8" t="n">
        <v>78945.89060888282</v>
      </c>
      <c r="AQ22" s="8" t="n">
        <v>7284.29284821408</v>
      </c>
      <c r="AR22" s="8" t="n">
        <v>43827.242678529816</v>
      </c>
    </row>
    <row r="23" customFormat="false" ht="15.6" hidden="false" customHeight="false" outlineLevel="0" collapsed="false">
      <c r="B23" s="23" t="s">
        <v>34</v>
      </c>
      <c r="C23" s="8" t="n">
        <v>40065</v>
      </c>
      <c r="D23" s="8"/>
      <c r="E23" s="8" t="n">
        <v>3848</v>
      </c>
      <c r="F23" s="8" t="n">
        <v>30990</v>
      </c>
      <c r="G23" s="8" t="n">
        <v>15486</v>
      </c>
      <c r="H23" s="8" t="n">
        <v>2195</v>
      </c>
      <c r="I23" s="8" t="n">
        <v>912</v>
      </c>
      <c r="J23" s="8" t="n">
        <v>0</v>
      </c>
      <c r="K23" s="8" t="n">
        <v>1386</v>
      </c>
      <c r="L23" s="8" t="n">
        <v>434</v>
      </c>
      <c r="M23" s="8" t="n">
        <v>39544</v>
      </c>
      <c r="N23" s="8" t="n">
        <v>0</v>
      </c>
      <c r="Q23" s="23" t="s">
        <v>34</v>
      </c>
      <c r="R23" s="8" t="n">
        <v>51728.02406156778</v>
      </c>
      <c r="S23" s="8"/>
      <c r="T23" s="8" t="n">
        <v>1181.8724968681092</v>
      </c>
      <c r="U23" s="8" t="n">
        <v>39986.18385507576</v>
      </c>
      <c r="V23" s="8" t="n">
        <v>6169.731060406759</v>
      </c>
      <c r="W23" s="8" t="n">
        <v>1818.7434943654005</v>
      </c>
      <c r="X23" s="8" t="n">
        <v>189.9143807731246</v>
      </c>
      <c r="Y23" s="8" t="n">
        <v>0.0</v>
      </c>
      <c r="Z23" s="8" t="n">
        <v>1486.9276552465808</v>
      </c>
      <c r="AA23" s="8" t="n">
        <v>208.31875270701005</v>
      </c>
      <c r="AB23" s="8" t="n">
        <v>7346.360123393739</v>
      </c>
      <c r="AC23" s="8" t="n">
        <v>0.0</v>
      </c>
      <c r="AF23" s="23" t="s">
        <v>34</v>
      </c>
      <c r="AG23" s="8" t="n">
        <v>16534.534096752257</v>
      </c>
      <c r="AH23" s="8"/>
      <c r="AI23" s="8" t="n">
        <v>5009.10366454696</v>
      </c>
      <c r="AJ23" s="8" t="n">
        <v>38158.18295845566</v>
      </c>
      <c r="AK23" s="8" t="n">
        <v>11987.006389106717</v>
      </c>
      <c r="AL23" s="8" t="n">
        <v>414.4508472929839</v>
      </c>
      <c r="AM23" s="8" t="n">
        <v>631.1428558803551</v>
      </c>
      <c r="AN23" s="8" t="n">
        <v>0.0</v>
      </c>
      <c r="AO23" s="8" t="n">
        <v>1371.9409692358643</v>
      </c>
      <c r="AP23" s="8" t="n">
        <v>75.29545874024272</v>
      </c>
      <c r="AQ23" s="8" t="n">
        <v>25129.605961276495</v>
      </c>
      <c r="AR23" s="8" t="n">
        <v>0.0</v>
      </c>
    </row>
    <row r="24" customFormat="false" ht="15.6" hidden="false" customHeight="false" outlineLevel="0" collapsed="false">
      <c r="B24" s="23" t="s">
        <v>35</v>
      </c>
      <c r="C24" s="8" t="n">
        <v>138009</v>
      </c>
      <c r="D24" s="8" t="n">
        <v>146659</v>
      </c>
      <c r="E24" s="8" t="n">
        <v>74672</v>
      </c>
      <c r="F24" s="8" t="n">
        <v>108098</v>
      </c>
      <c r="G24" s="8" t="n">
        <v>83854</v>
      </c>
      <c r="H24" s="8" t="n">
        <v>53686</v>
      </c>
      <c r="I24" s="8" t="n">
        <v>88758</v>
      </c>
      <c r="J24" s="8" t="n">
        <v>39425</v>
      </c>
      <c r="K24" s="8" t="n">
        <v>115593</v>
      </c>
      <c r="L24" s="8" t="n">
        <v>115582</v>
      </c>
      <c r="M24" s="8" t="n">
        <v>150941</v>
      </c>
      <c r="N24" s="8" t="n">
        <v>62958</v>
      </c>
      <c r="Q24" s="23" t="s">
        <v>35</v>
      </c>
      <c r="R24" s="8" t="n">
        <v>202043.2060611444</v>
      </c>
      <c r="S24" s="8" t="n">
        <v>152113.8844849395</v>
      </c>
      <c r="T24" s="8" t="n">
        <v>51620.693123375146</v>
      </c>
      <c r="U24" s="8" t="n">
        <v>53901.198179625564</v>
      </c>
      <c r="V24" s="8" t="n">
        <v>96789.4212049086</v>
      </c>
      <c r="W24" s="8" t="n">
        <v>58884.42677438819</v>
      </c>
      <c r="X24" s="8" t="n">
        <v>29035.011897797947</v>
      </c>
      <c r="Y24" s="8" t="n">
        <v>40086.23057406725</v>
      </c>
      <c r="Z24" s="8" t="n">
        <v>133778.68556197797</v>
      </c>
      <c r="AA24" s="8" t="n">
        <v>17208.864984362484</v>
      </c>
      <c r="AB24" s="8" t="n">
        <v>87492.4030001826</v>
      </c>
      <c r="AC24" s="8" t="n">
        <v>34303.305187423706</v>
      </c>
      <c r="AF24" s="23" t="s">
        <v>35</v>
      </c>
      <c r="AG24" s="8" t="n">
        <v>127589.51189948937</v>
      </c>
      <c r="AH24" s="8" t="n">
        <v>44674.190890973434</v>
      </c>
      <c r="AI24" s="8" t="n">
        <v>38310.1626812091</v>
      </c>
      <c r="AJ24" s="8" t="n">
        <v>115305.31142701428</v>
      </c>
      <c r="AK24" s="8" t="n">
        <v>64845.36947837439</v>
      </c>
      <c r="AL24" s="8" t="n">
        <v>29881.444734994402</v>
      </c>
      <c r="AM24" s="8" t="n">
        <v>21206.622320889823</v>
      </c>
      <c r="AN24" s="8" t="n">
        <v>14334.377986907572</v>
      </c>
      <c r="AO24" s="8" t="n">
        <v>51036.553618303275</v>
      </c>
      <c r="AP24" s="8" t="n">
        <v>163915.23080599925</v>
      </c>
      <c r="AQ24" s="8" t="n">
        <v>10209.437464427825</v>
      </c>
      <c r="AR24" s="8" t="n">
        <v>87092.56028669573</v>
      </c>
    </row>
    <row r="25" customFormat="false" ht="15.6" hidden="false" customHeight="false" outlineLevel="0" collapsed="false">
      <c r="B25" s="24" t="s">
        <v>36</v>
      </c>
      <c r="C25" s="25" t="n">
        <v>85639</v>
      </c>
      <c r="D25" s="25" t="n">
        <v>63757</v>
      </c>
      <c r="E25" s="25" t="n">
        <v>25195</v>
      </c>
      <c r="F25" s="25" t="n">
        <v>45175</v>
      </c>
      <c r="G25" s="25" t="n">
        <v>83890</v>
      </c>
      <c r="H25" s="25" t="n">
        <v>109286</v>
      </c>
      <c r="I25" s="25" t="n">
        <v>113722</v>
      </c>
      <c r="J25" s="25" t="n">
        <v>99407</v>
      </c>
      <c r="K25" s="25" t="n">
        <v>90702</v>
      </c>
      <c r="L25" s="25" t="n">
        <v>108988</v>
      </c>
      <c r="M25" s="25" t="n">
        <v>28265</v>
      </c>
      <c r="N25" s="26" t="n">
        <v>60317</v>
      </c>
      <c r="Q25" s="24" t="s">
        <v>36</v>
      </c>
      <c r="R25" s="25" t="n">
        <v>21240.219234424538</v>
      </c>
      <c r="S25" s="25" t="n">
        <v>76404.21590621791</v>
      </c>
      <c r="T25" s="25" t="n">
        <v>32490.671020261274</v>
      </c>
      <c r="U25" s="25" t="n">
        <v>41421.652410427225</v>
      </c>
      <c r="V25" s="25" t="n">
        <v>124079.45434694385</v>
      </c>
      <c r="W25" s="25" t="n">
        <v>120302.42231258067</v>
      </c>
      <c r="X25" s="25" t="n">
        <v>127207.42623819668</v>
      </c>
      <c r="Y25" s="25" t="n">
        <v>52533.915680214406</v>
      </c>
      <c r="Z25" s="25" t="n">
        <v>37366.95542135851</v>
      </c>
      <c r="AA25" s="25" t="n">
        <v>15790.084928172779</v>
      </c>
      <c r="AB25" s="25" t="n">
        <v>35077.611398193774</v>
      </c>
      <c r="AC25" s="26" t="n">
        <v>84637.98774342836</v>
      </c>
      <c r="AF25" s="24" t="s">
        <v>36</v>
      </c>
      <c r="AG25" s="25" t="n">
        <v>125766.88348326652</v>
      </c>
      <c r="AH25" s="25" t="n">
        <v>42479.51210378536</v>
      </c>
      <c r="AI25" s="25" t="n">
        <v>9895.232840988834</v>
      </c>
      <c r="AJ25" s="25" t="n">
        <v>23894.97942515821</v>
      </c>
      <c r="AK25" s="25" t="n">
        <v>79909.65796469737</v>
      </c>
      <c r="AL25" s="25" t="n">
        <v>50911.849566687306</v>
      </c>
      <c r="AM25" s="25" t="n">
        <v>140912.53364981397</v>
      </c>
      <c r="AN25" s="25" t="n">
        <v>136335.37775590544</v>
      </c>
      <c r="AO25" s="25" t="n">
        <v>93344.27816245056</v>
      </c>
      <c r="AP25" s="25" t="n">
        <v>145744.06238402132</v>
      </c>
      <c r="AQ25" s="25" t="n">
        <v>1337.5266922618027</v>
      </c>
      <c r="AR25" s="26" t="n">
        <v>40006.336541173936</v>
      </c>
    </row>
    <row r="26" customFormat="false" ht="15.6" hidden="false" customHeight="false" outlineLevel="0" collapsed="false">
      <c r="B26" s="27" t="s">
        <v>37</v>
      </c>
      <c r="C26" s="28" t="n">
        <f aca="false">SUM(C18:C25)</f>
        <v>1264678</v>
      </c>
      <c r="D26" s="29" t="n">
        <f aca="false">SUM(D18:D25)</f>
        <v>919687</v>
      </c>
      <c r="E26" s="29" t="n">
        <f aca="false">SUM(E18:E25)</f>
        <v>942192</v>
      </c>
      <c r="F26" s="29" t="n">
        <f aca="false">SUM(F18:F25)</f>
        <v>974442</v>
      </c>
      <c r="G26" s="29" t="n">
        <f aca="false">SUM(G18:G25)</f>
        <v>808974</v>
      </c>
      <c r="H26" s="29" t="n">
        <f aca="false">SUM(H18:H25)</f>
        <v>973297</v>
      </c>
      <c r="I26" s="29" t="n">
        <f aca="false">SUM(I18:I25)</f>
        <v>1080843</v>
      </c>
      <c r="J26" s="29" t="n">
        <f aca="false">SUM(J18:J25)</f>
        <v>1043222</v>
      </c>
      <c r="K26" s="29" t="n">
        <f aca="false">SUM(K18:K25)</f>
        <v>1156500</v>
      </c>
      <c r="L26" s="29" t="n">
        <f aca="false">SUM(L18:L25)</f>
        <v>1130000</v>
      </c>
      <c r="M26" s="29" t="n">
        <f aca="false">SUM(M18:M25)</f>
        <v>945476</v>
      </c>
      <c r="N26" s="29" t="n">
        <f aca="false">SUM(N18:N25)</f>
        <v>742961</v>
      </c>
      <c r="Q26" s="27" t="s">
        <v>37</v>
      </c>
      <c r="R26" s="28" t="n">
        <f aca="false">SUM(R18:R25)</f>
        <v>341386.71148667723</v>
      </c>
      <c r="S26" s="29" t="n">
        <f aca="false">SUM(S18:S25)</f>
        <v>1229923.5073728263</v>
      </c>
      <c r="T26" s="29" t="n">
        <f aca="false">SUM(T18:T25)</f>
        <v>1251818.4598193653</v>
      </c>
      <c r="U26" s="29" t="n">
        <f aca="false">SUM(U18:U25)</f>
        <v>1018664.3516574143</v>
      </c>
      <c r="V26" s="29" t="n">
        <f aca="false">SUM(V18:V25)</f>
        <v>896046.3287073898</v>
      </c>
      <c r="W26" s="29" t="n">
        <f aca="false">SUM(W18:W25)</f>
        <v>1408249.7344180099</v>
      </c>
      <c r="X26" s="29" t="n">
        <f aca="false">SUM(X18:X25)</f>
        <v>488096.8449178646</v>
      </c>
      <c r="Y26" s="29" t="n">
        <f aca="false">SUM(Y18:Y25)</f>
        <v>935673.3521022934</v>
      </c>
      <c r="Z26" s="29" t="n">
        <f aca="false">SUM(Z18:Z25)</f>
        <v>876923.3160552414</v>
      </c>
      <c r="AA26" s="29" t="n">
        <f aca="false">SUM(AA18:AA25)</f>
        <v>1626788.8192091866</v>
      </c>
      <c r="AB26" s="29" t="n">
        <f aca="false">SUM(AB18:AB25)</f>
        <v>703257.9651780052</v>
      </c>
      <c r="AC26" s="29" t="n">
        <f aca="false">SUM(AC18:AC25)</f>
        <v>436268.0111709761</v>
      </c>
      <c r="AF26" s="27" t="s">
        <v>37</v>
      </c>
      <c r="AG26" s="28" t="n">
        <f aca="false">SUM(AG18:AG25)</f>
        <v>854522.6104881089</v>
      </c>
      <c r="AH26" s="29" t="n">
        <f aca="false">SUM(AH18:AH25)</f>
        <v>244947.56099026013</v>
      </c>
      <c r="AI26" s="29" t="n">
        <f aca="false">SUM(AI18:AI25)</f>
        <v>873771.4136126427</v>
      </c>
      <c r="AJ26" s="29" t="n">
        <f aca="false">SUM(AJ18:AJ25)</f>
        <v>1350068.933941106</v>
      </c>
      <c r="AK26" s="29" t="n">
        <f aca="false">SUM(AK18:AK25)</f>
        <v>555003.6000722636</v>
      </c>
      <c r="AL26" s="29" t="n">
        <f aca="false">SUM(AL18:AL25)</f>
        <v>629891.08316201</v>
      </c>
      <c r="AM26" s="29" t="n">
        <f aca="false">SUM(AM18:AM25)</f>
        <v>814499.2270064291</v>
      </c>
      <c r="AN26" s="29" t="n">
        <f aca="false">SUM(AN18:AN25)</f>
        <v>465287.61147473915</v>
      </c>
      <c r="AO26" s="29" t="n">
        <f aca="false">SUM(AO18:AO25)</f>
        <v>894863.6398886334</v>
      </c>
      <c r="AP26" s="29" t="n">
        <f aca="false">SUM(AP18:AP25)</f>
        <v>1152478.816685815</v>
      </c>
      <c r="AQ26" s="29" t="n">
        <f aca="false">SUM(AQ18:AQ25)</f>
        <v>721951.90942329</v>
      </c>
      <c r="AR26" s="29" t="n">
        <f aca="false">SUM(AR18:AR25)</f>
        <v>454823.61326481774</v>
      </c>
    </row>
    <row r="27" customFormat="false" ht="15.6" hidden="false" customHeight="false" outlineLevel="0" collapsed="false">
      <c r="B27" s="27" t="s">
        <v>38</v>
      </c>
      <c r="C27" s="28" t="n">
        <v>145968</v>
      </c>
      <c r="D27" s="29" t="n">
        <v>141237</v>
      </c>
      <c r="E27" s="29" t="n">
        <v>199314</v>
      </c>
      <c r="F27" s="29" t="n">
        <v>133002</v>
      </c>
      <c r="G27" s="29" t="n">
        <v>158744</v>
      </c>
      <c r="H27" s="29" t="n">
        <v>172102</v>
      </c>
      <c r="I27" s="29" t="n">
        <v>231425</v>
      </c>
      <c r="J27" s="29" t="n">
        <v>147371</v>
      </c>
      <c r="K27" s="29" t="n">
        <v>276998</v>
      </c>
      <c r="L27" s="29" t="n">
        <v>301453</v>
      </c>
      <c r="M27" s="29" t="n">
        <v>374180</v>
      </c>
      <c r="N27" s="29" t="n">
        <v>571433</v>
      </c>
      <c r="Q27" s="27" t="s">
        <v>38</v>
      </c>
      <c r="R27" s="28" t="n">
        <v>159720.30744944912</v>
      </c>
      <c r="S27" s="29" t="n">
        <v>192009.73700259812</v>
      </c>
      <c r="T27" s="29" t="n">
        <v>251651.48443104606</v>
      </c>
      <c r="U27" s="29" t="n">
        <v>171801.81415682327</v>
      </c>
      <c r="V27" s="29" t="n">
        <v>67889.29598418447</v>
      </c>
      <c r="W27" s="29" t="n">
        <v>253163.41014401458</v>
      </c>
      <c r="X27" s="29" t="n">
        <v>104560.77368823603</v>
      </c>
      <c r="Y27" s="29" t="n">
        <v>33675.52649440917</v>
      </c>
      <c r="Z27" s="29" t="n">
        <v>139738.4171057523</v>
      </c>
      <c r="AA27" s="29" t="n">
        <v>111370.3308832169</v>
      </c>
      <c r="AB27" s="29" t="n">
        <v>74620.91782747793</v>
      </c>
      <c r="AC27" s="29" t="n">
        <v>530160.4241398767</v>
      </c>
      <c r="AF27" s="27" t="s">
        <v>38</v>
      </c>
      <c r="AG27" s="28" t="n">
        <v>156765.48410246248</v>
      </c>
      <c r="AH27" s="29" t="n">
        <v>72782.36039434453</v>
      </c>
      <c r="AI27" s="29" t="n">
        <v>107482.6344912151</v>
      </c>
      <c r="AJ27" s="29" t="n">
        <v>130346.21173798961</v>
      </c>
      <c r="AK27" s="29" t="n">
        <v>210396.25582457602</v>
      </c>
      <c r="AL27" s="29" t="n">
        <v>16459.888264252084</v>
      </c>
      <c r="AM27" s="29" t="n">
        <v>3549.6957976246727</v>
      </c>
      <c r="AN27" s="29" t="n">
        <v>117882.08273835025</v>
      </c>
      <c r="AO27" s="29" t="n">
        <v>201185.44901474265</v>
      </c>
      <c r="AP27" s="29" t="n">
        <v>339919.0001197108</v>
      </c>
      <c r="AQ27" s="29" t="n">
        <v>22159.5687719241</v>
      </c>
      <c r="AR27" s="29" t="n">
        <v>162896.51250819798</v>
      </c>
    </row>
    <row r="28" customFormat="false" ht="15.6" hidden="false" customHeight="false" outlineLevel="0" collapsed="false">
      <c r="B28" s="23" t="s">
        <v>39</v>
      </c>
      <c r="C28" s="8" t="n">
        <v>887757</v>
      </c>
      <c r="D28" s="8" t="n">
        <v>389203</v>
      </c>
      <c r="E28" s="8" t="n">
        <v>340537</v>
      </c>
      <c r="F28" s="8" t="n">
        <v>323926</v>
      </c>
      <c r="G28" s="8" t="n">
        <v>332313</v>
      </c>
      <c r="H28" s="8" t="n">
        <v>337120</v>
      </c>
      <c r="I28" s="8" t="n">
        <v>341343</v>
      </c>
      <c r="J28" s="8" t="n">
        <v>443107</v>
      </c>
      <c r="K28" s="8" t="n">
        <v>250616</v>
      </c>
      <c r="L28" s="8" t="n">
        <v>295489</v>
      </c>
      <c r="M28" s="8" t="n">
        <v>680625</v>
      </c>
      <c r="N28" s="8" t="n">
        <v>88193</v>
      </c>
      <c r="Q28" s="23" t="s">
        <v>39</v>
      </c>
      <c r="R28" s="8" t="n">
        <v>606.0751843684333</v>
      </c>
      <c r="S28" s="8" t="n">
        <v>139135.57298251597</v>
      </c>
      <c r="T28" s="8" t="n">
        <v>470729.424880371</v>
      </c>
      <c r="U28" s="8" t="n">
        <v>224082.59874623953</v>
      </c>
      <c r="V28" s="8" t="n">
        <v>193903.98208033477</v>
      </c>
      <c r="W28" s="8" t="n">
        <v>347432.83977011906</v>
      </c>
      <c r="X28" s="8" t="n">
        <v>162622.38103673476</v>
      </c>
      <c r="Y28" s="8" t="n">
        <v>86596.6056516616</v>
      </c>
      <c r="Z28" s="8" t="n">
        <v>17184.27829935454</v>
      </c>
      <c r="AA28" s="8" t="n">
        <v>201922.90784252202</v>
      </c>
      <c r="AB28" s="8" t="n">
        <v>361271.2773400725</v>
      </c>
      <c r="AC28" s="8" t="n">
        <v>57768.020725313516</v>
      </c>
      <c r="AF28" s="23" t="s">
        <v>39</v>
      </c>
      <c r="AG28" s="8" t="n">
        <v>302161.3851075347</v>
      </c>
      <c r="AH28" s="8" t="n">
        <v>208447.6036409579</v>
      </c>
      <c r="AI28" s="8" t="n">
        <v>257953.53582126484</v>
      </c>
      <c r="AJ28" s="8" t="n">
        <v>371527.5542555957</v>
      </c>
      <c r="AK28" s="8" t="n">
        <v>104796.4022762867</v>
      </c>
      <c r="AL28" s="8" t="n">
        <v>303236.30728904187</v>
      </c>
      <c r="AM28" s="8" t="n">
        <v>62604.08410329092</v>
      </c>
      <c r="AN28" s="8" t="n">
        <v>419694.5770102083</v>
      </c>
      <c r="AO28" s="8" t="n">
        <v>89128.6900984276</v>
      </c>
      <c r="AP28" s="8" t="n">
        <v>137439.26248551265</v>
      </c>
      <c r="AQ28" s="8" t="n">
        <v>499187.95694423787</v>
      </c>
      <c r="AR28" s="8" t="n">
        <v>88201.25005666267</v>
      </c>
    </row>
    <row r="29" customFormat="false" ht="15.6" hidden="false" customHeight="false" outlineLevel="0" collapsed="false">
      <c r="B29" s="23" t="s">
        <v>40</v>
      </c>
      <c r="C29" s="8" t="n">
        <v>159747</v>
      </c>
      <c r="D29" s="8" t="n">
        <v>98888</v>
      </c>
      <c r="E29" s="8" t="n">
        <v>414187</v>
      </c>
      <c r="F29" s="8" t="n">
        <v>210233</v>
      </c>
      <c r="G29" s="8" t="n">
        <v>67162</v>
      </c>
      <c r="H29" s="8" t="n">
        <v>293277</v>
      </c>
      <c r="I29" s="8" t="n">
        <v>261751</v>
      </c>
      <c r="J29" s="8" t="n">
        <v>182292</v>
      </c>
      <c r="K29" s="8" t="n">
        <v>579543</v>
      </c>
      <c r="L29" s="8" t="n">
        <v>559091</v>
      </c>
      <c r="M29" s="8" t="n">
        <v>477908</v>
      </c>
      <c r="N29" s="8" t="n">
        <v>84658</v>
      </c>
      <c r="Q29" s="23" t="s">
        <v>40</v>
      </c>
      <c r="R29" s="8" t="n">
        <v>11868.550788103215</v>
      </c>
      <c r="S29" s="8" t="n">
        <v>47083.34919097947</v>
      </c>
      <c r="T29" s="8" t="n">
        <v>482232.9820759729</v>
      </c>
      <c r="U29" s="8" t="n">
        <v>123181.49071202854</v>
      </c>
      <c r="V29" s="8" t="n">
        <v>17664.78938610966</v>
      </c>
      <c r="W29" s="8" t="n">
        <v>406897.10054045747</v>
      </c>
      <c r="X29" s="8" t="n">
        <v>237451.3437963962</v>
      </c>
      <c r="Y29" s="8" t="n">
        <v>116927.66127605406</v>
      </c>
      <c r="Z29" s="8" t="n">
        <v>252241.87287676064</v>
      </c>
      <c r="AA29" s="8" t="n">
        <v>448680.7651211298</v>
      </c>
      <c r="AB29" s="8" t="n">
        <v>7958.464964708012</v>
      </c>
      <c r="AC29" s="8" t="n">
        <v>39530.32850502308</v>
      </c>
      <c r="AF29" s="23" t="s">
        <v>40</v>
      </c>
      <c r="AG29" s="8" t="n">
        <v>20328.39336225745</v>
      </c>
      <c r="AH29" s="8" t="n">
        <v>35417.406958486834</v>
      </c>
      <c r="AI29" s="8" t="n">
        <v>438652.0121252866</v>
      </c>
      <c r="AJ29" s="8" t="n">
        <v>50870.597257768764</v>
      </c>
      <c r="AK29" s="8" t="n">
        <v>17331.06662523287</v>
      </c>
      <c r="AL29" s="8" t="n">
        <v>263250.523601328</v>
      </c>
      <c r="AM29" s="8" t="n">
        <v>274506.60735878424</v>
      </c>
      <c r="AN29" s="8" t="n">
        <v>104795.59205143401</v>
      </c>
      <c r="AO29" s="8" t="n">
        <v>438102.4327197986</v>
      </c>
      <c r="AP29" s="8" t="n">
        <v>574978.0095762026</v>
      </c>
      <c r="AQ29" s="8" t="n">
        <v>600335.3944229132</v>
      </c>
      <c r="AR29" s="8" t="n">
        <v>56355.95787352941</v>
      </c>
    </row>
    <row r="30" customFormat="false" ht="15.6" hidden="false" customHeight="false" outlineLevel="0" collapsed="false">
      <c r="B30" s="23" t="s">
        <v>41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Q30" s="23" t="s">
        <v>41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23" t="s">
        <v>41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customFormat="false" ht="15.6" hidden="false" customHeight="false" outlineLevel="0" collapsed="false">
      <c r="B31" s="24" t="s">
        <v>42</v>
      </c>
      <c r="C31" s="25" t="n">
        <v>244520</v>
      </c>
      <c r="D31" s="25" t="n">
        <v>17391</v>
      </c>
      <c r="E31" s="25" t="n">
        <v>105615</v>
      </c>
      <c r="F31" s="25" t="n">
        <v>127520</v>
      </c>
      <c r="G31" s="25" t="n">
        <v>41062</v>
      </c>
      <c r="H31" s="25" t="n">
        <v>60484</v>
      </c>
      <c r="I31" s="25" t="n">
        <v>42281</v>
      </c>
      <c r="J31" s="25" t="n">
        <v>58371</v>
      </c>
      <c r="K31" s="25" t="n">
        <v>272624</v>
      </c>
      <c r="L31" s="25" t="n">
        <v>134135</v>
      </c>
      <c r="M31" s="25" t="n">
        <v>23426</v>
      </c>
      <c r="N31" s="26" t="n">
        <v>90322</v>
      </c>
      <c r="Q31" s="24" t="s">
        <v>42</v>
      </c>
      <c r="R31" s="25" t="n">
        <v>149248.00341321895</v>
      </c>
      <c r="S31" s="25" t="n">
        <v>8419.595079609853</v>
      </c>
      <c r="T31" s="25" t="n">
        <v>132295.70039539656</v>
      </c>
      <c r="U31" s="25" t="n">
        <v>154881.6353172735</v>
      </c>
      <c r="V31" s="25" t="n">
        <v>45588.10770594008</v>
      </c>
      <c r="W31" s="25" t="n">
        <v>3251.1456149378687</v>
      </c>
      <c r="X31" s="25" t="n">
        <v>39291.704785451635</v>
      </c>
      <c r="Y31" s="25" t="n">
        <v>13256.3422367319</v>
      </c>
      <c r="Z31" s="25" t="n">
        <v>402544.77883564774</v>
      </c>
      <c r="AA31" s="25" t="n">
        <v>86706.60915207885</v>
      </c>
      <c r="AB31" s="25" t="n">
        <v>28502.53644621148</v>
      </c>
      <c r="AC31" s="26" t="n">
        <v>81220.58112047809</v>
      </c>
      <c r="AF31" s="24" t="s">
        <v>42</v>
      </c>
      <c r="AG31" s="25" t="n">
        <v>339122.0139114481</v>
      </c>
      <c r="AH31" s="25" t="n">
        <v>18248.46039040408</v>
      </c>
      <c r="AI31" s="25" t="n">
        <v>42806.21744118761</v>
      </c>
      <c r="AJ31" s="25" t="n">
        <v>154061.64194418647</v>
      </c>
      <c r="AK31" s="25" t="n">
        <v>9377.829514545745</v>
      </c>
      <c r="AL31" s="25" t="n">
        <v>49039.06241088239</v>
      </c>
      <c r="AM31" s="25" t="n">
        <v>3562.073038994787</v>
      </c>
      <c r="AN31" s="25" t="n">
        <v>86821.6359997576</v>
      </c>
      <c r="AO31" s="25" t="n">
        <v>327092.87538639706</v>
      </c>
      <c r="AP31" s="25" t="n">
        <v>194069.93896603998</v>
      </c>
      <c r="AQ31" s="25" t="n">
        <v>14136.943192699066</v>
      </c>
      <c r="AR31" s="26" t="n">
        <v>93100.59383647017</v>
      </c>
    </row>
    <row r="32" customFormat="false" ht="15.6" hidden="false" customHeight="false" outlineLevel="0" collapsed="false">
      <c r="B32" s="27" t="s">
        <v>43</v>
      </c>
      <c r="C32" s="29" t="n">
        <f aca="false">SUM(C28:C31)</f>
        <v>1292024</v>
      </c>
      <c r="D32" s="29" t="n">
        <f aca="false">SUM(D28:D31)</f>
        <v>505482</v>
      </c>
      <c r="E32" s="29" t="n">
        <f aca="false">SUM(E28:E31)</f>
        <v>860339</v>
      </c>
      <c r="F32" s="29" t="n">
        <f aca="false">SUM(F28:F31)</f>
        <v>661679</v>
      </c>
      <c r="G32" s="29" t="n">
        <f aca="false">SUM(G28:G31)</f>
        <v>440537</v>
      </c>
      <c r="H32" s="29" t="n">
        <f aca="false">SUM(H28:H31)</f>
        <v>690881</v>
      </c>
      <c r="I32" s="29" t="n">
        <f aca="false">SUM(I28:I31)</f>
        <v>645375</v>
      </c>
      <c r="J32" s="29" t="n">
        <f aca="false">SUM(J28:J31)</f>
        <v>683770</v>
      </c>
      <c r="K32" s="29" t="n">
        <f aca="false">SUM(K28:K31)</f>
        <v>1102783</v>
      </c>
      <c r="L32" s="29" t="n">
        <f aca="false">SUM(L28:L31)</f>
        <v>988715</v>
      </c>
      <c r="M32" s="29" t="n">
        <f aca="false">SUM(M28:M31)</f>
        <v>1181959</v>
      </c>
      <c r="N32" s="29" t="n">
        <f aca="false">SUM(N28:N31)</f>
        <v>263173</v>
      </c>
      <c r="Q32" s="27" t="s">
        <v>43</v>
      </c>
      <c r="R32" s="29" t="n">
        <f aca="false">SUM(R28:R31)</f>
        <v>608417.9342332624</v>
      </c>
      <c r="S32" s="29" t="n">
        <f aca="false">SUM(S28:S31)</f>
        <v>664485.762743548</v>
      </c>
      <c r="T32" s="29" t="n">
        <f aca="false">SUM(T28:T31)</f>
        <v>886884.4194027113</v>
      </c>
      <c r="U32" s="29" t="n">
        <f aca="false">SUM(U28:U31)</f>
        <v>287267.44404522394</v>
      </c>
      <c r="V32" s="29" t="n">
        <f aca="false">SUM(V28:V31)</f>
        <v>564570.4242261436</v>
      </c>
      <c r="W32" s="29" t="n">
        <f aca="false">SUM(W28:W31)</f>
        <v>454878.83710178494</v>
      </c>
      <c r="X32" s="29" t="n">
        <f aca="false">SUM(X28:X31)</f>
        <v>675371.9295623654</v>
      </c>
      <c r="Y32" s="29" t="n">
        <f aca="false">SUM(Y28:Y31)</f>
        <v>553739.040383944</v>
      </c>
      <c r="Z32" s="29" t="n">
        <f aca="false">SUM(Z28:Z31)</f>
        <v>30863.601108963183</v>
      </c>
      <c r="AA32" s="29" t="n">
        <f aca="false">SUM(AA28:AA31)</f>
        <v>1333963.2063299771</v>
      </c>
      <c r="AB32" s="29" t="n">
        <f aca="false">SUM(AB28:AB31)</f>
        <v>451383.6059871566</v>
      </c>
      <c r="AC32" s="29" t="n">
        <f aca="false">SUM(AC28:AC31)</f>
        <v>5485.8787792536705</v>
      </c>
      <c r="AF32" s="27" t="s">
        <v>43</v>
      </c>
      <c r="AG32" s="29" t="n">
        <f aca="false">SUM(AG28:AG31)</f>
        <v>436523.65121516434</v>
      </c>
      <c r="AH32" s="29" t="n">
        <f aca="false">SUM(AH28:AH31)</f>
        <v>385376.11807696207</v>
      </c>
      <c r="AI32" s="29" t="n">
        <f aca="false">SUM(AI28:AI31)</f>
        <v>229122.4959493043</v>
      </c>
      <c r="AJ32" s="29" t="n">
        <f aca="false">SUM(AJ28:AJ31)</f>
        <v>453517.4195322808</v>
      </c>
      <c r="AK32" s="29" t="n">
        <f aca="false">SUM(AK28:AK31)</f>
        <v>18418.183548954526</v>
      </c>
      <c r="AL32" s="29" t="n">
        <f aca="false">SUM(AL28:AL31)</f>
        <v>695145.2695546112</v>
      </c>
      <c r="AM32" s="29" t="n">
        <f aca="false">SUM(AM28:AM31)</f>
        <v>790201.1246497361</v>
      </c>
      <c r="AN32" s="29" t="n">
        <f aca="false">SUM(AN28:AN31)</f>
        <v>336924.5756167647</v>
      </c>
      <c r="AO32" s="29" t="n">
        <f aca="false">SUM(AO28:AO31)</f>
        <v>371700.6517685446</v>
      </c>
      <c r="AP32" s="29" t="n">
        <f aca="false">SUM(AP28:AP31)</f>
        <v>1146775.259240591</v>
      </c>
      <c r="AQ32" s="29" t="n">
        <f aca="false">SUM(AQ28:AQ31)</f>
        <v>330563.2128384181</v>
      </c>
      <c r="AR32" s="29" t="n">
        <f aca="false">SUM(AR28:AR31)</f>
        <v>277675.8007218342</v>
      </c>
    </row>
    <row r="33" customFormat="false" ht="15.6" hidden="false" customHeight="false" outlineLevel="0" collapsed="false">
      <c r="B33" s="30" t="s">
        <v>44</v>
      </c>
      <c r="C33" s="21" t="n">
        <f aca="false">SUM(C26,C27,C32)</f>
        <v>2702670</v>
      </c>
      <c r="D33" s="21" t="n">
        <f aca="false">SUM(D26,D27,D32)</f>
        <v>1566406</v>
      </c>
      <c r="E33" s="21" t="n">
        <f aca="false">SUM(E26,E27,E32)</f>
        <v>2001845</v>
      </c>
      <c r="F33" s="21" t="n">
        <f aca="false">SUM(F26,F27,F32)</f>
        <v>1769123</v>
      </c>
      <c r="G33" s="21" t="n">
        <f aca="false">SUM(G26,G27,G32)</f>
        <v>1408255</v>
      </c>
      <c r="H33" s="21" t="n">
        <f aca="false">SUM(H26,H27,H32)</f>
        <v>1836280</v>
      </c>
      <c r="I33" s="21" t="n">
        <f aca="false">SUM(I26,I27,I32)</f>
        <v>1957643</v>
      </c>
      <c r="J33" s="21" t="n">
        <f aca="false">SUM(J26,J27,J32)</f>
        <v>1874363</v>
      </c>
      <c r="K33" s="21" t="n">
        <v>2542607</v>
      </c>
      <c r="L33" s="21" t="n">
        <f aca="false">SUM(L26,L27,L32)</f>
        <v>2420168</v>
      </c>
      <c r="M33" s="21" t="n">
        <f aca="false">SUM(M26,M27,M32)</f>
        <v>2501615</v>
      </c>
      <c r="N33" s="21" t="n">
        <f aca="false">SUM(N26,N27,N32)</f>
        <v>1577567</v>
      </c>
      <c r="Q33" s="30" t="s">
        <v>44</v>
      </c>
      <c r="R33" s="21" t="n">
        <f aca="false">SUM(R26,R27,R32)</f>
        <v>1937843.1313280538</v>
      </c>
      <c r="S33" s="21" t="n">
        <f aca="false">SUM(S26,S27,S32)</f>
        <v>2202159.690902672</v>
      </c>
      <c r="T33" s="21" t="n">
        <f aca="false">SUM(T26,T27,T32)</f>
        <v>2148860.739631669</v>
      </c>
      <c r="U33" s="21" t="n">
        <f aca="false">SUM(U26,U27,U32)</f>
        <v>1315267.9270077916</v>
      </c>
      <c r="V33" s="21" t="n">
        <f aca="false">SUM(V26,V27,V32)</f>
        <v>1604308.9075364533</v>
      </c>
      <c r="W33" s="21" t="n">
        <f aca="false">SUM(W26,W27,W32)</f>
        <v>723345.4944401331</v>
      </c>
      <c r="X33" s="21" t="n">
        <f aca="false">SUM(X26,X27,X32)</f>
        <v>1345070.542051231</v>
      </c>
      <c r="Y33" s="21" t="n">
        <f aca="false">SUM(Y26,Y27,Y32)</f>
        <v>1013172.3416446911</v>
      </c>
      <c r="Z33" s="21" t="n">
        <v>1363133.8312906579</v>
      </c>
      <c r="AA33" s="21" t="n">
        <f aca="false">SUM(AA26,AA27,AA32)</f>
        <v>1756848.263175944</v>
      </c>
      <c r="AB33" s="21" t="n">
        <f aca="false">SUM(AB26,AB27,AB32)</f>
        <v>2538227.879070401</v>
      </c>
      <c r="AC33" s="21" t="n">
        <f aca="false">SUM(AC26,AC27,AC32)</f>
        <v>1731950.2212816633</v>
      </c>
      <c r="AF33" s="30" t="s">
        <v>44</v>
      </c>
      <c r="AG33" s="21" t="n">
        <f aca="false">SUM(AG26,AG27,AG32)</f>
        <v>1269620.8657094582</v>
      </c>
      <c r="AH33" s="21" t="n">
        <f aca="false">SUM(AH26,AH27,AH32)</f>
        <v>1595802.9800601446</v>
      </c>
      <c r="AI33" s="21" t="n">
        <f aca="false">SUM(AI26,AI27,AI32)</f>
        <v>2285132.225470971</v>
      </c>
      <c r="AJ33" s="21" t="n">
        <f aca="false">SUM(AJ26,AJ27,AJ32)</f>
        <v>2170822.0198020926</v>
      </c>
      <c r="AK33" s="21" t="n">
        <f aca="false">SUM(AK26,AK27,AK32)</f>
        <v>211244.97288248484</v>
      </c>
      <c r="AL33" s="21" t="n">
        <f aca="false">SUM(AL26,AL27,AL32)</f>
        <v>744876.6968428459</v>
      </c>
      <c r="AM33" s="21" t="n">
        <f aca="false">SUM(AM26,AM27,AM32)</f>
        <v>1532729.5917798008</v>
      </c>
      <c r="AN33" s="21" t="n">
        <f aca="false">SUM(AN26,AN27,AN32)</f>
        <v>2067008.979082571</v>
      </c>
      <c r="AO33" s="21" t="n">
        <v>1294756.41126253</v>
      </c>
      <c r="AP33" s="21" t="n">
        <f aca="false">SUM(AP26,AP27,AP32)</f>
        <v>3425266.013875926</v>
      </c>
      <c r="AQ33" s="21" t="n">
        <f aca="false">SUM(AQ26,AQ27,AQ32)</f>
        <v>999058.6018718365</v>
      </c>
      <c r="AR33" s="21" t="n">
        <f aca="false">SUM(AR26,AR27,AR32)</f>
        <v>75368.16584494543</v>
      </c>
    </row>
    <row r="34" customFormat="false" ht="15.6" hidden="false" customHeight="false" outlineLevel="0" collapsed="false">
      <c r="B34" s="24" t="s">
        <v>45</v>
      </c>
      <c r="C34" s="25" t="n">
        <v>2555137.51316397</v>
      </c>
      <c r="D34" s="25" t="n">
        <v>3487915.03</v>
      </c>
      <c r="E34" s="25" t="n">
        <v>3345408.39</v>
      </c>
      <c r="F34" s="25" t="n">
        <v>3593924.41</v>
      </c>
      <c r="G34" s="25" t="n">
        <v>1588939.43</v>
      </c>
      <c r="H34" s="25" t="n">
        <v>2080000</v>
      </c>
      <c r="I34" s="25" t="n">
        <v>3374844.29</v>
      </c>
      <c r="J34" s="25" t="n">
        <v>3015385.05</v>
      </c>
      <c r="K34" s="25" t="n">
        <v>4315804.11</v>
      </c>
      <c r="L34" s="25" t="n">
        <v>3594129.12</v>
      </c>
      <c r="M34" s="25" t="n">
        <v>3843186.02</v>
      </c>
      <c r="N34" s="25" t="n">
        <v>3568783</v>
      </c>
      <c r="Q34" s="24" t="s">
        <v>45</v>
      </c>
      <c r="R34" s="25" t="n">
        <v>381227.73922330275</v>
      </c>
      <c r="S34" s="25" t="n">
        <v>304188.35191936034</v>
      </c>
      <c r="T34" s="25" t="n">
        <v>20203.907666546558</v>
      </c>
      <c r="U34" s="25" t="n">
        <v>1036490.2519537301</v>
      </c>
      <c r="V34" s="25" t="n">
        <v>1423677.6165272808</v>
      </c>
      <c r="W34" s="25" t="n">
        <v>1061920.7518367127</v>
      </c>
      <c r="X34" s="25" t="n">
        <v>4550980.845452191</v>
      </c>
      <c r="Y34" s="25" t="n">
        <v>2668416.319104637</v>
      </c>
      <c r="Z34" s="25" t="n">
        <v>1893979.3108067713</v>
      </c>
      <c r="AA34" s="25" t="n">
        <v>4778354.6726716105</v>
      </c>
      <c r="AB34" s="25" t="n">
        <v>291981.39806641627</v>
      </c>
      <c r="AC34" s="25" t="n">
        <v>2217224.5467869504</v>
      </c>
      <c r="AF34" s="24" t="s">
        <v>45</v>
      </c>
      <c r="AG34" s="25" t="n">
        <v>3523787.369026627</v>
      </c>
      <c r="AH34" s="25" t="n">
        <v>876504.5966105057</v>
      </c>
      <c r="AI34" s="25" t="n">
        <v>3593845.9060906107</v>
      </c>
      <c r="AJ34" s="25" t="n">
        <v>4362687.543683978</v>
      </c>
      <c r="AK34" s="25" t="n">
        <v>912924.9747623159</v>
      </c>
      <c r="AL34" s="25" t="n">
        <v>1805700.6178865472</v>
      </c>
      <c r="AM34" s="25" t="n">
        <v>1199486.4552091968</v>
      </c>
      <c r="AN34" s="25" t="n">
        <v>4013637.076357619</v>
      </c>
      <c r="AO34" s="25" t="n">
        <v>3678046.0550159495</v>
      </c>
      <c r="AP34" s="25" t="n">
        <v>1541712.4500638207</v>
      </c>
      <c r="AQ34" s="25" t="n">
        <v>1212028.0573560414</v>
      </c>
      <c r="AR34" s="25" t="n">
        <v>82239.55290305226</v>
      </c>
    </row>
    <row r="35" customFormat="false" ht="15.6" hidden="false" customHeight="false" outlineLevel="0" collapsed="false">
      <c r="B35" s="30" t="s">
        <v>46</v>
      </c>
      <c r="C35" s="21" t="n">
        <f aca="false">SUM(C34)</f>
        <v>2555137.51316397</v>
      </c>
      <c r="D35" s="21" t="n">
        <f aca="false">SUM(D34)</f>
        <v>3487915.03</v>
      </c>
      <c r="E35" s="21" t="n">
        <f aca="false">SUM(E34)</f>
        <v>3345408.39</v>
      </c>
      <c r="F35" s="21" t="n">
        <f aca="false">SUM(F34)</f>
        <v>3593924.41</v>
      </c>
      <c r="G35" s="21" t="n">
        <f aca="false">SUM(G34)</f>
        <v>1588939.43</v>
      </c>
      <c r="H35" s="21" t="n">
        <f aca="false">SUM(H34)</f>
        <v>2080000</v>
      </c>
      <c r="I35" s="21" t="n">
        <f aca="false">SUM(I34)</f>
        <v>3374844.29</v>
      </c>
      <c r="J35" s="21" t="n">
        <f aca="false">SUM(J34)</f>
        <v>3015385.05</v>
      </c>
      <c r="K35" s="21" t="n">
        <f aca="false">SUM(K34)</f>
        <v>4315804.11</v>
      </c>
      <c r="L35" s="21" t="n">
        <f aca="false">SUM(L34)</f>
        <v>3594129.12</v>
      </c>
      <c r="M35" s="21" t="n">
        <f aca="false">SUM(M34)</f>
        <v>3843186.02</v>
      </c>
      <c r="N35" s="21" t="n">
        <f aca="false">SUM(N34)</f>
        <v>3568783</v>
      </c>
      <c r="Q35" s="30" t="s">
        <v>46</v>
      </c>
      <c r="R35" s="21" t="n">
        <f aca="false">SUM(R34)</f>
        <v>3809624.573372556</v>
      </c>
      <c r="S35" s="21" t="n">
        <f aca="false">SUM(S34)</f>
        <v>2288879.3712807964</v>
      </c>
      <c r="T35" s="21" t="n">
        <f aca="false">SUM(T34)</f>
        <v>3992907.786938147</v>
      </c>
      <c r="U35" s="21" t="n">
        <f aca="false">SUM(U34)</f>
        <v>2637502.1255592415</v>
      </c>
      <c r="V35" s="21" t="n">
        <f aca="false">SUM(V34)</f>
        <v>1206981.636200053</v>
      </c>
      <c r="W35" s="21" t="n">
        <f aca="false">SUM(W34)</f>
        <v>2878106.004827808</v>
      </c>
      <c r="X35" s="21" t="n">
        <f aca="false">SUM(X34)</f>
        <v>4029199.572761714</v>
      </c>
      <c r="Y35" s="21" t="n">
        <f aca="false">SUM(Y34)</f>
        <v>4460540.953879443</v>
      </c>
      <c r="Z35" s="21" t="n">
        <f aca="false">SUM(Z34)</f>
        <v>2188629.5159350275</v>
      </c>
      <c r="AA35" s="21" t="n">
        <f aca="false">SUM(AA34)</f>
        <v>3194654.7879988505</v>
      </c>
      <c r="AB35" s="21" t="n">
        <f aca="false">SUM(AB34)</f>
        <v>5735946.780513694</v>
      </c>
      <c r="AC35" s="21" t="n">
        <f aca="false">SUM(AC34)</f>
        <v>4722484.367680582</v>
      </c>
      <c r="AF35" s="30" t="s">
        <v>46</v>
      </c>
      <c r="AG35" s="21" t="n">
        <f aca="false">SUM(AG34)</f>
        <v>2107483.492375498</v>
      </c>
      <c r="AH35" s="21" t="n">
        <f aca="false">SUM(AH34)</f>
        <v>2863928.90721458</v>
      </c>
      <c r="AI35" s="21" t="n">
        <f aca="false">SUM(AI34)</f>
        <v>4965974.583786451</v>
      </c>
      <c r="AJ35" s="21" t="n">
        <f aca="false">SUM(AJ34)</f>
        <v>2609732.606113358</v>
      </c>
      <c r="AK35" s="21" t="n">
        <f aca="false">SUM(AK34)</f>
        <v>1361727.924929961</v>
      </c>
      <c r="AL35" s="21" t="n">
        <f aca="false">SUM(AL34)</f>
        <v>1327017.1155275574</v>
      </c>
      <c r="AM35" s="21" t="n">
        <f aca="false">SUM(AM34)</f>
        <v>194436.60328512132</v>
      </c>
      <c r="AN35" s="21" t="n">
        <f aca="false">SUM(AN34)</f>
        <v>4098262.6414258354</v>
      </c>
      <c r="AO35" s="21" t="n">
        <f aca="false">SUM(AO34)</f>
        <v>545479.4151569428</v>
      </c>
      <c r="AP35" s="21" t="n">
        <f aca="false">SUM(AP34)</f>
        <v>822114.9706618411</v>
      </c>
      <c r="AQ35" s="21" t="n">
        <f aca="false">SUM(AQ34)</f>
        <v>3692852.7804648895</v>
      </c>
      <c r="AR35" s="21" t="n">
        <f aca="false">SUM(AR34)</f>
        <v>2590394.6816874705</v>
      </c>
    </row>
    <row r="36" customFormat="false" ht="15.6" hidden="false" customHeight="false" outlineLevel="0" collapsed="false">
      <c r="B36" s="24" t="s">
        <v>47</v>
      </c>
      <c r="C36" s="31" t="n">
        <v>852675</v>
      </c>
      <c r="D36" s="25" t="n">
        <v>843879</v>
      </c>
      <c r="E36" s="25" t="n">
        <v>841750</v>
      </c>
      <c r="F36" s="25" t="n">
        <v>657923</v>
      </c>
      <c r="G36" s="25" t="n">
        <v>799690</v>
      </c>
      <c r="H36" s="25" t="n">
        <v>614168</v>
      </c>
      <c r="I36" s="25" t="n">
        <v>598793</v>
      </c>
      <c r="J36" s="25" t="n">
        <v>717465.12</v>
      </c>
      <c r="K36" s="25" t="n">
        <v>654000</v>
      </c>
      <c r="L36" s="25" t="n">
        <v>716000</v>
      </c>
      <c r="M36" s="25" t="n">
        <v>728000</v>
      </c>
      <c r="N36" s="25" t="n">
        <v>805000</v>
      </c>
      <c r="Q36" s="24" t="s">
        <v>47</v>
      </c>
      <c r="R36" s="31" t="n">
        <v>398945.32215736085</v>
      </c>
      <c r="S36" s="25" t="n">
        <v>1256081.692379159</v>
      </c>
      <c r="T36" s="25" t="n">
        <v>1056574.4395348665</v>
      </c>
      <c r="U36" s="25" t="n">
        <v>90131.62197230314</v>
      </c>
      <c r="V36" s="25" t="n">
        <v>131519.56898109632</v>
      </c>
      <c r="W36" s="25" t="n">
        <v>555189.8585177137</v>
      </c>
      <c r="X36" s="25" t="n">
        <v>761046.8834028232</v>
      </c>
      <c r="Y36" s="25" t="n">
        <v>899925.2719517353</v>
      </c>
      <c r="Z36" s="25" t="n">
        <v>760335.8153380805</v>
      </c>
      <c r="AA36" s="25" t="n">
        <v>508365.1033920612</v>
      </c>
      <c r="AB36" s="25" t="n">
        <v>235944.80579198265</v>
      </c>
      <c r="AC36" s="25" t="n">
        <v>148625.30618776556</v>
      </c>
      <c r="AF36" s="24" t="s">
        <v>47</v>
      </c>
      <c r="AG36" s="31" t="n">
        <v>415874.0436128739</v>
      </c>
      <c r="AH36" s="25" t="n">
        <v>332573.3393273611</v>
      </c>
      <c r="AI36" s="25" t="n">
        <v>552062.180603751</v>
      </c>
      <c r="AJ36" s="25" t="n">
        <v>564550.2626826682</v>
      </c>
      <c r="AK36" s="25" t="n">
        <v>316060.4114641452</v>
      </c>
      <c r="AL36" s="25" t="n">
        <v>328689.2565955266</v>
      </c>
      <c r="AM36" s="25" t="n">
        <v>637573.8658138069</v>
      </c>
      <c r="AN36" s="25" t="n">
        <v>650233.5640773231</v>
      </c>
      <c r="AO36" s="25" t="n">
        <v>218030.11224140783</v>
      </c>
      <c r="AP36" s="25" t="n">
        <v>307396.44617607165</v>
      </c>
      <c r="AQ36" s="25" t="n">
        <v>586700.3372296507</v>
      </c>
      <c r="AR36" s="25" t="n">
        <v>400435.7379980322</v>
      </c>
    </row>
    <row r="37" customFormat="false" ht="15.6" hidden="false" customHeight="false" outlineLevel="0" collapsed="false">
      <c r="B37" s="30" t="s">
        <v>48</v>
      </c>
      <c r="C37" s="21" t="n">
        <f aca="false">SUM(C36)</f>
        <v>852675</v>
      </c>
      <c r="D37" s="21" t="n">
        <f aca="false">SUM(D36)</f>
        <v>843879</v>
      </c>
      <c r="E37" s="21" t="n">
        <f aca="false">SUM(E36)</f>
        <v>841750</v>
      </c>
      <c r="F37" s="21" t="n">
        <f aca="false">SUM(F36)</f>
        <v>657923</v>
      </c>
      <c r="G37" s="21" t="n">
        <f aca="false">SUM(G36)</f>
        <v>799690</v>
      </c>
      <c r="H37" s="21" t="n">
        <f aca="false">SUM(H36)</f>
        <v>614168</v>
      </c>
      <c r="I37" s="21" t="n">
        <f aca="false">SUM(I36)</f>
        <v>598793</v>
      </c>
      <c r="J37" s="21" t="n">
        <f aca="false">SUM(J36)</f>
        <v>717465.12</v>
      </c>
      <c r="K37" s="21" t="n">
        <f aca="false">SUM(K36)</f>
        <v>654000</v>
      </c>
      <c r="L37" s="21" t="n">
        <f aca="false">SUM(L36)</f>
        <v>716000</v>
      </c>
      <c r="M37" s="21" t="n">
        <f aca="false">SUM(M36)</f>
        <v>728000</v>
      </c>
      <c r="N37" s="21" t="n">
        <f aca="false">SUM(N36)</f>
        <v>805000</v>
      </c>
      <c r="Q37" s="30" t="s">
        <v>48</v>
      </c>
      <c r="R37" s="21" t="n">
        <f aca="false">SUM(R36)</f>
        <v>435537.5618819246</v>
      </c>
      <c r="S37" s="21" t="n">
        <f aca="false">SUM(S36)</f>
        <v>144098.0800689927</v>
      </c>
      <c r="T37" s="21" t="n">
        <f aca="false">SUM(T36)</f>
        <v>1176985.4151831116</v>
      </c>
      <c r="U37" s="21" t="n">
        <f aca="false">SUM(U36)</f>
        <v>148145.31124079612</v>
      </c>
      <c r="V37" s="21" t="n">
        <f aca="false">SUM(V36)</f>
        <v>957940.3074310366</v>
      </c>
      <c r="W37" s="21" t="n">
        <f aca="false">SUM(W36)</f>
        <v>826367.122614653</v>
      </c>
      <c r="X37" s="21" t="n">
        <f aca="false">SUM(X36)</f>
        <v>614815.6153368071</v>
      </c>
      <c r="Y37" s="21" t="n">
        <f aca="false">SUM(Y36)</f>
        <v>73445.30881942966</v>
      </c>
      <c r="Z37" s="21" t="n">
        <f aca="false">SUM(Z36)</f>
        <v>13018.84471195092</v>
      </c>
      <c r="AA37" s="21" t="n">
        <f aca="false">SUM(AA36)</f>
        <v>528575.4671846726</v>
      </c>
      <c r="AB37" s="21" t="n">
        <f aca="false">SUM(AB36)</f>
        <v>263091.0892027751</v>
      </c>
      <c r="AC37" s="21" t="n">
        <f aca="false">SUM(AC36)</f>
        <v>1113732.543317468</v>
      </c>
      <c r="AF37" s="30" t="s">
        <v>48</v>
      </c>
      <c r="AG37" s="21" t="n">
        <f aca="false">SUM(AG36)</f>
        <v>1263997.3612539074</v>
      </c>
      <c r="AH37" s="21" t="n">
        <f aca="false">SUM(AH36)</f>
        <v>208163.88481740092</v>
      </c>
      <c r="AI37" s="21" t="n">
        <f aca="false">SUM(AI36)</f>
        <v>1101711.6670707196</v>
      </c>
      <c r="AJ37" s="21" t="n">
        <f aca="false">SUM(AJ36)</f>
        <v>288489.67351401923</v>
      </c>
      <c r="AK37" s="21" t="n">
        <f aca="false">SUM(AK36)</f>
        <v>511626.8403477183</v>
      </c>
      <c r="AL37" s="21" t="n">
        <f aca="false">SUM(AL36)</f>
        <v>323432.928868401</v>
      </c>
      <c r="AM37" s="21" t="n">
        <f aca="false">SUM(AM36)</f>
        <v>525125.3979798598</v>
      </c>
      <c r="AN37" s="21" t="n">
        <f aca="false">SUM(AN36)</f>
        <v>1075138.995500479</v>
      </c>
      <c r="AO37" s="21" t="n">
        <f aca="false">SUM(AO36)</f>
        <v>94853.71089388916</v>
      </c>
      <c r="AP37" s="21" t="n">
        <f aca="false">SUM(AP36)</f>
        <v>373304.87224861403</v>
      </c>
      <c r="AQ37" s="21" t="n">
        <f aca="false">SUM(AQ36)</f>
        <v>602174.7859587881</v>
      </c>
      <c r="AR37" s="21" t="n">
        <f aca="false">SUM(AR36)</f>
        <v>613991.9993499251</v>
      </c>
    </row>
    <row r="38" customFormat="false" ht="15.6" hidden="false" customHeight="false" outlineLevel="0" collapsed="false">
      <c r="B38" s="32" t="s">
        <v>49</v>
      </c>
      <c r="C38" s="33" t="n">
        <f aca="false">SUM(C15,C17,C33,C35,C37)</f>
        <v>8308454.51316397</v>
      </c>
      <c r="D38" s="33" t="n">
        <f aca="false">SUM(D15,D17,D33,D35,D37)</f>
        <v>7354220.03</v>
      </c>
      <c r="E38" s="33" t="n">
        <f aca="false">SUM(E15,E17,E33,E35,E37)</f>
        <v>8422938.39</v>
      </c>
      <c r="F38" s="33" t="n">
        <f aca="false">SUM(F15,F17,F33,F35,F37)</f>
        <v>7873906.41</v>
      </c>
      <c r="G38" s="33" t="n">
        <f aca="false">SUM(G15,G17,G33,G35,G37)</f>
        <v>5353660.43</v>
      </c>
      <c r="H38" s="33" t="n">
        <f aca="false">SUM(H15,H17,H33,H35,H37)</f>
        <v>6962726.57</v>
      </c>
      <c r="I38" s="33" t="n">
        <f aca="false">SUM(I15,I17,I33,I35,I37)</f>
        <v>7241754.84</v>
      </c>
      <c r="J38" s="33" t="n">
        <f aca="false">SUM(J15,J17,J33,J35,J37)</f>
        <v>7103501.92</v>
      </c>
      <c r="K38" s="33" t="n">
        <f aca="false">SUM(K15,K17,K33,K35,K37)</f>
        <v>9224456.21</v>
      </c>
      <c r="L38" s="33" t="n">
        <f aca="false">SUM(L15,L17,L33,L35,L37)</f>
        <v>7766347.82</v>
      </c>
      <c r="M38" s="33" t="n">
        <f aca="false">SUM(M15,M17,M33,M35,M37)</f>
        <v>8874595.93</v>
      </c>
      <c r="N38" s="33" t="n">
        <f aca="false">SUM(N15,N17,N33,N35,N37)</f>
        <v>7901827.67</v>
      </c>
      <c r="Q38" s="32" t="s">
        <v>49</v>
      </c>
      <c r="R38" s="33" t="n">
        <f aca="false">SUM(R15,R17,R33,R35,R37)</f>
        <v>8597551.43564886</v>
      </c>
      <c r="S38" s="33" t="n">
        <f aca="false">SUM(S15,S17,S33,S35,S37)</f>
        <v>7279783.351574008</v>
      </c>
      <c r="T38" s="33" t="n">
        <f aca="false">SUM(T15,T17,T33,T35,T37)</f>
        <v>426043.7098419903</v>
      </c>
      <c r="U38" s="33" t="n">
        <f aca="false">SUM(U15,U17,U33,U35,U37)</f>
        <v>2213993.7356763254</v>
      </c>
      <c r="V38" s="33" t="n">
        <f aca="false">SUM(V15,V17,V33,V35,V37)</f>
        <v>7903711.184566335</v>
      </c>
      <c r="W38" s="33" t="n">
        <f aca="false">SUM(W15,W17,W33,W35,W37)</f>
        <v>6198681.985148585</v>
      </c>
      <c r="X38" s="33" t="n">
        <f aca="false">SUM(X15,X17,X33,X35,X37)</f>
        <v>3307588.525009144</v>
      </c>
      <c r="Y38" s="33" t="n">
        <f aca="false">SUM(Y15,Y17,Y33,Y35,Y37)</f>
        <v>6151137.913955071</v>
      </c>
      <c r="Z38" s="33" t="n">
        <f aca="false">SUM(Z15,Z17,Z33,Z35,Z37)</f>
        <v>13191371.562327692</v>
      </c>
      <c r="AA38" s="33" t="n">
        <f aca="false">SUM(AA15,AA17,AA33,AA35,AA37)</f>
        <v>2260416.133574391</v>
      </c>
      <c r="AB38" s="33" t="n">
        <f aca="false">SUM(AB15,AB17,AB33,AB35,AB37)</f>
        <v>4010095.7080943272</v>
      </c>
      <c r="AC38" s="33" t="n">
        <f aca="false">SUM(AC15,AC17,AC33,AC35,AC37)</f>
        <v>5620282.859713831</v>
      </c>
      <c r="AF38" s="32" t="s">
        <v>49</v>
      </c>
      <c r="AG38" s="33" t="n">
        <f aca="false">SUM(AG15,AG17,AG33,AG35,AG37)</f>
        <v>4195366.674582317</v>
      </c>
      <c r="AH38" s="33" t="n">
        <f aca="false">SUM(AH15,AH17,AH33,AH35,AH37)</f>
        <v>375410.06472470716</v>
      </c>
      <c r="AI38" s="33" t="n">
        <f aca="false">SUM(AI15,AI17,AI33,AI35,AI37)</f>
        <v>1961037.5093246025</v>
      </c>
      <c r="AJ38" s="33" t="n">
        <f aca="false">SUM(AJ15,AJ17,AJ33,AJ35,AJ37)</f>
        <v>8069788.508358326</v>
      </c>
      <c r="AK38" s="33" t="n">
        <f aca="false">SUM(AK15,AK17,AK33,AK35,AK37)</f>
        <v>1608990.2398974826</v>
      </c>
      <c r="AL38" s="33" t="n">
        <f aca="false">SUM(AL15,AL17,AL33,AL35,AL37)</f>
        <v>8189314.658978754</v>
      </c>
      <c r="AM38" s="33" t="n">
        <f aca="false">SUM(AM15,AM17,AM33,AM35,AM37)</f>
        <v>5536120.547095514</v>
      </c>
      <c r="AN38" s="33" t="n">
        <f aca="false">SUM(AN15,AN17,AN33,AN35,AN37)</f>
        <v>5781093.71078998</v>
      </c>
      <c r="AO38" s="33" t="n">
        <f aca="false">SUM(AO15,AO17,AO33,AO35,AO37)</f>
        <v>3380448.256681007</v>
      </c>
      <c r="AP38" s="33" t="n">
        <f aca="false">SUM(AP15,AP17,AP33,AP35,AP37)</f>
        <v>2033146.4898585149</v>
      </c>
      <c r="AQ38" s="33" t="n">
        <f aca="false">SUM(AQ15,AQ17,AQ33,AQ35,AQ37)</f>
        <v>8013200.313466684</v>
      </c>
      <c r="AR38" s="33" t="n">
        <f aca="false">SUM(AR15,AR17,AR33,AR35,AR37)</f>
        <v>3541992.0742184184</v>
      </c>
    </row>
    <row r="39" customFormat="false" ht="15" hidden="false" customHeight="false" outlineLevel="0" collapsed="false"/>
    <row r="40" customFormat="false" ht="15" hidden="false" customHeight="false" outlineLevel="0" collapsed="false"/>
    <row r="41" customFormat="false" ht="29.85" hidden="false" customHeight="false" outlineLevel="0" collapsed="false">
      <c r="B41" s="3" t="s">
        <v>50</v>
      </c>
      <c r="C41" s="4" t="s">
        <v>4</v>
      </c>
      <c r="D41" s="5" t="s">
        <v>5</v>
      </c>
      <c r="E41" s="5" t="s">
        <v>6</v>
      </c>
      <c r="F41" s="5" t="s">
        <v>7</v>
      </c>
      <c r="G41" s="5" t="s">
        <v>8</v>
      </c>
      <c r="H41" s="5" t="s">
        <v>51</v>
      </c>
      <c r="I41" s="5" t="s">
        <v>10</v>
      </c>
      <c r="J41" s="5" t="s">
        <v>11</v>
      </c>
      <c r="K41" s="5" t="s">
        <v>12</v>
      </c>
      <c r="L41" s="5" t="s">
        <v>13</v>
      </c>
      <c r="M41" s="5" t="s">
        <v>14</v>
      </c>
      <c r="N41" s="5" t="s">
        <v>15</v>
      </c>
      <c r="Q41" s="3" t="s">
        <v>50</v>
      </c>
      <c r="R41" s="4" t="s">
        <v>4</v>
      </c>
      <c r="S41" s="5" t="s">
        <v>5</v>
      </c>
      <c r="T41" s="5" t="s">
        <v>6</v>
      </c>
      <c r="U41" s="5" t="s">
        <v>7</v>
      </c>
      <c r="V41" s="5" t="s">
        <v>8</v>
      </c>
      <c r="W41" s="5" t="s">
        <v>51</v>
      </c>
      <c r="X41" s="5" t="s">
        <v>10</v>
      </c>
      <c r="Y41" s="5" t="s">
        <v>11</v>
      </c>
      <c r="Z41" s="5" t="s">
        <v>12</v>
      </c>
      <c r="AA41" s="5" t="s">
        <v>13</v>
      </c>
      <c r="AB41" s="5" t="s">
        <v>14</v>
      </c>
      <c r="AC41" s="5" t="s">
        <v>15</v>
      </c>
      <c r="AF41" s="3" t="s">
        <v>50</v>
      </c>
      <c r="AG41" s="4" t="s">
        <v>4</v>
      </c>
      <c r="AH41" s="5" t="s">
        <v>5</v>
      </c>
      <c r="AI41" s="5" t="s">
        <v>6</v>
      </c>
      <c r="AJ41" s="5" t="s">
        <v>7</v>
      </c>
      <c r="AK41" s="5" t="s">
        <v>8</v>
      </c>
      <c r="AL41" s="5" t="s">
        <v>51</v>
      </c>
      <c r="AM41" s="5" t="s">
        <v>10</v>
      </c>
      <c r="AN41" s="5" t="s">
        <v>11</v>
      </c>
      <c r="AO41" s="5" t="s">
        <v>12</v>
      </c>
      <c r="AP41" s="5" t="s">
        <v>13</v>
      </c>
      <c r="AQ41" s="5" t="s">
        <v>14</v>
      </c>
      <c r="AR41" s="5" t="s">
        <v>15</v>
      </c>
    </row>
    <row r="42" customFormat="false" ht="15.6" hidden="false" customHeight="false" outlineLevel="0" collapsed="false">
      <c r="B42" s="7" t="s">
        <v>16</v>
      </c>
      <c r="C42" s="8" t="n">
        <v>78506</v>
      </c>
      <c r="D42" s="8" t="n">
        <v>7972</v>
      </c>
      <c r="E42" s="8" t="n">
        <v>118617</v>
      </c>
      <c r="F42" s="8" t="n">
        <v>8608</v>
      </c>
      <c r="G42" s="8" t="n">
        <v>134985</v>
      </c>
      <c r="H42" s="8" t="n">
        <v>26330.56</v>
      </c>
      <c r="I42" s="8" t="n">
        <v>63065</v>
      </c>
      <c r="J42" s="8" t="n">
        <v>7822</v>
      </c>
      <c r="K42" s="8" t="n">
        <v>166808.7</v>
      </c>
      <c r="L42" s="8" t="n">
        <v>7981.41</v>
      </c>
      <c r="M42" s="8" t="n">
        <v>65825.83</v>
      </c>
      <c r="N42" s="34" t="n">
        <v>10741.16</v>
      </c>
      <c r="Q42" s="7" t="s">
        <v>16</v>
      </c>
      <c r="R42" s="8" t="n">
        <v>23094.950104234038</v>
      </c>
      <c r="S42" s="8" t="n">
        <v>994.115493766376</v>
      </c>
      <c r="T42" s="8" t="n">
        <v>2772.470780750028</v>
      </c>
      <c r="U42" s="8" t="n">
        <v>8022.345645923317</v>
      </c>
      <c r="V42" s="8" t="n">
        <v>193603.97302326647</v>
      </c>
      <c r="W42" s="8" t="n">
        <v>22558.382950763906</v>
      </c>
      <c r="X42" s="8" t="n">
        <v>68521.8396882663</v>
      </c>
      <c r="Y42" s="8" t="n">
        <v>10418.74858114797</v>
      </c>
      <c r="Z42" s="8" t="n">
        <v>29024.022682418505</v>
      </c>
      <c r="AA42" s="8" t="n">
        <v>11858.767987308469</v>
      </c>
      <c r="AB42" s="8" t="n">
        <v>59209.64692822978</v>
      </c>
      <c r="AC42" s="34" t="n">
        <v>12909.501897687593</v>
      </c>
      <c r="AF42" s="7" t="s">
        <v>16</v>
      </c>
      <c r="AG42" s="8" t="n">
        <v>91081.72855814248</v>
      </c>
      <c r="AH42" s="8" t="n">
        <v>5698.0344123705645</v>
      </c>
      <c r="AI42" s="8" t="n">
        <v>68778.6582485814</v>
      </c>
      <c r="AJ42" s="8" t="n">
        <v>2264.6238953460565</v>
      </c>
      <c r="AK42" s="8" t="n">
        <v>52141.19475416762</v>
      </c>
      <c r="AL42" s="8" t="n">
        <v>22389.408587977123</v>
      </c>
      <c r="AM42" s="8" t="n">
        <v>42874.55564876723</v>
      </c>
      <c r="AN42" s="8" t="n">
        <v>7518.712672077171</v>
      </c>
      <c r="AO42" s="8" t="n">
        <v>45960.713883370045</v>
      </c>
      <c r="AP42" s="8" t="n">
        <v>520.4327678117587</v>
      </c>
      <c r="AQ42" s="8" t="n">
        <v>87378.66135822755</v>
      </c>
      <c r="AR42" s="34" t="n">
        <v>2007.328520886428</v>
      </c>
    </row>
    <row r="43" customFormat="false" ht="15.6" hidden="false" customHeight="false" outlineLevel="0" collapsed="false">
      <c r="B43" s="7" t="s">
        <v>17</v>
      </c>
      <c r="C43" s="8" t="n">
        <v>44852</v>
      </c>
      <c r="D43" s="8" t="n">
        <v>29176</v>
      </c>
      <c r="E43" s="8" t="n">
        <v>137647</v>
      </c>
      <c r="F43" s="8" t="n">
        <v>144463</v>
      </c>
      <c r="G43" s="8" t="n">
        <v>192935</v>
      </c>
      <c r="H43" s="8" t="n">
        <v>584228.58</v>
      </c>
      <c r="I43" s="8" t="n">
        <v>112602</v>
      </c>
      <c r="J43" s="8" t="n">
        <v>132395</v>
      </c>
      <c r="K43" s="8" t="n">
        <v>217584.55</v>
      </c>
      <c r="L43" s="8" t="n">
        <v>114824.21</v>
      </c>
      <c r="M43" s="8" t="n">
        <v>275498.55</v>
      </c>
      <c r="N43" s="8" t="n">
        <v>277879.48</v>
      </c>
      <c r="Q43" s="7" t="s">
        <v>17</v>
      </c>
      <c r="R43" s="8" t="n">
        <v>3677.635604066992</v>
      </c>
      <c r="S43" s="8" t="n">
        <v>41788.666543613384</v>
      </c>
      <c r="T43" s="8" t="n">
        <v>108988.05025850766</v>
      </c>
      <c r="U43" s="8" t="n">
        <v>82695.19743726417</v>
      </c>
      <c r="V43" s="8" t="n">
        <v>286010.4875769819</v>
      </c>
      <c r="W43" s="8" t="n">
        <v>474269.52562726376</v>
      </c>
      <c r="X43" s="8" t="n">
        <v>158297.7480897084</v>
      </c>
      <c r="Y43" s="8" t="n">
        <v>34029.425099881664</v>
      </c>
      <c r="Z43" s="8" t="n">
        <v>130869.5529775765</v>
      </c>
      <c r="AA43" s="8" t="n">
        <v>120571.69502492384</v>
      </c>
      <c r="AB43" s="8" t="n">
        <v>327668.4936261266</v>
      </c>
      <c r="AC43" s="8" t="n">
        <v>299813.41406910674</v>
      </c>
      <c r="AF43" s="7" t="s">
        <v>17</v>
      </c>
      <c r="AG43" s="8" t="n">
        <v>63030.03597872819</v>
      </c>
      <c r="AH43" s="8" t="n">
        <v>11177.497644019277</v>
      </c>
      <c r="AI43" s="8" t="n">
        <v>136297.89625507974</v>
      </c>
      <c r="AJ43" s="8" t="n">
        <v>98565.58981670447</v>
      </c>
      <c r="AK43" s="8" t="n">
        <v>91164.20561901006</v>
      </c>
      <c r="AL43" s="8" t="n">
        <v>46131.11273060655</v>
      </c>
      <c r="AM43" s="8" t="n">
        <v>62426.77782848577</v>
      </c>
      <c r="AN43" s="8" t="n">
        <v>92138.0385653557</v>
      </c>
      <c r="AO43" s="8" t="n">
        <v>85331.57785622712</v>
      </c>
      <c r="AP43" s="8" t="n">
        <v>170802.02553363136</v>
      </c>
      <c r="AQ43" s="8" t="n">
        <v>275231.5383798468</v>
      </c>
      <c r="AR43" s="8" t="n">
        <v>114939.93001931408</v>
      </c>
    </row>
    <row r="44" customFormat="false" ht="15.6" hidden="false" customHeight="false" outlineLevel="0" collapsed="false">
      <c r="B44" s="7" t="s">
        <v>18</v>
      </c>
      <c r="C44" s="8" t="n">
        <v>498606</v>
      </c>
      <c r="D44" s="8" t="n">
        <f aca="false">D10/(1+$A44)</f>
        <v>28</v>
      </c>
      <c r="E44" s="8" t="n">
        <v>396634</v>
      </c>
      <c r="F44" s="8" t="n">
        <f aca="false">F10/(1+$A44)</f>
        <v>42123</v>
      </c>
      <c r="G44" s="8" t="n">
        <v>117515</v>
      </c>
      <c r="H44" s="8" t="n">
        <v>59461.82</v>
      </c>
      <c r="I44" s="8" t="n">
        <v>161042</v>
      </c>
      <c r="J44" s="8" t="n">
        <v>170540</v>
      </c>
      <c r="K44" s="8" t="n">
        <v>208460.43</v>
      </c>
      <c r="L44" s="8" t="n">
        <v>71559.18</v>
      </c>
      <c r="M44" s="8" t="n">
        <v>360305.38</v>
      </c>
      <c r="N44" s="8" t="n">
        <v>34626.65</v>
      </c>
      <c r="Q44" s="7" t="s">
        <v>18</v>
      </c>
      <c r="R44" s="8" t="n">
        <v>90507.39396092281</v>
      </c>
      <c r="S44" s="8" t="n">
        <f aca="false">S10/(1+$A44)</f>
        <v>28.236095403991115</v>
      </c>
      <c r="T44" s="8" t="n">
        <v>118335.66637052063</v>
      </c>
      <c r="U44" s="8" t="n">
        <f aca="false">U10/(1+$A44)</f>
        <v>50879.95417428889</v>
      </c>
      <c r="V44" s="8" t="n">
        <v>109156.1728747961</v>
      </c>
      <c r="W44" s="8" t="n">
        <v>52471.26903298697</v>
      </c>
      <c r="X44" s="8" t="n">
        <v>36039.26112259441</v>
      </c>
      <c r="Y44" s="8" t="n">
        <v>192068.20507382622</v>
      </c>
      <c r="Z44" s="8" t="n">
        <v>128286.38945229081</v>
      </c>
      <c r="AA44" s="8" t="n">
        <v>47656.34348574412</v>
      </c>
      <c r="AB44" s="8" t="n">
        <v>150272.67587788712</v>
      </c>
      <c r="AC44" s="8" t="n">
        <v>21091.493527239974</v>
      </c>
      <c r="AF44" s="7" t="s">
        <v>18</v>
      </c>
      <c r="AG44" s="8" t="n">
        <v>557477.2678884756</v>
      </c>
      <c r="AH44" s="8" t="n">
        <f aca="false">AH10/(1+$A44)</f>
        <v>22.813945908204165</v>
      </c>
      <c r="AI44" s="8" t="n">
        <v>452196.6994281859</v>
      </c>
      <c r="AJ44" s="8" t="n">
        <f aca="false">AJ10/(1+$A44)</f>
        <v>33571.17548056931</v>
      </c>
      <c r="AK44" s="8" t="n">
        <v>78861.94837297102</v>
      </c>
      <c r="AL44" s="8" t="n">
        <v>30003.547817305305</v>
      </c>
      <c r="AM44" s="8" t="n">
        <v>105240.70475498142</v>
      </c>
      <c r="AN44" s="8" t="n">
        <v>226440.6272742438</v>
      </c>
      <c r="AO44" s="8" t="n">
        <v>80076.96540555071</v>
      </c>
      <c r="AP44" s="8" t="n">
        <v>62886.893082469745</v>
      </c>
      <c r="AQ44" s="8" t="n">
        <v>37763.18713101763</v>
      </c>
      <c r="AR44" s="8" t="n">
        <v>8331.84182379603</v>
      </c>
    </row>
    <row r="45" customFormat="false" ht="15.6" hidden="false" customHeight="false" outlineLevel="0" collapsed="false">
      <c r="B45" s="7" t="s">
        <v>19</v>
      </c>
      <c r="C45" s="8" t="n">
        <v>487138</v>
      </c>
      <c r="D45" s="8" t="n">
        <v>361900</v>
      </c>
      <c r="E45" s="8" t="n">
        <v>104517</v>
      </c>
      <c r="F45" s="8" t="n">
        <v>607090</v>
      </c>
      <c r="G45" s="8" t="n">
        <v>100275</v>
      </c>
      <c r="H45" s="8" t="n">
        <v>427214.52</v>
      </c>
      <c r="I45" s="8" t="n">
        <v>231930</v>
      </c>
      <c r="J45" s="8" t="n">
        <v>390498</v>
      </c>
      <c r="K45" s="8" t="n">
        <v>240690.11</v>
      </c>
      <c r="L45" s="8" t="n">
        <v>157227.3</v>
      </c>
      <c r="M45" s="8" t="n">
        <v>103422.35</v>
      </c>
      <c r="N45" s="8" t="n">
        <v>393442.51</v>
      </c>
      <c r="Q45" s="7" t="s">
        <v>19</v>
      </c>
      <c r="R45" s="8" t="n">
        <v>604869.6501883735</v>
      </c>
      <c r="S45" s="8" t="n">
        <v>180779.41472355742</v>
      </c>
      <c r="T45" s="8" t="n">
        <v>12322.651591541724</v>
      </c>
      <c r="U45" s="8" t="n">
        <v>910369.2771712405</v>
      </c>
      <c r="V45" s="8" t="n">
        <v>114513.61071703631</v>
      </c>
      <c r="W45" s="8" t="n">
        <v>535569.8712444436</v>
      </c>
      <c r="X45" s="8" t="n">
        <v>13282.74703165119</v>
      </c>
      <c r="Y45" s="8" t="n">
        <v>1287.5963356191464</v>
      </c>
      <c r="Z45" s="8" t="n">
        <v>157340.86901714886</v>
      </c>
      <c r="AA45" s="8" t="n">
        <v>49476.74650399014</v>
      </c>
      <c r="AB45" s="8" t="n">
        <v>52911.48341158288</v>
      </c>
      <c r="AC45" s="8" t="n">
        <v>300141.4145555955</v>
      </c>
      <c r="AF45" s="7" t="s">
        <v>19</v>
      </c>
      <c r="AG45" s="8" t="n">
        <v>440043.0868887695</v>
      </c>
      <c r="AH45" s="8" t="n">
        <v>127997.23842782422</v>
      </c>
      <c r="AI45" s="8" t="n">
        <v>34227.446148191884</v>
      </c>
      <c r="AJ45" s="8" t="n">
        <v>241899.83371379165</v>
      </c>
      <c r="AK45" s="8" t="n">
        <v>20429.783857160524</v>
      </c>
      <c r="AL45" s="8" t="n">
        <v>187924.73375684963</v>
      </c>
      <c r="AM45" s="8" t="n">
        <v>111334.45388540806</v>
      </c>
      <c r="AN45" s="8" t="n">
        <v>35651.609639452385</v>
      </c>
      <c r="AO45" s="8" t="n">
        <v>45337.54181765109</v>
      </c>
      <c r="AP45" s="8" t="n">
        <v>35485.63051717464</v>
      </c>
      <c r="AQ45" s="8" t="n">
        <v>86781.47097472614</v>
      </c>
      <c r="AR45" s="8" t="n">
        <v>35791.26512955116</v>
      </c>
    </row>
    <row r="46" customFormat="false" ht="15.6" hidden="false" customHeight="false" outlineLevel="0" collapsed="false">
      <c r="B46" s="7" t="s">
        <v>20</v>
      </c>
      <c r="C46" s="8" t="n">
        <v>60854</v>
      </c>
      <c r="D46" s="8" t="n">
        <v>81998</v>
      </c>
      <c r="E46" s="8" t="n">
        <v>89510</v>
      </c>
      <c r="F46" s="8" t="n">
        <v>57301</v>
      </c>
      <c r="G46" s="8" t="n">
        <v>60101</v>
      </c>
      <c r="H46" s="8" t="n">
        <v>80250.06</v>
      </c>
      <c r="I46" s="8" t="n">
        <v>70479</v>
      </c>
      <c r="J46" s="8" t="n">
        <v>52379</v>
      </c>
      <c r="K46" s="8" t="n">
        <v>65553.63</v>
      </c>
      <c r="L46" s="8" t="n">
        <v>52389.52</v>
      </c>
      <c r="M46" s="8" t="n">
        <v>41750.75</v>
      </c>
      <c r="N46" s="8" t="n">
        <v>83068.57</v>
      </c>
      <c r="Q46" s="7" t="s">
        <v>20</v>
      </c>
      <c r="R46" s="8" t="n">
        <v>54246.10902701201</v>
      </c>
      <c r="S46" s="8" t="n">
        <v>106621.80134640705</v>
      </c>
      <c r="T46" s="8" t="n">
        <v>132353.8775020388</v>
      </c>
      <c r="U46" s="8" t="n">
        <v>52685.76783159256</v>
      </c>
      <c r="V46" s="8" t="n">
        <v>56153.81950021884</v>
      </c>
      <c r="W46" s="8" t="n">
        <v>104480.79952017726</v>
      </c>
      <c r="X46" s="8" t="n">
        <v>89072.29737040716</v>
      </c>
      <c r="Y46" s="8" t="n">
        <v>7953.3902267344665</v>
      </c>
      <c r="Z46" s="8" t="n">
        <v>17119.265209477628</v>
      </c>
      <c r="AA46" s="8" t="n">
        <v>2946.5030369150627</v>
      </c>
      <c r="AB46" s="8" t="n">
        <v>16738.098363345245</v>
      </c>
      <c r="AC46" s="8" t="n">
        <v>10341.615533288092</v>
      </c>
      <c r="AF46" s="7" t="s">
        <v>20</v>
      </c>
      <c r="AG46" s="8" t="n">
        <v>36000.33691892427</v>
      </c>
      <c r="AH46" s="8" t="n">
        <v>77129.24055882206</v>
      </c>
      <c r="AI46" s="8" t="n">
        <v>132913.2683274507</v>
      </c>
      <c r="AJ46" s="8" t="n">
        <v>84068.45180387801</v>
      </c>
      <c r="AK46" s="8" t="n">
        <v>12338.86592487352</v>
      </c>
      <c r="AL46" s="8" t="n">
        <v>109075.97855505608</v>
      </c>
      <c r="AM46" s="8" t="n">
        <v>22700.614285029944</v>
      </c>
      <c r="AN46" s="8" t="n">
        <v>73346.10225861428</v>
      </c>
      <c r="AO46" s="8" t="n">
        <v>61073.27461935399</v>
      </c>
      <c r="AP46" s="8" t="n">
        <v>14258.942038129528</v>
      </c>
      <c r="AQ46" s="8" t="n">
        <v>35517.70919111315</v>
      </c>
      <c r="AR46" s="8" t="n">
        <v>58964.882601716075</v>
      </c>
    </row>
    <row r="47" customFormat="false" ht="15.6" hidden="false" customHeight="false" outlineLevel="0" collapsed="false">
      <c r="B47" s="7" t="s">
        <v>21</v>
      </c>
      <c r="C47" s="8" t="n">
        <v>239770</v>
      </c>
      <c r="D47" s="8" t="n">
        <v>399434</v>
      </c>
      <c r="E47" s="8" t="n">
        <v>546833</v>
      </c>
      <c r="F47" s="8" t="n">
        <v>334825</v>
      </c>
      <c r="G47" s="8" t="n">
        <v>325172</v>
      </c>
      <c r="H47" s="8" t="n">
        <v>626246</v>
      </c>
      <c r="I47" s="8" t="n">
        <v>302127.01</v>
      </c>
      <c r="J47" s="8" t="n">
        <v>179877</v>
      </c>
      <c r="K47" s="8" t="n">
        <v>367627</v>
      </c>
      <c r="L47" s="8" t="n">
        <v>193752.21</v>
      </c>
      <c r="M47" s="8" t="n">
        <v>476364.5</v>
      </c>
      <c r="N47" s="8" t="n">
        <v>666156.21</v>
      </c>
      <c r="Q47" s="7" t="s">
        <v>21</v>
      </c>
      <c r="R47" s="8" t="n">
        <v>13952.020256258744</v>
      </c>
      <c r="S47" s="8" t="n">
        <v>537900.6272478955</v>
      </c>
      <c r="T47" s="8" t="n">
        <v>407593.46956107864</v>
      </c>
      <c r="U47" s="8" t="n">
        <v>246821.46880868412</v>
      </c>
      <c r="V47" s="8" t="n">
        <v>94893.43038176424</v>
      </c>
      <c r="W47" s="8" t="n">
        <v>142151.42558708254</v>
      </c>
      <c r="X47" s="8" t="n">
        <v>65115.812776468956</v>
      </c>
      <c r="Y47" s="8" t="n">
        <v>188074.90576002194</v>
      </c>
      <c r="Z47" s="8" t="n">
        <v>14612.184631841616</v>
      </c>
      <c r="AA47" s="8" t="n">
        <v>230285.95055789698</v>
      </c>
      <c r="AB47" s="8" t="n">
        <v>39052.29239913904</v>
      </c>
      <c r="AC47" s="8" t="n">
        <v>855314.3290356325</v>
      </c>
      <c r="AF47" s="7" t="s">
        <v>21</v>
      </c>
      <c r="AG47" s="8" t="n">
        <v>26882.48448097045</v>
      </c>
      <c r="AH47" s="8" t="n">
        <v>154966.54293838714</v>
      </c>
      <c r="AI47" s="8" t="n">
        <v>466613.4286916655</v>
      </c>
      <c r="AJ47" s="8" t="n">
        <v>475462.23002965446</v>
      </c>
      <c r="AK47" s="8" t="n">
        <v>7208.183002727009</v>
      </c>
      <c r="AL47" s="8" t="n">
        <v>608115.0114229656</v>
      </c>
      <c r="AM47" s="8" t="n">
        <v>186157.76412427652</v>
      </c>
      <c r="AN47" s="8" t="n">
        <v>33756.467534803654</v>
      </c>
      <c r="AO47" s="8" t="n">
        <v>70590.2448856738</v>
      </c>
      <c r="AP47" s="8" t="n">
        <v>127601.52380294041</v>
      </c>
      <c r="AQ47" s="8" t="n">
        <v>218395.342014204</v>
      </c>
      <c r="AR47" s="8" t="n">
        <v>560705.8422011965</v>
      </c>
    </row>
    <row r="48" customFormat="false" ht="15.6" hidden="false" customHeight="false" outlineLevel="0" collapsed="false">
      <c r="B48" s="7" t="s">
        <v>22</v>
      </c>
      <c r="C48" s="8" t="n">
        <v>72162</v>
      </c>
      <c r="D48" s="8" t="n">
        <v>28</v>
      </c>
      <c r="E48" s="8" t="n">
        <v>210449</v>
      </c>
      <c r="F48" s="8" t="n">
        <v>41701</v>
      </c>
      <c r="G48" s="8" t="n">
        <v>111318</v>
      </c>
      <c r="H48" s="8" t="n">
        <v>80057.02</v>
      </c>
      <c r="I48" s="8" t="n">
        <v>10609</v>
      </c>
      <c r="J48" s="8" t="n">
        <v>142365</v>
      </c>
      <c r="K48" s="8" t="n">
        <v>82847.7</v>
      </c>
      <c r="L48" s="8" t="n">
        <v>31734.24</v>
      </c>
      <c r="M48" s="8" t="n">
        <v>54208.7</v>
      </c>
      <c r="N48" s="8" t="n">
        <v>139340.47</v>
      </c>
      <c r="Q48" s="7" t="s">
        <v>22</v>
      </c>
      <c r="R48" s="8" t="n">
        <v>73582.49247381507</v>
      </c>
      <c r="S48" s="8" t="n">
        <v>15.333871138467481</v>
      </c>
      <c r="T48" s="8" t="n">
        <v>311400.43851924664</v>
      </c>
      <c r="U48" s="8" t="n">
        <v>812.1576922486285</v>
      </c>
      <c r="V48" s="8" t="n">
        <v>74251.65623329536</v>
      </c>
      <c r="W48" s="8" t="n">
        <v>45030.75218686187</v>
      </c>
      <c r="X48" s="8" t="n">
        <v>12689.043822920203</v>
      </c>
      <c r="Y48" s="8" t="n">
        <v>39443.202121238</v>
      </c>
      <c r="Z48" s="8" t="n">
        <v>46157.45770504506</v>
      </c>
      <c r="AA48" s="8" t="n">
        <v>22070.387248958676</v>
      </c>
      <c r="AB48" s="8" t="n">
        <v>72251.82000653449</v>
      </c>
      <c r="AC48" s="8" t="n">
        <v>186531.560476403</v>
      </c>
      <c r="AF48" s="7" t="s">
        <v>22</v>
      </c>
      <c r="AG48" s="8" t="n">
        <v>31481.96602428432</v>
      </c>
      <c r="AH48" s="8" t="n">
        <v>30.662068896675635</v>
      </c>
      <c r="AI48" s="8" t="n">
        <v>171749.82306247947</v>
      </c>
      <c r="AJ48" s="8" t="n">
        <v>49253.004526962824</v>
      </c>
      <c r="AK48" s="8" t="n">
        <v>150802.3329892493</v>
      </c>
      <c r="AL48" s="8" t="n">
        <v>114424.76199364544</v>
      </c>
      <c r="AM48" s="8" t="n">
        <v>5501.499997737811</v>
      </c>
      <c r="AN48" s="8" t="n">
        <v>88597.9321512095</v>
      </c>
      <c r="AO48" s="8" t="n">
        <v>83710.24194088262</v>
      </c>
      <c r="AP48" s="8" t="n">
        <v>33792.40947786383</v>
      </c>
      <c r="AQ48" s="8" t="n">
        <v>24748.109697577398</v>
      </c>
      <c r="AR48" s="8" t="n">
        <v>31907.710563933535</v>
      </c>
    </row>
    <row r="49" customFormat="false" ht="15.6" hidden="false" customHeight="false" outlineLevel="0" collapsed="false">
      <c r="B49" s="7" t="s">
        <v>23</v>
      </c>
      <c r="C49" s="8" t="n">
        <v>115698</v>
      </c>
      <c r="D49" s="8" t="n">
        <v>2757</v>
      </c>
      <c r="E49" s="8" t="n">
        <v>3371</v>
      </c>
      <c r="F49" s="8" t="n">
        <v>65933</v>
      </c>
      <c r="G49" s="8" t="n">
        <v>20190</v>
      </c>
      <c r="H49" s="8" t="n">
        <v>39526.76</v>
      </c>
      <c r="I49" s="8" t="n">
        <v>72393</v>
      </c>
      <c r="J49" s="8" t="n">
        <v>80605</v>
      </c>
      <c r="K49" s="8" t="n">
        <v>-7731.4</v>
      </c>
      <c r="L49" s="8" t="n">
        <v>0</v>
      </c>
      <c r="M49" s="8" t="n">
        <v>49904.76</v>
      </c>
      <c r="N49" s="8" t="n">
        <v>-5360.73</v>
      </c>
      <c r="Q49" s="7" t="s">
        <v>23</v>
      </c>
      <c r="R49" s="8" t="n">
        <v>6212.152483497517</v>
      </c>
      <c r="S49" s="8" t="n">
        <v>2601.0211149060437</v>
      </c>
      <c r="T49" s="8" t="n">
        <v>4178.931780150607</v>
      </c>
      <c r="U49" s="8" t="n">
        <v>96685.34348102342</v>
      </c>
      <c r="V49" s="8" t="n">
        <v>29126.132207690618</v>
      </c>
      <c r="W49" s="8" t="n">
        <v>45780.9866831422</v>
      </c>
      <c r="X49" s="8" t="n">
        <v>78836.65328976738</v>
      </c>
      <c r="Y49" s="8" t="n">
        <v>45473.28611259648</v>
      </c>
      <c r="Z49" s="8" t="n">
        <v>-8129.880465923068</v>
      </c>
      <c r="AA49" s="8" t="n">
        <v>0.0</v>
      </c>
      <c r="AB49" s="8" t="n">
        <v>36596.02418399319</v>
      </c>
      <c r="AC49" s="8" t="n">
        <v>-4909.529042319827</v>
      </c>
      <c r="AF49" s="7" t="s">
        <v>23</v>
      </c>
      <c r="AG49" s="8" t="n">
        <v>27067.660101573765</v>
      </c>
      <c r="AH49" s="8" t="n">
        <v>3797.2073545050216</v>
      </c>
      <c r="AI49" s="8" t="n">
        <v>234.95025197042014</v>
      </c>
      <c r="AJ49" s="8" t="n">
        <v>36944.253524706175</v>
      </c>
      <c r="AK49" s="8" t="n">
        <v>9684.312878348032</v>
      </c>
      <c r="AL49" s="8" t="n">
        <v>30715.60108553028</v>
      </c>
      <c r="AM49" s="8" t="n">
        <v>84257.03521316098</v>
      </c>
      <c r="AN49" s="8" t="n">
        <v>10275.8007875541</v>
      </c>
      <c r="AO49" s="8" t="n">
        <v>-6098.76565587002</v>
      </c>
      <c r="AP49" s="8" t="n">
        <v>0.0</v>
      </c>
      <c r="AQ49" s="8" t="n">
        <v>69916.61900987572</v>
      </c>
      <c r="AR49" s="8" t="n">
        <v>-2080.1021817289156</v>
      </c>
    </row>
    <row r="50" customFormat="false" ht="15.6" hidden="false" customHeight="false" outlineLevel="0" collapsed="false">
      <c r="B50" s="7" t="s">
        <v>24</v>
      </c>
      <c r="C50" s="8" t="n">
        <v>141975</v>
      </c>
      <c r="D50" s="8" t="n">
        <v>57058</v>
      </c>
      <c r="E50" s="8" t="n">
        <v>10022</v>
      </c>
      <c r="F50" s="8" t="n">
        <v>80617</v>
      </c>
      <c r="G50" s="8" t="n">
        <v>33668</v>
      </c>
      <c r="H50" s="8" t="n">
        <v>31640.54</v>
      </c>
      <c r="I50" s="8" t="n">
        <v>-90</v>
      </c>
      <c r="J50" s="8" t="n">
        <v>13774</v>
      </c>
      <c r="K50" s="8" t="n">
        <v>50659.12</v>
      </c>
      <c r="L50" s="8" t="n">
        <v>42026.23</v>
      </c>
      <c r="M50" s="8" t="n">
        <v>114677.35</v>
      </c>
      <c r="N50" s="8" t="n">
        <v>27586.05</v>
      </c>
      <c r="Q50" s="7" t="s">
        <v>24</v>
      </c>
      <c r="R50" s="8" t="n">
        <v>91559.40690166767</v>
      </c>
      <c r="S50" s="8" t="n">
        <v>4929.497700233315</v>
      </c>
      <c r="T50" s="8" t="n">
        <v>10301.531256234537</v>
      </c>
      <c r="U50" s="8" t="n">
        <v>23462.519627918853</v>
      </c>
      <c r="V50" s="8" t="n">
        <v>41923.20435643592</v>
      </c>
      <c r="W50" s="8" t="n">
        <v>38156.907552216035</v>
      </c>
      <c r="X50" s="8" t="n">
        <v>-106.44283508955837</v>
      </c>
      <c r="Y50" s="8" t="n">
        <v>18771.10040644396</v>
      </c>
      <c r="Z50" s="8" t="n">
        <v>74488.27023877933</v>
      </c>
      <c r="AA50" s="8" t="n">
        <v>25453.091393927476</v>
      </c>
      <c r="AB50" s="8" t="n">
        <v>85483.94140196485</v>
      </c>
      <c r="AC50" s="8" t="n">
        <v>18505.106812641887</v>
      </c>
      <c r="AF50" s="7" t="s">
        <v>24</v>
      </c>
      <c r="AG50" s="8" t="n">
        <v>101692.76966529657</v>
      </c>
      <c r="AH50" s="8" t="n">
        <v>31598.466571631405</v>
      </c>
      <c r="AI50" s="8" t="n">
        <v>9552.863424971627</v>
      </c>
      <c r="AJ50" s="8" t="n">
        <v>18172.8634973702</v>
      </c>
      <c r="AK50" s="8" t="n">
        <v>40830.160674939274</v>
      </c>
      <c r="AL50" s="8" t="n">
        <v>43761.88411287103</v>
      </c>
      <c r="AM50" s="8" t="n">
        <v>-23.442846241998396</v>
      </c>
      <c r="AN50" s="8" t="n">
        <v>11075.2551684088</v>
      </c>
      <c r="AO50" s="8" t="n">
        <v>75885.17423719316</v>
      </c>
      <c r="AP50" s="8" t="n">
        <v>17520.219769371328</v>
      </c>
      <c r="AQ50" s="8" t="n">
        <v>1847.584947239953</v>
      </c>
      <c r="AR50" s="8" t="n">
        <v>40081.02656016509</v>
      </c>
    </row>
    <row r="51" customFormat="false" ht="15.6" hidden="false" customHeight="false" outlineLevel="0" collapsed="false">
      <c r="B51" s="7" t="s">
        <v>25</v>
      </c>
      <c r="C51" s="8" t="n">
        <v>150505</v>
      </c>
      <c r="D51" s="8" t="n">
        <v>108916</v>
      </c>
      <c r="E51" s="8" t="n">
        <v>120942</v>
      </c>
      <c r="F51" s="8" t="n">
        <v>109757</v>
      </c>
      <c r="G51" s="8" t="n">
        <v>118346</v>
      </c>
      <c r="H51" s="8" t="n">
        <v>109380.2</v>
      </c>
      <c r="I51" s="8" t="n">
        <v>56490</v>
      </c>
      <c r="J51" s="8" t="n">
        <v>60682</v>
      </c>
      <c r="K51" s="8" t="n">
        <v>87535.3</v>
      </c>
      <c r="L51" s="8" t="n">
        <v>122261.35</v>
      </c>
      <c r="M51" s="8" t="n">
        <v>28375.47</v>
      </c>
      <c r="N51" s="8" t="n">
        <v>39153.19</v>
      </c>
      <c r="Q51" s="7" t="s">
        <v>25</v>
      </c>
      <c r="R51" s="8" t="n">
        <v>82355.79545668856</v>
      </c>
      <c r="S51" s="8" t="n">
        <v>146983.25398936964</v>
      </c>
      <c r="T51" s="8" t="n">
        <v>22910.770321153643</v>
      </c>
      <c r="U51" s="8" t="n">
        <v>68864.6704079156</v>
      </c>
      <c r="V51" s="8" t="n">
        <v>164795.61440725438</v>
      </c>
      <c r="W51" s="8" t="n">
        <v>15909.56119153469</v>
      </c>
      <c r="X51" s="8" t="n">
        <v>13402.19102182939</v>
      </c>
      <c r="Y51" s="8" t="n">
        <v>55064.43150350324</v>
      </c>
      <c r="Z51" s="8" t="n">
        <v>118275.25619427285</v>
      </c>
      <c r="AA51" s="8" t="n">
        <v>174132.25454862832</v>
      </c>
      <c r="AB51" s="8" t="n">
        <v>10560.543314113489</v>
      </c>
      <c r="AC51" s="8" t="n">
        <v>311.6082261807493</v>
      </c>
      <c r="AF51" s="7" t="s">
        <v>25</v>
      </c>
      <c r="AG51" s="8" t="n">
        <v>113045.6717895554</v>
      </c>
      <c r="AH51" s="8" t="n">
        <v>53764.53410245973</v>
      </c>
      <c r="AI51" s="8" t="n">
        <v>33290.008336702434</v>
      </c>
      <c r="AJ51" s="8" t="n">
        <v>39905.07379962035</v>
      </c>
      <c r="AK51" s="8" t="n">
        <v>87781.15335243063</v>
      </c>
      <c r="AL51" s="8" t="n">
        <v>143889.4238284626</v>
      </c>
      <c r="AM51" s="8" t="n">
        <v>11002.343771782673</v>
      </c>
      <c r="AN51" s="8" t="n">
        <v>64561.64852696331</v>
      </c>
      <c r="AO51" s="8" t="n">
        <v>63200.184195984104</v>
      </c>
      <c r="AP51" s="8" t="n">
        <v>70961.95500517715</v>
      </c>
      <c r="AQ51" s="8" t="n">
        <v>38160.63233452987</v>
      </c>
      <c r="AR51" s="8" t="n">
        <v>18653.933786647453</v>
      </c>
    </row>
    <row r="52" customFormat="false" ht="15.6" hidden="false" customHeight="false" outlineLevel="0" collapsed="false">
      <c r="B52" s="7" t="s">
        <v>26</v>
      </c>
      <c r="C52" s="8" t="n">
        <v>52159</v>
      </c>
      <c r="D52" s="8" t="n">
        <v>50480</v>
      </c>
      <c r="E52" s="8" t="n">
        <v>184517</v>
      </c>
      <c r="F52" s="8" t="n">
        <v>200630</v>
      </c>
      <c r="G52" s="8" t="n">
        <v>111284</v>
      </c>
      <c r="H52" s="8" t="n">
        <v>129796.94</v>
      </c>
      <c r="I52" s="8" t="n">
        <v>55624</v>
      </c>
      <c r="J52" s="8" t="n">
        <v>58652</v>
      </c>
      <c r="K52" s="8" t="n">
        <v>64685.34</v>
      </c>
      <c r="L52" s="8" t="n">
        <v>50630.28</v>
      </c>
      <c r="M52" s="8" t="n">
        <v>21208.73</v>
      </c>
      <c r="N52" s="8" t="n">
        <v>62926.73</v>
      </c>
      <c r="Q52" s="7" t="s">
        <v>26</v>
      </c>
      <c r="R52" s="8" t="n">
        <v>39498.33881111156</v>
      </c>
      <c r="S52" s="8" t="n">
        <v>45883.21052586794</v>
      </c>
      <c r="T52" s="8" t="n">
        <v>65311.961225004605</v>
      </c>
      <c r="U52" s="8" t="n">
        <v>201253.94918595944</v>
      </c>
      <c r="V52" s="8" t="n">
        <v>129187.59498068715</v>
      </c>
      <c r="W52" s="8" t="n">
        <v>73098.12714427701</v>
      </c>
      <c r="X52" s="8" t="n">
        <v>74361.9454851106</v>
      </c>
      <c r="Y52" s="8" t="n">
        <v>45356.61433010364</v>
      </c>
      <c r="Z52" s="8" t="n">
        <v>52232.44712456229</v>
      </c>
      <c r="AA52" s="8" t="n">
        <v>11939.259309977686</v>
      </c>
      <c r="AB52" s="8" t="n">
        <v>27431.21237175258</v>
      </c>
      <c r="AC52" s="8" t="n">
        <v>82589.28694434054</v>
      </c>
      <c r="AF52" s="7" t="s">
        <v>26</v>
      </c>
      <c r="AG52" s="8" t="n">
        <v>2089.1467381528587</v>
      </c>
      <c r="AH52" s="8" t="n">
        <v>25677.91271942892</v>
      </c>
      <c r="AI52" s="8" t="n">
        <v>143182.64569646973</v>
      </c>
      <c r="AJ52" s="8" t="n">
        <v>80553.78121441952</v>
      </c>
      <c r="AK52" s="8" t="n">
        <v>103213.38072052285</v>
      </c>
      <c r="AL52" s="8" t="n">
        <v>140622.8765368394</v>
      </c>
      <c r="AM52" s="8" t="n">
        <v>18358.2010768287</v>
      </c>
      <c r="AN52" s="8" t="n">
        <v>74351.35729608363</v>
      </c>
      <c r="AO52" s="8" t="n">
        <v>43798.39770146686</v>
      </c>
      <c r="AP52" s="8" t="n">
        <v>19213.76081009753</v>
      </c>
      <c r="AQ52" s="8" t="n">
        <v>20857.340471945572</v>
      </c>
      <c r="AR52" s="8" t="n">
        <v>38565.577244721055</v>
      </c>
    </row>
    <row r="53" customFormat="false" ht="15.6" hidden="false" customHeight="false" outlineLevel="0" collapsed="false">
      <c r="B53" s="20" t="s">
        <v>27</v>
      </c>
      <c r="C53" s="21" t="n">
        <f aca="false">SUM(C42:C52)</f>
        <v>1942225</v>
      </c>
      <c r="D53" s="21" t="n">
        <f aca="false">SUM(D42:D52)</f>
        <v>1099747</v>
      </c>
      <c r="E53" s="21" t="n">
        <v>1923518.14</v>
      </c>
      <c r="F53" s="21" t="n">
        <v>1651499</v>
      </c>
      <c r="G53" s="21" t="n">
        <f aca="false">SUM(G42:G52)</f>
        <v>1325789</v>
      </c>
      <c r="H53" s="21" t="n">
        <v>2194360.58</v>
      </c>
      <c r="I53" s="21" t="n">
        <f aca="false">SUM(I42:I52)</f>
        <v>1136271.01</v>
      </c>
      <c r="J53" s="21" t="n">
        <f aca="false">SUM(J42:J52)</f>
        <v>1289589</v>
      </c>
      <c r="K53" s="21" t="n">
        <f aca="false">SUM(K42:K52)</f>
        <v>1544720.48</v>
      </c>
      <c r="L53" s="21" t="n">
        <f aca="false">SUM(L42:L52)</f>
        <v>844385.93</v>
      </c>
      <c r="M53" s="21" t="n">
        <v>1592593.59</v>
      </c>
      <c r="N53" s="21" t="n">
        <f aca="false">SUM(N42:N52)</f>
        <v>1729560.29</v>
      </c>
      <c r="Q53" s="20" t="s">
        <v>27</v>
      </c>
      <c r="R53" s="21" t="n">
        <f aca="false">SUM(R42:R52)</f>
        <v>988264.512780277</v>
      </c>
      <c r="S53" s="21" t="n">
        <f aca="false">SUM(S42:S52)</f>
        <v>20516.263471710023</v>
      </c>
      <c r="T53" s="21" t="n">
        <v>1452747.0813106517</v>
      </c>
      <c r="U53" s="21" t="n">
        <v>1817609.987725368</v>
      </c>
      <c r="V53" s="21" t="n">
        <f aca="false">SUM(V42:V52)</f>
        <v>636452.728279551</v>
      </c>
      <c r="W53" s="21" t="n">
        <v>1097835.3528241208</v>
      </c>
      <c r="X53" s="21" t="n">
        <f aca="false">SUM(X42:X52)</f>
        <v>544864.1494351975</v>
      </c>
      <c r="Y53" s="21" t="n">
        <f aca="false">SUM(Y42:Y52)</f>
        <v>150213.4815111171</v>
      </c>
      <c r="Z53" s="21" t="n">
        <f aca="false">SUM(Z42:Z52)</f>
        <v>1239013.3666547039</v>
      </c>
      <c r="AA53" s="21" t="n">
        <f aca="false">SUM(AA42:AA52)</f>
        <v>1161071.4860034804</v>
      </c>
      <c r="AB53" s="21" t="n">
        <v>1317015.354448587</v>
      </c>
      <c r="AC53" s="21" t="n">
        <f aca="false">SUM(AC42:AC52)</f>
        <v>109274.65617837274</v>
      </c>
      <c r="AF53" s="20" t="s">
        <v>27</v>
      </c>
      <c r="AG53" s="21" t="n">
        <f aca="false">SUM(AG42:AG52)</f>
        <v>2834984.1409714352</v>
      </c>
      <c r="AH53" s="21" t="n">
        <f aca="false">SUM(AH42:AH52)</f>
        <v>1196073.93871226</v>
      </c>
      <c r="AI53" s="21" t="n">
        <v>278212.8783682055</v>
      </c>
      <c r="AJ53" s="21" t="n">
        <v>877049.9120493215</v>
      </c>
      <c r="AK53" s="21" t="n">
        <f aca="false">SUM(AK42:AK52)</f>
        <v>1255677.7671979864</v>
      </c>
      <c r="AL53" s="21" t="n">
        <v>287890.7388965613</v>
      </c>
      <c r="AM53" s="21" t="n">
        <f aca="false">SUM(AM42:AM52)</f>
        <v>1003229.5604680085</v>
      </c>
      <c r="AN53" s="21" t="n">
        <f aca="false">SUM(AN42:AN52)</f>
        <v>276262.2448245074</v>
      </c>
      <c r="AO53" s="21" t="n">
        <f aca="false">SUM(AO42:AO52)</f>
        <v>1554027.4340473271</v>
      </c>
      <c r="AP53" s="21" t="n">
        <f aca="false">SUM(AP42:AP52)</f>
        <v>849757.6345397411</v>
      </c>
      <c r="AQ53" s="21" t="n">
        <v>914611.5500802435</v>
      </c>
      <c r="AR53" s="21" t="n">
        <f aca="false">SUM(AR42:AR52)</f>
        <v>2268885.132696131</v>
      </c>
    </row>
    <row r="54" customFormat="false" ht="15.6" hidden="false" customHeight="false" outlineLevel="0" collapsed="false">
      <c r="B54" s="7" t="s">
        <v>28</v>
      </c>
      <c r="C54" s="8" t="n">
        <v>200498</v>
      </c>
      <c r="D54" s="8" t="n">
        <v>148633</v>
      </c>
      <c r="E54" s="8" t="n">
        <v>252496</v>
      </c>
      <c r="F54" s="8" t="n">
        <v>152273</v>
      </c>
      <c r="G54" s="8" t="n">
        <v>181710</v>
      </c>
      <c r="H54" s="8" t="n">
        <v>169099.63</v>
      </c>
      <c r="I54" s="8" t="n">
        <v>147652.55</v>
      </c>
      <c r="J54" s="8" t="n">
        <v>183004.75</v>
      </c>
      <c r="K54" s="8" t="n">
        <v>104315.9</v>
      </c>
      <c r="L54" s="8" t="n">
        <v>164091</v>
      </c>
      <c r="M54" s="8" t="n">
        <f aca="false">M20/(1+$A54)</f>
        <v>315728</v>
      </c>
      <c r="N54" s="8" t="n">
        <v>140060.37</v>
      </c>
      <c r="Q54" s="7" t="s">
        <v>28</v>
      </c>
      <c r="R54" s="8" t="n">
        <v>289653.31772639474</v>
      </c>
      <c r="S54" s="8" t="n">
        <v>57949.133015355175</v>
      </c>
      <c r="T54" s="8" t="n">
        <v>235066.10440574965</v>
      </c>
      <c r="U54" s="8" t="n">
        <v>35285.210906218075</v>
      </c>
      <c r="V54" s="8" t="n">
        <v>190080.55720074323</v>
      </c>
      <c r="W54" s="8" t="n">
        <v>182516.32050967944</v>
      </c>
      <c r="X54" s="8" t="n">
        <v>189745.5333324723</v>
      </c>
      <c r="Y54" s="8" t="n">
        <v>109804.39260311924</v>
      </c>
      <c r="Z54" s="8" t="n">
        <v>106608.88595643258</v>
      </c>
      <c r="AA54" s="8" t="n">
        <v>195470.082279764</v>
      </c>
      <c r="AB54" s="8" t="n">
        <f aca="false">AB20/(1+$A54)</f>
        <v>154814.50137448485</v>
      </c>
      <c r="AC54" s="8" t="n">
        <v>143693.6740908407</v>
      </c>
      <c r="AF54" s="7" t="s">
        <v>28</v>
      </c>
      <c r="AG54" s="8" t="n">
        <v>171075.6016111405</v>
      </c>
      <c r="AH54" s="8" t="n">
        <v>108219.56677511537</v>
      </c>
      <c r="AI54" s="8" t="n">
        <v>214567.99993931304</v>
      </c>
      <c r="AJ54" s="8" t="n">
        <v>102987.52304764789</v>
      </c>
      <c r="AK54" s="8" t="n">
        <v>76228.25973272075</v>
      </c>
      <c r="AL54" s="8" t="n">
        <v>199380.49996390627</v>
      </c>
      <c r="AM54" s="8" t="n">
        <v>216825.75072301374</v>
      </c>
      <c r="AN54" s="8" t="n">
        <v>120117.72466366991</v>
      </c>
      <c r="AO54" s="8" t="n">
        <v>115510.67373252999</v>
      </c>
      <c r="AP54" s="8" t="n">
        <v>29943.413562724098</v>
      </c>
      <c r="AQ54" s="8" t="n">
        <f aca="false">AQ20/(1+$A54)</f>
        <v>302517.185973085</v>
      </c>
      <c r="AR54" s="8" t="n">
        <v>151809.722138012</v>
      </c>
    </row>
    <row r="55" customFormat="false" ht="15.6" hidden="false" customHeight="false" outlineLevel="0" collapsed="false">
      <c r="B55" s="20" t="s">
        <v>28</v>
      </c>
      <c r="C55" s="21" t="n">
        <f aca="false">SUM(C54)</f>
        <v>200498</v>
      </c>
      <c r="D55" s="21" t="n">
        <f aca="false">SUM(D54)</f>
        <v>148633</v>
      </c>
      <c r="E55" s="21" t="n">
        <f aca="false">SUM(E54)</f>
        <v>252496</v>
      </c>
      <c r="F55" s="21" t="n">
        <f aca="false">SUM(F54)</f>
        <v>152273</v>
      </c>
      <c r="G55" s="21" t="n">
        <f aca="false">SUM(G54)</f>
        <v>181710</v>
      </c>
      <c r="H55" s="21" t="n">
        <f aca="false">SUM(H54)</f>
        <v>169099.63</v>
      </c>
      <c r="I55" s="21" t="n">
        <f aca="false">SUM(I54)</f>
        <v>147652.55</v>
      </c>
      <c r="J55" s="21" t="n">
        <f aca="false">SUM(J54)</f>
        <v>183004.75</v>
      </c>
      <c r="K55" s="21" t="n">
        <f aca="false">SUM(K54)</f>
        <v>104315.9</v>
      </c>
      <c r="L55" s="21" t="n">
        <f aca="false">SUM(L54)</f>
        <v>164091</v>
      </c>
      <c r="M55" s="21" t="n">
        <f aca="false">SUM(M54)</f>
        <v>315728</v>
      </c>
      <c r="N55" s="21" t="n">
        <f aca="false">SUM(N54)</f>
        <v>140060.37</v>
      </c>
      <c r="Q55" s="20" t="s">
        <v>28</v>
      </c>
      <c r="R55" s="21" t="n">
        <f aca="false">SUM(R54)</f>
        <v>252798.03118232684</v>
      </c>
      <c r="S55" s="21" t="n">
        <f aca="false">SUM(S54)</f>
        <v>19947.95432477211</v>
      </c>
      <c r="T55" s="21" t="n">
        <f aca="false">SUM(T54)</f>
        <v>7614.516058016772</v>
      </c>
      <c r="U55" s="21" t="n">
        <f aca="false">SUM(U54)</f>
        <v>124054.76068441728</v>
      </c>
      <c r="V55" s="21" t="n">
        <f aca="false">SUM(V54)</f>
        <v>130720.34990192407</v>
      </c>
      <c r="W55" s="21" t="n">
        <f aca="false">SUM(W54)</f>
        <v>232246.50202810418</v>
      </c>
      <c r="X55" s="21" t="n">
        <f aca="false">SUM(X54)</f>
        <v>126355.86563953855</v>
      </c>
      <c r="Y55" s="21" t="n">
        <f aca="false">SUM(Y54)</f>
        <v>32822.515184417105</v>
      </c>
      <c r="Z55" s="21" t="n">
        <f aca="false">SUM(Z54)</f>
        <v>151055.95998748665</v>
      </c>
      <c r="AA55" s="21" t="n">
        <f aca="false">SUM(AA54)</f>
        <v>124159.96715901034</v>
      </c>
      <c r="AB55" s="21" t="n">
        <f aca="false">SUM(AB54)</f>
        <v>88223.22250684265</v>
      </c>
      <c r="AC55" s="21" t="n">
        <f aca="false">SUM(AC54)</f>
        <v>112500.3914060949</v>
      </c>
      <c r="AF55" s="20" t="s">
        <v>28</v>
      </c>
      <c r="AG55" s="21" t="n">
        <f aca="false">SUM(AG54)</f>
        <v>187517.11569501043</v>
      </c>
      <c r="AH55" s="21" t="n">
        <f aca="false">SUM(AH54)</f>
        <v>222584.53155766436</v>
      </c>
      <c r="AI55" s="21" t="n">
        <f aca="false">SUM(AI54)</f>
        <v>46639.246862490996</v>
      </c>
      <c r="AJ55" s="21" t="n">
        <f aca="false">SUM(AJ54)</f>
        <v>126490.63377953142</v>
      </c>
      <c r="AK55" s="21" t="n">
        <f aca="false">SUM(AK54)</f>
        <v>74665.22078335752</v>
      </c>
      <c r="AL55" s="21" t="n">
        <f aca="false">SUM(AL54)</f>
        <v>208505.8895400149</v>
      </c>
      <c r="AM55" s="21" t="n">
        <f aca="false">SUM(AM54)</f>
        <v>52422.6736704229</v>
      </c>
      <c r="AN55" s="21" t="n">
        <f aca="false">SUM(AN54)</f>
        <v>182434.1895974945</v>
      </c>
      <c r="AO55" s="21" t="n">
        <f aca="false">SUM(AO54)</f>
        <v>133954.37689590023</v>
      </c>
      <c r="AP55" s="21" t="n">
        <f aca="false">SUM(AP54)</f>
        <v>27352.536114102502</v>
      </c>
      <c r="AQ55" s="21" t="n">
        <f aca="false">SUM(AQ54)</f>
        <v>31982.01637005602</v>
      </c>
      <c r="AR55" s="21" t="n">
        <f aca="false">SUM(AR54)</f>
        <v>80960.5801738305</v>
      </c>
    </row>
    <row r="56" customFormat="false" ht="15.6" hidden="false" customHeight="false" outlineLevel="0" collapsed="false">
      <c r="B56" s="23" t="s">
        <v>29</v>
      </c>
      <c r="C56" s="8" t="n">
        <v>174829</v>
      </c>
      <c r="D56" s="8" t="n">
        <v>186282</v>
      </c>
      <c r="E56" s="8" t="n">
        <v>163050</v>
      </c>
      <c r="F56" s="8" t="n">
        <v>139694</v>
      </c>
      <c r="G56" s="8" t="n">
        <v>121142</v>
      </c>
      <c r="H56" s="8" t="n">
        <v>104078</v>
      </c>
      <c r="I56" s="8" t="n">
        <v>132220</v>
      </c>
      <c r="J56" s="8" t="n">
        <v>72787</v>
      </c>
      <c r="K56" s="8" t="n">
        <v>126927</v>
      </c>
      <c r="L56" s="8" t="n">
        <v>142842</v>
      </c>
      <c r="M56" s="8" t="n">
        <v>60848</v>
      </c>
      <c r="N56" s="8" t="n">
        <v>8120</v>
      </c>
      <c r="Q56" s="23" t="s">
        <v>29</v>
      </c>
      <c r="R56" s="8" t="n">
        <v>23758.585969079726</v>
      </c>
      <c r="S56" s="8" t="n">
        <v>240641.66338861815</v>
      </c>
      <c r="T56" s="8" t="n">
        <v>48970.67805447597</v>
      </c>
      <c r="U56" s="8" t="n">
        <v>53993.01142741755</v>
      </c>
      <c r="V56" s="8" t="n">
        <v>151205.43137868252</v>
      </c>
      <c r="W56" s="8" t="n">
        <v>123757.03649435032</v>
      </c>
      <c r="X56" s="8" t="n">
        <v>138122.5883952895</v>
      </c>
      <c r="Y56" s="8" t="n">
        <v>98828.52325776858</v>
      </c>
      <c r="Z56" s="8" t="n">
        <v>131341.19791670638</v>
      </c>
      <c r="AA56" s="8" t="n">
        <v>71571.45567954473</v>
      </c>
      <c r="AB56" s="8" t="n">
        <v>57284.49688954818</v>
      </c>
      <c r="AC56" s="8" t="n">
        <v>3271.0113100260032</v>
      </c>
      <c r="AF56" s="23" t="s">
        <v>29</v>
      </c>
      <c r="AG56" s="8" t="n">
        <v>206650.7271825367</v>
      </c>
      <c r="AH56" s="8" t="n">
        <v>182280.0207158818</v>
      </c>
      <c r="AI56" s="8" t="n">
        <v>174607.36365521114</v>
      </c>
      <c r="AJ56" s="8" t="n">
        <v>22927.39582985954</v>
      </c>
      <c r="AK56" s="8" t="n">
        <v>58058.28850230642</v>
      </c>
      <c r="AL56" s="8" t="n">
        <v>131276.0226069192</v>
      </c>
      <c r="AM56" s="8" t="n">
        <v>26904.751203824293</v>
      </c>
      <c r="AN56" s="8" t="n">
        <v>104280.76697695274</v>
      </c>
      <c r="AO56" s="8" t="n">
        <v>113334.4951137587</v>
      </c>
      <c r="AP56" s="8" t="n">
        <v>176331.49227521938</v>
      </c>
      <c r="AQ56" s="8" t="n">
        <v>1518.9624607234243</v>
      </c>
      <c r="AR56" s="8" t="n">
        <v>7171.7611227283705</v>
      </c>
    </row>
    <row r="57" customFormat="false" ht="15.6" hidden="false" customHeight="false" outlineLevel="0" collapsed="false">
      <c r="B57" s="23" t="s">
        <v>30</v>
      </c>
      <c r="C57" s="8" t="n">
        <v>338788</v>
      </c>
      <c r="D57" s="8" t="n">
        <v>20624</v>
      </c>
      <c r="E57" s="8" t="n">
        <v>291765</v>
      </c>
      <c r="F57" s="8" t="n">
        <v>165694</v>
      </c>
      <c r="G57" s="8" t="n">
        <v>107144</v>
      </c>
      <c r="H57" s="8" t="n">
        <v>211077</v>
      </c>
      <c r="I57" s="8" t="n">
        <v>185979</v>
      </c>
      <c r="J57" s="8" t="n">
        <v>314599</v>
      </c>
      <c r="K57" s="8" t="n">
        <v>198163</v>
      </c>
      <c r="L57" s="8" t="n">
        <v>356617</v>
      </c>
      <c r="M57" s="8" t="n">
        <v>219724</v>
      </c>
      <c r="N57" s="8" t="n">
        <v>261427</v>
      </c>
      <c r="Q57" s="23" t="s">
        <v>30</v>
      </c>
      <c r="R57" s="8" t="n">
        <v>316366.9673278787</v>
      </c>
      <c r="S57" s="8" t="n">
        <v>16094.53390681386</v>
      </c>
      <c r="T57" s="8" t="n">
        <v>200980.52581598167</v>
      </c>
      <c r="U57" s="8" t="n">
        <v>231740.90185385072</v>
      </c>
      <c r="V57" s="8" t="n">
        <v>115889.67605469281</v>
      </c>
      <c r="W57" s="8" t="n">
        <v>299869.40994312876</v>
      </c>
      <c r="X57" s="8" t="n">
        <v>39454.82202762633</v>
      </c>
      <c r="Y57" s="8" t="n">
        <v>85610.74386193004</v>
      </c>
      <c r="Z57" s="8" t="n">
        <v>212869.8828141525</v>
      </c>
      <c r="AA57" s="8" t="n">
        <v>526864.4840507178</v>
      </c>
      <c r="AB57" s="8" t="n">
        <v>49827.7426023327</v>
      </c>
      <c r="AC57" s="8" t="n">
        <v>80116.9972204206</v>
      </c>
      <c r="AF57" s="23" t="s">
        <v>30</v>
      </c>
      <c r="AG57" s="8" t="n">
        <v>95021.22807661853</v>
      </c>
      <c r="AH57" s="8" t="n">
        <v>23473.713028740072</v>
      </c>
      <c r="AI57" s="8" t="n">
        <v>327526.26800072874</v>
      </c>
      <c r="AJ57" s="8" t="n">
        <v>50498.36239162085</v>
      </c>
      <c r="AK57" s="8" t="n">
        <v>35111.69445094719</v>
      </c>
      <c r="AL57" s="8" t="n">
        <v>274293.64557138755</v>
      </c>
      <c r="AM57" s="8" t="n">
        <v>137452.01600291452</v>
      </c>
      <c r="AN57" s="8" t="n">
        <v>263425.90565609216</v>
      </c>
      <c r="AO57" s="8" t="n">
        <v>98371.2454732208</v>
      </c>
      <c r="AP57" s="8" t="n">
        <v>275973.11391706637</v>
      </c>
      <c r="AQ57" s="8" t="n">
        <v>200472.867144362</v>
      </c>
      <c r="AR57" s="8" t="n">
        <v>238377.7802480341</v>
      </c>
    </row>
    <row r="58" customFormat="false" ht="15.6" hidden="false" customHeight="false" outlineLevel="0" collapsed="false">
      <c r="B58" s="23" t="s">
        <v>31</v>
      </c>
      <c r="C58" s="8" t="n">
        <v>291516</v>
      </c>
      <c r="D58" s="8" t="n">
        <v>209995</v>
      </c>
      <c r="E58" s="8" t="n">
        <v>204709</v>
      </c>
      <c r="F58" s="8" t="n">
        <v>327682</v>
      </c>
      <c r="G58" s="8" t="n">
        <v>260155</v>
      </c>
      <c r="H58" s="8" t="n">
        <v>366835</v>
      </c>
      <c r="I58" s="8" t="n">
        <v>342691</v>
      </c>
      <c r="J58" s="8" t="n">
        <v>380646</v>
      </c>
      <c r="K58" s="8" t="n">
        <v>451770</v>
      </c>
      <c r="L58" s="8" t="n">
        <v>238137</v>
      </c>
      <c r="M58" s="8" t="n">
        <v>256810</v>
      </c>
      <c r="N58" s="8" t="n">
        <v>204633</v>
      </c>
      <c r="Q58" s="23" t="s">
        <v>31</v>
      </c>
      <c r="R58" s="8" t="n">
        <v>386737.4706315666</v>
      </c>
      <c r="S58" s="8" t="n">
        <v>6801.489212459068</v>
      </c>
      <c r="T58" s="8" t="n">
        <v>54031.66439592758</v>
      </c>
      <c r="U58" s="8" t="n">
        <v>214447.8036312026</v>
      </c>
      <c r="V58" s="8" t="n">
        <v>12595.443887755882</v>
      </c>
      <c r="W58" s="8" t="n">
        <v>516113.97888649383</v>
      </c>
      <c r="X58" s="8" t="n">
        <v>1748.2093224519972</v>
      </c>
      <c r="Y58" s="8" t="n">
        <v>62951.21906198598</v>
      </c>
      <c r="Z58" s="8" t="n">
        <v>5428.098492574041</v>
      </c>
      <c r="AA58" s="8" t="n">
        <v>334748.21497862303</v>
      </c>
      <c r="AB58" s="8" t="n">
        <v>117883.20032152405</v>
      </c>
      <c r="AC58" s="8" t="n">
        <v>236111.11216325374</v>
      </c>
      <c r="AF58" s="23" t="s">
        <v>31</v>
      </c>
      <c r="AG58" s="8" t="n">
        <v>144863.61121509993</v>
      </c>
      <c r="AH58" s="8" t="n">
        <v>226895.2568682731</v>
      </c>
      <c r="AI58" s="8" t="n">
        <v>133911.13111384204</v>
      </c>
      <c r="AJ58" s="8" t="n">
        <v>459986.9368769473</v>
      </c>
      <c r="AK58" s="8" t="n">
        <v>351985.0884827242</v>
      </c>
      <c r="AL58" s="8" t="n">
        <v>396549.8521847628</v>
      </c>
      <c r="AM58" s="8" t="n">
        <v>348697.74739829364</v>
      </c>
      <c r="AN58" s="8" t="n">
        <v>124748.26685143563</v>
      </c>
      <c r="AO58" s="8" t="n">
        <v>8408.948496457238</v>
      </c>
      <c r="AP58" s="8" t="n">
        <v>345556.87497917656</v>
      </c>
      <c r="AQ58" s="8" t="n">
        <v>62251.727660118195</v>
      </c>
      <c r="AR58" s="8" t="n">
        <v>144919.6483160924</v>
      </c>
    </row>
    <row r="59" customFormat="false" ht="15.6" hidden="false" customHeight="false" outlineLevel="0" collapsed="false">
      <c r="B59" s="23" t="s">
        <v>32</v>
      </c>
      <c r="C59" s="8" t="n">
        <v>40821</v>
      </c>
      <c r="D59" s="8" t="n">
        <v>31694</v>
      </c>
      <c r="E59" s="8" t="n">
        <v>30133</v>
      </c>
      <c r="F59" s="8" t="n">
        <v>25410</v>
      </c>
      <c r="G59" s="8" t="n">
        <v>16311</v>
      </c>
      <c r="H59" s="8" t="n">
        <v>26707</v>
      </c>
      <c r="I59" s="8" t="n">
        <v>32862</v>
      </c>
      <c r="J59" s="8" t="n">
        <v>13416</v>
      </c>
      <c r="K59" s="8" t="n">
        <v>16568</v>
      </c>
      <c r="L59" s="8" t="n">
        <v>40584</v>
      </c>
      <c r="M59" s="8" t="n">
        <v>27548</v>
      </c>
      <c r="N59" s="8" t="n">
        <v>21496</v>
      </c>
      <c r="Q59" s="23" t="s">
        <v>32</v>
      </c>
      <c r="R59" s="8" t="n">
        <v>41986.285821341204</v>
      </c>
      <c r="S59" s="8" t="n">
        <v>13015.483669913443</v>
      </c>
      <c r="T59" s="8" t="n">
        <v>32159.19073657712</v>
      </c>
      <c r="U59" s="8" t="n">
        <v>22482.582369088923</v>
      </c>
      <c r="V59" s="8" t="n">
        <v>18048.738339656833</v>
      </c>
      <c r="W59" s="8" t="n">
        <v>28325.36533394062</v>
      </c>
      <c r="X59" s="8" t="n">
        <v>4185.467908462862</v>
      </c>
      <c r="Y59" s="8" t="n">
        <v>14764.615233876615</v>
      </c>
      <c r="Z59" s="8" t="n">
        <v>740.6562068881078</v>
      </c>
      <c r="AA59" s="8" t="n">
        <v>60099.01469374619</v>
      </c>
      <c r="AB59" s="8" t="n">
        <v>12415.431080957182</v>
      </c>
      <c r="AC59" s="8" t="n">
        <v>28989.885276359815</v>
      </c>
      <c r="AF59" s="23" t="s">
        <v>32</v>
      </c>
      <c r="AG59" s="8" t="n">
        <v>49255.95963405423</v>
      </c>
      <c r="AH59" s="8" t="n">
        <v>36013.64008227436</v>
      </c>
      <c r="AI59" s="8" t="n">
        <v>17536.014907248733</v>
      </c>
      <c r="AJ59" s="8" t="n">
        <v>35143.991383251036</v>
      </c>
      <c r="AK59" s="8" t="n">
        <v>15546.974796706956</v>
      </c>
      <c r="AL59" s="8" t="n">
        <v>37920.39814388708</v>
      </c>
      <c r="AM59" s="8" t="n">
        <v>37994.36213401329</v>
      </c>
      <c r="AN59" s="8" t="n">
        <v>1552.685181962253</v>
      </c>
      <c r="AO59" s="8" t="n">
        <v>5955.768901722098</v>
      </c>
      <c r="AP59" s="8" t="n">
        <v>3437.488033362183</v>
      </c>
      <c r="AQ59" s="8" t="n">
        <v>17747.089756991383</v>
      </c>
      <c r="AR59" s="8" t="n">
        <v>17625.31306224507</v>
      </c>
    </row>
    <row r="60" customFormat="false" ht="15.6" hidden="false" customHeight="false" outlineLevel="0" collapsed="false">
      <c r="B60" s="23" t="s">
        <v>33</v>
      </c>
      <c r="C60" s="8" t="n">
        <v>68916</v>
      </c>
      <c r="D60" s="8" t="n">
        <v>35713</v>
      </c>
      <c r="E60" s="8" t="n">
        <v>67818</v>
      </c>
      <c r="F60" s="8" t="n">
        <v>49337</v>
      </c>
      <c r="G60" s="8" t="n">
        <v>28011</v>
      </c>
      <c r="H60" s="8" t="n">
        <v>35263</v>
      </c>
      <c r="I60" s="8" t="n">
        <v>95568</v>
      </c>
      <c r="J60" s="8" t="n">
        <v>37559</v>
      </c>
      <c r="K60" s="8" t="n">
        <v>40266</v>
      </c>
      <c r="L60" s="8" t="n">
        <v>51697</v>
      </c>
      <c r="M60" s="8" t="n">
        <v>49080</v>
      </c>
      <c r="N60" s="8" t="n">
        <v>38560</v>
      </c>
      <c r="Q60" s="23" t="s">
        <v>33</v>
      </c>
      <c r="R60" s="8" t="n">
        <v>59193.37443301408</v>
      </c>
      <c r="S60" s="8" t="n">
        <v>40780.61639303544</v>
      </c>
      <c r="T60" s="8" t="n">
        <v>86787.82593474035</v>
      </c>
      <c r="U60" s="8" t="n">
        <v>43455.57446824052</v>
      </c>
      <c r="V60" s="8" t="n">
        <v>12744.506081463747</v>
      </c>
      <c r="W60" s="8" t="n">
        <v>26409.222657027494</v>
      </c>
      <c r="X60" s="8" t="n">
        <v>109102.08080401957</v>
      </c>
      <c r="Y60" s="8" t="n">
        <v>10812.543225905709</v>
      </c>
      <c r="Z60" s="8" t="n">
        <v>59221.30675373076</v>
      </c>
      <c r="AA60" s="8" t="n">
        <v>52861.651126328994</v>
      </c>
      <c r="AB60" s="8" t="n">
        <v>27987.540274438998</v>
      </c>
      <c r="AC60" s="8" t="n">
        <v>4835.050299961536</v>
      </c>
      <c r="AF60" s="23" t="s">
        <v>33</v>
      </c>
      <c r="AG60" s="8" t="n">
        <v>86882.11765935633</v>
      </c>
      <c r="AH60" s="8" t="n">
        <v>12164.020085225691</v>
      </c>
      <c r="AI60" s="8" t="n">
        <v>95939.77418843309</v>
      </c>
      <c r="AJ60" s="8" t="n">
        <v>36521.96085432432</v>
      </c>
      <c r="AK60" s="8" t="n">
        <v>41519.9889241551</v>
      </c>
      <c r="AL60" s="8" t="n">
        <v>10698.778987427851</v>
      </c>
      <c r="AM60" s="8" t="n">
        <v>52800.197288679745</v>
      </c>
      <c r="AN60" s="8" t="n">
        <v>4973.193443013233</v>
      </c>
      <c r="AO60" s="8" t="n">
        <v>17599.819399082786</v>
      </c>
      <c r="AP60" s="8" t="n">
        <v>50290.2498247628</v>
      </c>
      <c r="AQ60" s="8" t="n">
        <v>21413.40484974638</v>
      </c>
      <c r="AR60" s="8" t="n">
        <v>45217.46489559197</v>
      </c>
    </row>
    <row r="61" customFormat="false" ht="15.6" hidden="false" customHeight="false" outlineLevel="0" collapsed="false">
      <c r="B61" s="23" t="s">
        <v>34</v>
      </c>
      <c r="C61" s="8" t="n">
        <v>39779</v>
      </c>
      <c r="D61" s="8" t="n">
        <v>-350</v>
      </c>
      <c r="E61" s="8" t="n">
        <v>3603</v>
      </c>
      <c r="F61" s="8" t="n">
        <v>30475</v>
      </c>
      <c r="G61" s="8" t="n">
        <v>15252</v>
      </c>
      <c r="H61" s="8" t="n">
        <v>1953</v>
      </c>
      <c r="I61" s="8" t="n">
        <v>592</v>
      </c>
      <c r="J61" s="8" t="n">
        <v>0</v>
      </c>
      <c r="K61" s="8" t="n">
        <v>1386</v>
      </c>
      <c r="L61" s="8" t="n">
        <v>-1688</v>
      </c>
      <c r="M61" s="8" t="n">
        <v>39512</v>
      </c>
      <c r="N61" s="8" t="n">
        <v>-11212</v>
      </c>
      <c r="Q61" s="23" t="s">
        <v>34</v>
      </c>
      <c r="R61" s="8" t="n">
        <v>33056.586032657055</v>
      </c>
      <c r="S61" s="8" t="n">
        <v>-373.70334307744037</v>
      </c>
      <c r="T61" s="8" t="n">
        <v>3799.076435777756</v>
      </c>
      <c r="U61" s="8" t="n">
        <v>44789.92337868856</v>
      </c>
      <c r="V61" s="8" t="n">
        <v>3711.31125241583</v>
      </c>
      <c r="W61" s="8" t="n">
        <v>680.5059490758943</v>
      </c>
      <c r="X61" s="8" t="n">
        <v>618.103404777474</v>
      </c>
      <c r="Y61" s="8" t="n">
        <v>0.0</v>
      </c>
      <c r="Z61" s="8" t="n">
        <v>1136.232014412447</v>
      </c>
      <c r="AA61" s="8" t="n">
        <v>-931.9644104247011</v>
      </c>
      <c r="AB61" s="8" t="n">
        <v>39731.50437206725</v>
      </c>
      <c r="AC61" s="8" t="n">
        <v>-4674.23585959913</v>
      </c>
      <c r="AF61" s="23" t="s">
        <v>34</v>
      </c>
      <c r="AG61" s="8" t="n">
        <v>14864.478463327821</v>
      </c>
      <c r="AH61" s="8" t="n">
        <v>-471.4503037483777</v>
      </c>
      <c r="AI61" s="8" t="n">
        <v>895.7296192839437</v>
      </c>
      <c r="AJ61" s="8" t="n">
        <v>37671.355535895505</v>
      </c>
      <c r="AK61" s="8" t="n">
        <v>3606.512016751194</v>
      </c>
      <c r="AL61" s="8" t="n">
        <v>365.5298452292211</v>
      </c>
      <c r="AM61" s="8" t="n">
        <v>474.95491319392596</v>
      </c>
      <c r="AN61" s="8" t="n">
        <v>0.0</v>
      </c>
      <c r="AO61" s="8" t="n">
        <v>524.1437903383708</v>
      </c>
      <c r="AP61" s="8" t="n">
        <v>-842.9002052846505</v>
      </c>
      <c r="AQ61" s="8" t="n">
        <v>18883.39251649404</v>
      </c>
      <c r="AR61" s="8" t="n">
        <v>-11493.512449791762</v>
      </c>
    </row>
    <row r="62" customFormat="false" ht="15.6" hidden="false" customHeight="false" outlineLevel="0" collapsed="false">
      <c r="B62" s="23" t="s">
        <v>35</v>
      </c>
      <c r="C62" s="8" t="n">
        <v>140831</v>
      </c>
      <c r="D62" s="8" t="n">
        <v>126818</v>
      </c>
      <c r="E62" s="8" t="n">
        <v>69143</v>
      </c>
      <c r="F62" s="8" t="n">
        <v>93360</v>
      </c>
      <c r="G62" s="8" t="n">
        <v>77703</v>
      </c>
      <c r="H62" s="8" t="n">
        <v>44661</v>
      </c>
      <c r="I62" s="8" t="n">
        <v>88055</v>
      </c>
      <c r="J62" s="8" t="n">
        <v>26760</v>
      </c>
      <c r="K62" s="8" t="n">
        <v>110500</v>
      </c>
      <c r="L62" s="8" t="n">
        <v>103637</v>
      </c>
      <c r="M62" s="8" t="n">
        <v>138729</v>
      </c>
      <c r="N62" s="8" t="n">
        <v>49725</v>
      </c>
      <c r="Q62" s="23" t="s">
        <v>35</v>
      </c>
      <c r="R62" s="8" t="n">
        <v>136581.6731912761</v>
      </c>
      <c r="S62" s="8" t="n">
        <v>115851.39168980054</v>
      </c>
      <c r="T62" s="8" t="n">
        <v>66775.81507787894</v>
      </c>
      <c r="U62" s="8" t="n">
        <v>70133.43589674782</v>
      </c>
      <c r="V62" s="8" t="n">
        <v>43540.045944781734</v>
      </c>
      <c r="W62" s="8" t="n">
        <v>39446.142382913706</v>
      </c>
      <c r="X62" s="8" t="n">
        <v>64556.11261574526</v>
      </c>
      <c r="Y62" s="8" t="n">
        <v>31787.544894436913</v>
      </c>
      <c r="Z62" s="8" t="n">
        <v>92357.89685878348</v>
      </c>
      <c r="AA62" s="8" t="n">
        <v>95921.57934228584</v>
      </c>
      <c r="AB62" s="8" t="n">
        <v>204660.49263207222</v>
      </c>
      <c r="AC62" s="8" t="n">
        <v>13051.523163732201</v>
      </c>
      <c r="AF62" s="23" t="s">
        <v>35</v>
      </c>
      <c r="AG62" s="8" t="n">
        <v>66403.41879738805</v>
      </c>
      <c r="AH62" s="8" t="n">
        <v>115044.57154959509</v>
      </c>
      <c r="AI62" s="8" t="n">
        <v>79171.78166034725</v>
      </c>
      <c r="AJ62" s="8" t="n">
        <v>119163.57113727047</v>
      </c>
      <c r="AK62" s="8" t="n">
        <v>44293.17602241626</v>
      </c>
      <c r="AL62" s="8" t="n">
        <v>3936.300000660921</v>
      </c>
      <c r="AM62" s="8" t="n">
        <v>2301.3648087030024</v>
      </c>
      <c r="AN62" s="8" t="n">
        <v>25355.51314818423</v>
      </c>
      <c r="AO62" s="8" t="n">
        <v>28452.626120218767</v>
      </c>
      <c r="AP62" s="8" t="n">
        <v>45349.9067500692</v>
      </c>
      <c r="AQ62" s="8" t="n">
        <v>190767.00702249949</v>
      </c>
      <c r="AR62" s="8" t="n">
        <v>24524.027754485345</v>
      </c>
    </row>
    <row r="63" customFormat="false" ht="15.6" hidden="false" customHeight="false" outlineLevel="0" collapsed="false">
      <c r="B63" s="24" t="s">
        <v>36</v>
      </c>
      <c r="C63" s="25" t="n">
        <v>80236</v>
      </c>
      <c r="D63" s="25" t="n">
        <v>62319</v>
      </c>
      <c r="E63" s="25" t="n">
        <v>22900</v>
      </c>
      <c r="F63" s="25" t="n">
        <v>42078</v>
      </c>
      <c r="G63" s="25" t="n">
        <v>83877</v>
      </c>
      <c r="H63" s="25" t="n">
        <v>107482</v>
      </c>
      <c r="I63" s="25" t="n">
        <v>110359</v>
      </c>
      <c r="J63" s="25" t="n">
        <v>94400</v>
      </c>
      <c r="K63" s="25" t="n">
        <v>82735</v>
      </c>
      <c r="L63" s="25" t="n">
        <v>102821</v>
      </c>
      <c r="M63" s="25" t="n">
        <v>27258</v>
      </c>
      <c r="N63" s="25" t="n">
        <v>54933</v>
      </c>
      <c r="Q63" s="24" t="s">
        <v>36</v>
      </c>
      <c r="R63" s="25" t="n">
        <v>101102.01801644085</v>
      </c>
      <c r="S63" s="25" t="n">
        <v>65160.6133783813</v>
      </c>
      <c r="T63" s="25" t="n">
        <v>7792.468187175866</v>
      </c>
      <c r="U63" s="25" t="n">
        <v>6436.735872020849</v>
      </c>
      <c r="V63" s="25" t="n">
        <v>54347.801621000566</v>
      </c>
      <c r="W63" s="25" t="n">
        <v>139447.58069782602</v>
      </c>
      <c r="X63" s="25" t="n">
        <v>61565.99063525054</v>
      </c>
      <c r="Y63" s="25" t="n">
        <v>41734.85612971582</v>
      </c>
      <c r="Z63" s="25" t="n">
        <v>68272.11314431229</v>
      </c>
      <c r="AA63" s="25" t="n">
        <v>144256.87835735708</v>
      </c>
      <c r="AB63" s="25" t="n">
        <v>32453.1514009853</v>
      </c>
      <c r="AC63" s="25" t="n">
        <v>73420.87931005732</v>
      </c>
      <c r="AF63" s="24" t="s">
        <v>36</v>
      </c>
      <c r="AG63" s="25" t="n">
        <v>17038.933042671004</v>
      </c>
      <c r="AH63" s="25" t="n">
        <v>13020.297960410551</v>
      </c>
      <c r="AI63" s="25" t="n">
        <v>14638.149554396092</v>
      </c>
      <c r="AJ63" s="25" t="n">
        <v>55170.395656116954</v>
      </c>
      <c r="AK63" s="25" t="n">
        <v>56539.10563348292</v>
      </c>
      <c r="AL63" s="25" t="n">
        <v>32895.63021850037</v>
      </c>
      <c r="AM63" s="25" t="n">
        <v>55610.48750498771</v>
      </c>
      <c r="AN63" s="25" t="n">
        <v>10633.897845489368</v>
      </c>
      <c r="AO63" s="25" t="n">
        <v>16102.172740235179</v>
      </c>
      <c r="AP63" s="25" t="n">
        <v>62750.49700837641</v>
      </c>
      <c r="AQ63" s="25" t="n">
        <v>17086.556386203833</v>
      </c>
      <c r="AR63" s="25" t="n">
        <v>56658.96295592732</v>
      </c>
    </row>
    <row r="64" customFormat="false" ht="15.6" hidden="false" customHeight="false" outlineLevel="0" collapsed="false">
      <c r="B64" s="27" t="s">
        <v>37</v>
      </c>
      <c r="C64" s="28" t="n">
        <f aca="false">SUM(C56:C63)</f>
        <v>1175716</v>
      </c>
      <c r="D64" s="29" t="n">
        <f aca="false">SUM(D56:D63)</f>
        <v>673095</v>
      </c>
      <c r="E64" s="29" t="n">
        <f aca="false">SUM(E56:E63)</f>
        <v>853121</v>
      </c>
      <c r="F64" s="29" t="n">
        <f aca="false">SUM(F56:F63)</f>
        <v>873730</v>
      </c>
      <c r="G64" s="29" t="n">
        <f aca="false">SUM(G56:G63)</f>
        <v>709595</v>
      </c>
      <c r="H64" s="29" t="n">
        <f aca="false">SUM(H56:H63)</f>
        <v>898056</v>
      </c>
      <c r="I64" s="29" t="n">
        <f aca="false">SUM(I56:I63)</f>
        <v>988326</v>
      </c>
      <c r="J64" s="29" t="n">
        <f aca="false">SUM(J56:J63)</f>
        <v>940167</v>
      </c>
      <c r="K64" s="29" t="n">
        <f aca="false">SUM(K56:K63)</f>
        <v>1028315</v>
      </c>
      <c r="L64" s="29" t="n">
        <f aca="false">SUM(L56:L63)</f>
        <v>1034647</v>
      </c>
      <c r="M64" s="29" t="n">
        <f aca="false">SUM(M56:M63)</f>
        <v>819509</v>
      </c>
      <c r="N64" s="35" t="n">
        <f aca="false">SUM(N56:N63)</f>
        <v>627682</v>
      </c>
      <c r="Q64" s="27" t="s">
        <v>37</v>
      </c>
      <c r="R64" s="28" t="n">
        <f aca="false">SUM(R56:R63)</f>
        <v>1057443.6473522636</v>
      </c>
      <c r="S64" s="29" t="n">
        <f aca="false">SUM(S56:S63)</f>
        <v>219127.9378169187</v>
      </c>
      <c r="T64" s="29" t="n">
        <f aca="false">SUM(T56:T63)</f>
        <v>446777.8906123424</v>
      </c>
      <c r="U64" s="29" t="n">
        <f aca="false">SUM(U56:U63)</f>
        <v>1238918.7231386807</v>
      </c>
      <c r="V64" s="29" t="n">
        <f aca="false">SUM(V56:V63)</f>
        <v>94495.7366868855</v>
      </c>
      <c r="W64" s="29" t="n">
        <f aca="false">SUM(W56:W63)</f>
        <v>752382.3409049662</v>
      </c>
      <c r="X64" s="29" t="n">
        <f aca="false">SUM(X56:X63)</f>
        <v>770186.2790696686</v>
      </c>
      <c r="Y64" s="29" t="n">
        <f aca="false">SUM(Y56:Y63)</f>
        <v>1384699.7199676037</v>
      </c>
      <c r="Z64" s="29" t="n">
        <f aca="false">SUM(Z56:Z63)</f>
        <v>561436.1989951779</v>
      </c>
      <c r="AA64" s="29" t="n">
        <f aca="false">SUM(AA56:AA63)</f>
        <v>685675.7198547516</v>
      </c>
      <c r="AB64" s="29" t="n">
        <f aca="false">SUM(AB56:AB63)</f>
        <v>91052.73550190228</v>
      </c>
      <c r="AC64" s="35" t="n">
        <f aca="false">SUM(AC56:AC63)</f>
        <v>330781.7973366949</v>
      </c>
      <c r="AF64" s="27" t="s">
        <v>37</v>
      </c>
      <c r="AG64" s="28" t="n">
        <f aca="false">SUM(AG56:AG63)</f>
        <v>179972.87680447078</v>
      </c>
      <c r="AH64" s="29" t="n">
        <f aca="false">SUM(AH56:AH63)</f>
        <v>190252.18914599792</v>
      </c>
      <c r="AI64" s="29" t="n">
        <f aca="false">SUM(AI56:AI63)</f>
        <v>781396.322029328</v>
      </c>
      <c r="AJ64" s="29" t="n">
        <f aca="false">SUM(AJ56:AJ63)</f>
        <v>701625.5236488159</v>
      </c>
      <c r="AK64" s="29" t="n">
        <f aca="false">SUM(AK56:AK63)</f>
        <v>920299.9726772397</v>
      </c>
      <c r="AL64" s="29" t="n">
        <f aca="false">SUM(AL56:AL63)</f>
        <v>397008.8198325499</v>
      </c>
      <c r="AM64" s="29" t="n">
        <f aca="false">SUM(AM56:AM63)</f>
        <v>989838.9509138626</v>
      </c>
      <c r="AN64" s="29" t="n">
        <f aca="false">SUM(AN56:AN63)</f>
        <v>149420.051917887</v>
      </c>
      <c r="AO64" s="29" t="n">
        <f aca="false">SUM(AO56:AO63)</f>
        <v>305517.75009776454</v>
      </c>
      <c r="AP64" s="29" t="n">
        <f aca="false">SUM(AP56:AP63)</f>
        <v>1517318.6635696192</v>
      </c>
      <c r="AQ64" s="29" t="n">
        <f aca="false">SUM(AQ56:AQ63)</f>
        <v>314487.95547683694</v>
      </c>
      <c r="AR64" s="35" t="n">
        <f aca="false">SUM(AR56:AR63)</f>
        <v>881676.5036620863</v>
      </c>
    </row>
    <row r="65" customFormat="false" ht="15.6" hidden="false" customHeight="false" outlineLevel="0" collapsed="false">
      <c r="B65" s="27" t="s">
        <v>38</v>
      </c>
      <c r="C65" s="28" t="n">
        <v>81658</v>
      </c>
      <c r="D65" s="29" t="n">
        <v>55814</v>
      </c>
      <c r="E65" s="29" t="n">
        <v>190068</v>
      </c>
      <c r="F65" s="29" t="n">
        <v>69020</v>
      </c>
      <c r="G65" s="29" t="n">
        <v>117929</v>
      </c>
      <c r="H65" s="29" t="n">
        <v>158633</v>
      </c>
      <c r="I65" s="29" t="n">
        <v>171484</v>
      </c>
      <c r="J65" s="29" t="n">
        <v>113549</v>
      </c>
      <c r="K65" s="29" t="n">
        <v>213019</v>
      </c>
      <c r="L65" s="29" t="n">
        <v>238816</v>
      </c>
      <c r="M65" s="29" t="n">
        <v>277317</v>
      </c>
      <c r="N65" s="29" t="n">
        <v>355668</v>
      </c>
      <c r="Q65" s="27" t="s">
        <v>38</v>
      </c>
      <c r="R65" s="28" t="n">
        <v>7486.145692599636</v>
      </c>
      <c r="S65" s="29" t="n">
        <v>31628.396718008764</v>
      </c>
      <c r="T65" s="29" t="n">
        <v>4824.336882817097</v>
      </c>
      <c r="U65" s="29" t="n">
        <v>64598.71469275615</v>
      </c>
      <c r="V65" s="29" t="n">
        <v>172578.5555042953</v>
      </c>
      <c r="W65" s="29" t="n">
        <v>23888.90127686104</v>
      </c>
      <c r="X65" s="29" t="n">
        <v>221322.79485864344</v>
      </c>
      <c r="Y65" s="29" t="n">
        <v>87967.65623537365</v>
      </c>
      <c r="Z65" s="29" t="n">
        <v>88434.6024626675</v>
      </c>
      <c r="AA65" s="29" t="n">
        <v>47173.33452796229</v>
      </c>
      <c r="AB65" s="29" t="n">
        <v>103571.80409960976</v>
      </c>
      <c r="AC65" s="29" t="n">
        <v>10391.046972782477</v>
      </c>
      <c r="AF65" s="27" t="s">
        <v>38</v>
      </c>
      <c r="AG65" s="28" t="n">
        <v>44133.13748732745</v>
      </c>
      <c r="AH65" s="29" t="n">
        <v>20903.980586439066</v>
      </c>
      <c r="AI65" s="29" t="n">
        <v>240082.7739476887</v>
      </c>
      <c r="AJ65" s="29" t="n">
        <v>45920.274556520184</v>
      </c>
      <c r="AK65" s="29" t="n">
        <v>93616.1889371195</v>
      </c>
      <c r="AL65" s="29" t="n">
        <v>4166.97715871449</v>
      </c>
      <c r="AM65" s="29" t="n">
        <v>36505.68812453203</v>
      </c>
      <c r="AN65" s="29" t="n">
        <v>2286.630227819031</v>
      </c>
      <c r="AO65" s="29" t="n">
        <v>315274.0208252592</v>
      </c>
      <c r="AP65" s="29" t="n">
        <v>46946.4770870206</v>
      </c>
      <c r="AQ65" s="29" t="n">
        <v>116269.91587089901</v>
      </c>
      <c r="AR65" s="29" t="n">
        <v>467621.83032053115</v>
      </c>
    </row>
    <row r="66" customFormat="false" ht="15.6" hidden="false" customHeight="false" outlineLevel="0" collapsed="false">
      <c r="B66" s="23" t="s">
        <v>39</v>
      </c>
      <c r="C66" s="8" t="n">
        <v>721706</v>
      </c>
      <c r="D66" s="8" t="n">
        <v>357146</v>
      </c>
      <c r="E66" s="8" t="n">
        <v>242084</v>
      </c>
      <c r="F66" s="8" t="n">
        <v>284869</v>
      </c>
      <c r="G66" s="8" t="n">
        <v>310111</v>
      </c>
      <c r="H66" s="8" t="n">
        <v>299353</v>
      </c>
      <c r="I66" s="8" t="n">
        <v>251431</v>
      </c>
      <c r="J66" s="8" t="n">
        <v>391477</v>
      </c>
      <c r="K66" s="8" t="n">
        <v>177443</v>
      </c>
      <c r="L66" s="8" t="n">
        <v>249533</v>
      </c>
      <c r="M66" s="8" t="n">
        <v>448891</v>
      </c>
      <c r="N66" s="8" t="n">
        <v>64762</v>
      </c>
      <c r="Q66" s="23" t="s">
        <v>39</v>
      </c>
      <c r="R66" s="8" t="n">
        <v>780526.4203024128</v>
      </c>
      <c r="S66" s="8" t="n">
        <v>22336.797611808084</v>
      </c>
      <c r="T66" s="8" t="n">
        <v>323441.52225865296</v>
      </c>
      <c r="U66" s="8" t="n">
        <v>30500.724578478355</v>
      </c>
      <c r="V66" s="8" t="n">
        <v>183497.06297871884</v>
      </c>
      <c r="W66" s="8" t="n">
        <v>337931.3694089674</v>
      </c>
      <c r="X66" s="8" t="n">
        <v>300312.9028488704</v>
      </c>
      <c r="Y66" s="8" t="n">
        <v>462523.1501443449</v>
      </c>
      <c r="Z66" s="8" t="n">
        <v>190754.37189302876</v>
      </c>
      <c r="AA66" s="8" t="n">
        <v>199800.82798039712</v>
      </c>
      <c r="AB66" s="8" t="n">
        <v>402630.62620369054</v>
      </c>
      <c r="AC66" s="8" t="n">
        <v>86355.79063446129</v>
      </c>
      <c r="AF66" s="23" t="s">
        <v>39</v>
      </c>
      <c r="AG66" s="8" t="n">
        <v>287397.544823502</v>
      </c>
      <c r="AH66" s="8" t="n">
        <v>158021.55039207576</v>
      </c>
      <c r="AI66" s="8" t="n">
        <v>169377.70613409436</v>
      </c>
      <c r="AJ66" s="8" t="n">
        <v>101654.31117952084</v>
      </c>
      <c r="AK66" s="8" t="n">
        <v>261804.97025485017</v>
      </c>
      <c r="AL66" s="8" t="n">
        <v>386818.34246835456</v>
      </c>
      <c r="AM66" s="8" t="n">
        <v>13696.767454217681</v>
      </c>
      <c r="AN66" s="8" t="n">
        <v>535139.3688438159</v>
      </c>
      <c r="AO66" s="8" t="n">
        <v>16728.721481379278</v>
      </c>
      <c r="AP66" s="8" t="n">
        <v>131612.37273423187</v>
      </c>
      <c r="AQ66" s="8" t="n">
        <v>555684.9820849735</v>
      </c>
      <c r="AR66" s="8" t="n">
        <v>2554.6223005209513</v>
      </c>
    </row>
    <row r="67" customFormat="false" ht="15.6" hidden="false" customHeight="false" outlineLevel="0" collapsed="false">
      <c r="B67" s="23" t="s">
        <v>40</v>
      </c>
      <c r="C67" s="8" t="n">
        <v>138499</v>
      </c>
      <c r="D67" s="8" t="n">
        <v>148115</v>
      </c>
      <c r="E67" s="8" t="n">
        <v>389770</v>
      </c>
      <c r="F67" s="8" t="n">
        <v>204000</v>
      </c>
      <c r="G67" s="8" t="n">
        <v>66827</v>
      </c>
      <c r="H67" s="8" t="n">
        <v>295917</v>
      </c>
      <c r="I67" s="8" t="n">
        <v>204079</v>
      </c>
      <c r="J67" s="8" t="n">
        <v>180197</v>
      </c>
      <c r="K67" s="8" t="n">
        <v>461369</v>
      </c>
      <c r="L67" s="8" t="n">
        <v>457484</v>
      </c>
      <c r="M67" s="8" t="n">
        <v>387956</v>
      </c>
      <c r="N67" s="8" t="n">
        <v>93978</v>
      </c>
      <c r="Q67" s="23" t="s">
        <v>40</v>
      </c>
      <c r="R67" s="8" t="n">
        <v>122278.42972848227</v>
      </c>
      <c r="S67" s="8" t="n">
        <v>37383.47543297213</v>
      </c>
      <c r="T67" s="8" t="n">
        <v>379394.1764584681</v>
      </c>
      <c r="U67" s="8" t="n">
        <v>4749.160501253009</v>
      </c>
      <c r="V67" s="8" t="n">
        <v>22527.95278831171</v>
      </c>
      <c r="W67" s="8" t="n">
        <v>377792.8217732216</v>
      </c>
      <c r="X67" s="8" t="n">
        <v>171774.57000841125</v>
      </c>
      <c r="Y67" s="8" t="n">
        <v>229464.94212052066</v>
      </c>
      <c r="Z67" s="8" t="n">
        <v>38119.66608209717</v>
      </c>
      <c r="AA67" s="8" t="n">
        <v>194228.89494227976</v>
      </c>
      <c r="AB67" s="8" t="n">
        <v>116363.81317199531</v>
      </c>
      <c r="AC67" s="8" t="n">
        <v>60636.66365651951</v>
      </c>
      <c r="AF67" s="23" t="s">
        <v>40</v>
      </c>
      <c r="AG67" s="8" t="n">
        <v>62369.06056434469</v>
      </c>
      <c r="AH67" s="8" t="n">
        <v>44421.54641773706</v>
      </c>
      <c r="AI67" s="8" t="n">
        <v>429129.1519394311</v>
      </c>
      <c r="AJ67" s="8" t="n">
        <v>70917.84518397733</v>
      </c>
      <c r="AK67" s="8" t="n">
        <v>66132.39987058399</v>
      </c>
      <c r="AL67" s="8" t="n">
        <v>422200.4077184476</v>
      </c>
      <c r="AM67" s="8" t="n">
        <v>12058.763567683152</v>
      </c>
      <c r="AN67" s="8" t="n">
        <v>86576.79717544827</v>
      </c>
      <c r="AO67" s="8" t="n">
        <v>175134.18009655896</v>
      </c>
      <c r="AP67" s="8" t="n">
        <v>221842.51305605308</v>
      </c>
      <c r="AQ67" s="8" t="n">
        <v>321863.18965473055</v>
      </c>
      <c r="AR67" s="8" t="n">
        <v>75654.12839939036</v>
      </c>
    </row>
    <row r="68" customFormat="false" ht="15.6" hidden="false" customHeight="false" outlineLevel="0" collapsed="false">
      <c r="B68" s="23" t="s">
        <v>41</v>
      </c>
      <c r="C68" s="8"/>
      <c r="D68" s="8" t="n">
        <f aca="false">D34/(1+$A68)</f>
        <v>3487915.03</v>
      </c>
      <c r="E68" s="8" t="n">
        <f aca="false">E34/(1+A68)</f>
        <v>3345408.39</v>
      </c>
      <c r="F68" s="8"/>
      <c r="G68" s="8"/>
      <c r="H68" s="8"/>
      <c r="I68" s="8"/>
      <c r="J68" s="8" t="n">
        <v>0</v>
      </c>
      <c r="K68" s="8" t="n">
        <v>0</v>
      </c>
      <c r="L68" s="8" t="n">
        <f aca="false">L34/(1+$A68)</f>
        <v>3594129.12</v>
      </c>
      <c r="M68" s="8" t="n">
        <f aca="false">M34/(1+$A68)</f>
        <v>3843186.02</v>
      </c>
      <c r="N68" s="8" t="n">
        <f aca="false">N34/(1+$A68)</f>
        <v>3568783</v>
      </c>
      <c r="Q68" s="23" t="s">
        <v>41</v>
      </c>
      <c r="R68" s="8"/>
      <c r="S68" s="8" t="n">
        <f aca="false">S34/(1+$A68)</f>
        <v>3208997.74451724</v>
      </c>
      <c r="T68" s="8" t="n">
        <f aca="false">T34/(1+P68)</f>
        <v>2482749.28911042</v>
      </c>
      <c r="U68" s="8"/>
      <c r="V68" s="8"/>
      <c r="W68" s="8"/>
      <c r="X68" s="8"/>
      <c r="Y68" s="8" t="n">
        <v>0.0</v>
      </c>
      <c r="Z68" s="8" t="n">
        <v>0.0</v>
      </c>
      <c r="AA68" s="8" t="n">
        <f aca="false">AA34/(1+$A68)</f>
        <v>2820499.3669287646</v>
      </c>
      <c r="AB68" s="8" t="n">
        <f aca="false">AB34/(1+$A68)</f>
        <v>2046323.5268649855</v>
      </c>
      <c r="AC68" s="8" t="n">
        <f aca="false">AC34/(1+$A68)</f>
        <v>1008350.1516183545</v>
      </c>
      <c r="AF68" s="23" t="s">
        <v>41</v>
      </c>
      <c r="AG68" s="8"/>
      <c r="AH68" s="8" t="n">
        <f aca="false">AH34/(1+$A68)</f>
        <v>2710550.2244081935</v>
      </c>
      <c r="AI68" s="8" t="n">
        <f aca="false">AI34/(1+AE68)</f>
        <v>4478842.880842102</v>
      </c>
      <c r="AJ68" s="8"/>
      <c r="AK68" s="8"/>
      <c r="AL68" s="8"/>
      <c r="AM68" s="8"/>
      <c r="AN68" s="8" t="n">
        <v>0.0</v>
      </c>
      <c r="AO68" s="8" t="n">
        <v>0.0</v>
      </c>
      <c r="AP68" s="8" t="n">
        <f aca="false">AP34/(1+$A68)</f>
        <v>3990775.294734625</v>
      </c>
      <c r="AQ68" s="8" t="n">
        <f aca="false">AQ34/(1+$A68)</f>
        <v>4349899.412211971</v>
      </c>
      <c r="AR68" s="8" t="n">
        <f aca="false">AR34/(1+$A68)</f>
        <v>354251.8745735427</v>
      </c>
    </row>
    <row r="69" customFormat="false" ht="15.6" hidden="false" customHeight="false" outlineLevel="0" collapsed="false">
      <c r="B69" s="24" t="s">
        <v>42</v>
      </c>
      <c r="C69" s="36" t="n">
        <v>234739</v>
      </c>
      <c r="D69" s="25" t="n">
        <v>16696</v>
      </c>
      <c r="E69" s="25" t="n">
        <v>92928</v>
      </c>
      <c r="F69" s="25" t="n">
        <v>122419</v>
      </c>
      <c r="G69" s="25" t="n">
        <v>39420</v>
      </c>
      <c r="H69" s="25" t="n">
        <v>57164</v>
      </c>
      <c r="I69" s="25" t="n">
        <v>40171</v>
      </c>
      <c r="J69" s="25" t="n">
        <v>55452</v>
      </c>
      <c r="K69" s="25" t="n">
        <v>257498</v>
      </c>
      <c r="L69" s="25" t="n">
        <v>127436</v>
      </c>
      <c r="M69" s="25" t="n">
        <v>22255</v>
      </c>
      <c r="N69" s="25" t="n">
        <v>102506</v>
      </c>
      <c r="Q69" s="24" t="s">
        <v>42</v>
      </c>
      <c r="R69" s="36" t="n">
        <v>216678.92000015013</v>
      </c>
      <c r="S69" s="25" t="n">
        <v>11387.741576613033</v>
      </c>
      <c r="T69" s="25" t="n">
        <v>88240.3397874808</v>
      </c>
      <c r="U69" s="25" t="n">
        <v>137049.40539910627</v>
      </c>
      <c r="V69" s="25" t="n">
        <v>8516.653866399613</v>
      </c>
      <c r="W69" s="25" t="n">
        <v>74370.10136126907</v>
      </c>
      <c r="X69" s="25" t="n">
        <v>8244.964089236717</v>
      </c>
      <c r="Y69" s="25" t="n">
        <v>25819.64122837588</v>
      </c>
      <c r="Z69" s="25" t="n">
        <v>139473.93645018153</v>
      </c>
      <c r="AA69" s="25" t="n">
        <v>44941.47201098804</v>
      </c>
      <c r="AB69" s="25" t="n">
        <v>7619.93525833368</v>
      </c>
      <c r="AC69" s="25" t="n">
        <v>22198.91916603609</v>
      </c>
      <c r="AF69" s="24" t="s">
        <v>42</v>
      </c>
      <c r="AG69" s="36" t="n">
        <v>288539.0898477725</v>
      </c>
      <c r="AH69" s="25" t="n">
        <v>7960.0771661727495</v>
      </c>
      <c r="AI69" s="25" t="n">
        <v>44164.47133121711</v>
      </c>
      <c r="AJ69" s="25" t="n">
        <v>31182.3772117504</v>
      </c>
      <c r="AK69" s="25" t="n">
        <v>41480.2701773694</v>
      </c>
      <c r="AL69" s="25" t="n">
        <v>75739.24705088844</v>
      </c>
      <c r="AM69" s="25" t="n">
        <v>818.2908231212995</v>
      </c>
      <c r="AN69" s="25" t="n">
        <v>41086.8483442309</v>
      </c>
      <c r="AO69" s="25" t="n">
        <v>143243.09091904172</v>
      </c>
      <c r="AP69" s="25" t="n">
        <v>137445.93283540296</v>
      </c>
      <c r="AQ69" s="25" t="n">
        <v>27483.341797588902</v>
      </c>
      <c r="AR69" s="25" t="n">
        <v>8907.981153275105</v>
      </c>
    </row>
    <row r="70" customFormat="false" ht="15.6" hidden="false" customHeight="false" outlineLevel="0" collapsed="false">
      <c r="B70" s="27" t="s">
        <v>43</v>
      </c>
      <c r="C70" s="29" t="n">
        <f aca="false">SUM(C66:C69)</f>
        <v>1094944</v>
      </c>
      <c r="D70" s="29" t="n">
        <f aca="false">SUM(D66:D69)</f>
        <v>4009872.03</v>
      </c>
      <c r="E70" s="29" t="n">
        <f aca="false">SUM(E66:E69)</f>
        <v>4070190.39</v>
      </c>
      <c r="F70" s="29" t="n">
        <f aca="false">SUM(F66:F69)</f>
        <v>611288</v>
      </c>
      <c r="G70" s="29" t="n">
        <f aca="false">SUM(G66:G69)</f>
        <v>416358</v>
      </c>
      <c r="H70" s="29" t="n">
        <f aca="false">SUM(H66:H69)</f>
        <v>652434</v>
      </c>
      <c r="I70" s="29" t="n">
        <f aca="false">SUM(I66:I69)</f>
        <v>495681</v>
      </c>
      <c r="J70" s="29" t="n">
        <f aca="false">SUM(J66:J69)</f>
        <v>627126</v>
      </c>
      <c r="K70" s="29" t="n">
        <f aca="false">SUM(K66:K69)</f>
        <v>896310</v>
      </c>
      <c r="L70" s="29" t="n">
        <f aca="false">SUM(L66:L69)</f>
        <v>4428582.12</v>
      </c>
      <c r="M70" s="29" t="n">
        <f aca="false">SUM(M66:M69)</f>
        <v>4702288.02</v>
      </c>
      <c r="N70" s="29" t="n">
        <f aca="false">SUM(N66:N69)</f>
        <v>3830029</v>
      </c>
      <c r="Q70" s="27" t="s">
        <v>43</v>
      </c>
      <c r="R70" s="29" t="n">
        <f aca="false">SUM(R66:R69)</f>
        <v>1129334.170203472</v>
      </c>
      <c r="S70" s="29" t="n">
        <f aca="false">SUM(S66:S69)</f>
        <v>836993.8253011756</v>
      </c>
      <c r="T70" s="29" t="n">
        <f aca="false">SUM(T66:T69)</f>
        <v>888444.3916303249</v>
      </c>
      <c r="U70" s="29" t="n">
        <f aca="false">SUM(U66:U69)</f>
        <v>659203.8912766166</v>
      </c>
      <c r="V70" s="29" t="n">
        <f aca="false">SUM(V66:V69)</f>
        <v>458069.28681412135</v>
      </c>
      <c r="W70" s="29" t="n">
        <f aca="false">SUM(W66:W69)</f>
        <v>42114.92739531572</v>
      </c>
      <c r="X70" s="29" t="n">
        <f aca="false">SUM(X66:X69)</f>
        <v>410597.66385249095</v>
      </c>
      <c r="Y70" s="29" t="n">
        <f aca="false">SUM(Y66:Y69)</f>
        <v>185253.7898246429</v>
      </c>
      <c r="Z70" s="29" t="n">
        <f aca="false">SUM(Z66:Z69)</f>
        <v>227138.3270628076</v>
      </c>
      <c r="AA70" s="29" t="n">
        <f aca="false">SUM(AA66:AA69)</f>
        <v>2794629.148039042</v>
      </c>
      <c r="AB70" s="29" t="n">
        <f aca="false">SUM(AB66:AB69)</f>
        <v>429361.76520787977</v>
      </c>
      <c r="AC70" s="29" t="n">
        <f aca="false">SUM(AC66:AC69)</f>
        <v>1903633.6968050508</v>
      </c>
      <c r="AF70" s="27" t="s">
        <v>43</v>
      </c>
      <c r="AG70" s="29" t="n">
        <f aca="false">SUM(AG66:AG69)</f>
        <v>397446.96804537484</v>
      </c>
      <c r="AH70" s="29" t="n">
        <f aca="false">SUM(AH66:AH69)</f>
        <v>898774.1528647721</v>
      </c>
      <c r="AI70" s="29" t="n">
        <f aca="false">SUM(AI66:AI69)</f>
        <v>5026411.705548427</v>
      </c>
      <c r="AJ70" s="29" t="n">
        <f aca="false">SUM(AJ66:AJ69)</f>
        <v>862784.2469637451</v>
      </c>
      <c r="AK70" s="29" t="n">
        <f aca="false">SUM(AK66:AK69)</f>
        <v>469861.4523066772</v>
      </c>
      <c r="AL70" s="29" t="n">
        <f aca="false">SUM(AL66:AL69)</f>
        <v>803663.1514292443</v>
      </c>
      <c r="AM70" s="29" t="n">
        <f aca="false">SUM(AM66:AM69)</f>
        <v>651618.8152303536</v>
      </c>
      <c r="AN70" s="29" t="n">
        <f aca="false">SUM(AN66:AN69)</f>
        <v>496556.5860275568</v>
      </c>
      <c r="AO70" s="29" t="n">
        <f aca="false">SUM(AO66:AO69)</f>
        <v>947971.1322226468</v>
      </c>
      <c r="AP70" s="29" t="n">
        <f aca="false">SUM(AP66:AP69)</f>
        <v>5837876.332948618</v>
      </c>
      <c r="AQ70" s="29" t="n">
        <f aca="false">SUM(AQ66:AQ69)</f>
        <v>2754833.140121508</v>
      </c>
      <c r="AR70" s="29" t="n">
        <f aca="false">SUM(AR66:AR69)</f>
        <v>1029871.1463013216</v>
      </c>
    </row>
    <row r="71" customFormat="false" ht="15.6" hidden="false" customHeight="false" outlineLevel="0" collapsed="false">
      <c r="B71" s="30" t="s">
        <v>44</v>
      </c>
      <c r="C71" s="21" t="n">
        <f aca="false">SUM(C64,C65,C70)</f>
        <v>2352318</v>
      </c>
      <c r="D71" s="21" t="n">
        <f aca="false">SUM(D64,D65,D70)-1783</f>
        <v>4736998.03</v>
      </c>
      <c r="E71" s="21" t="n">
        <f aca="false">SUM(E64,E65,E70)</f>
        <v>5113379.39</v>
      </c>
      <c r="F71" s="21" t="n">
        <f aca="false">SUM(F64,F65,F70)</f>
        <v>1554038</v>
      </c>
      <c r="G71" s="21" t="n">
        <f aca="false">SUM(G64,G65,G70)-510</f>
        <v>1243372</v>
      </c>
      <c r="H71" s="21" t="n">
        <f aca="false">SUM(H64,H65,H70)</f>
        <v>1709123</v>
      </c>
      <c r="I71" s="21" t="n">
        <f aca="false">SUM(I64,I65,I70)</f>
        <v>1655491</v>
      </c>
      <c r="J71" s="21" t="n">
        <f aca="false">SUM(J64,J65,J70)</f>
        <v>1680842</v>
      </c>
      <c r="K71" s="21" t="n">
        <f aca="false">SUM(K64,K65,K70)-450</f>
        <v>2137194</v>
      </c>
      <c r="L71" s="21" t="n">
        <f aca="false">SUM(L64,L65,L70)</f>
        <v>5702045.12</v>
      </c>
      <c r="M71" s="21" t="n">
        <f aca="false">SUM(M64,M65,M70)</f>
        <v>5799114.02</v>
      </c>
      <c r="N71" s="21" t="n">
        <f aca="false">SUM(N64,N65,N70)-1591</f>
        <v>4811788</v>
      </c>
      <c r="Q71" s="30" t="s">
        <v>44</v>
      </c>
      <c r="R71" s="21" t="n">
        <f aca="false">SUM(R64,R65,R70)</f>
        <v>3066742.29245066</v>
      </c>
      <c r="S71" s="21" t="n">
        <f aca="false">SUM(S64,S65,S70)-1783</f>
        <v>3317037.947436683</v>
      </c>
      <c r="T71" s="21" t="n">
        <f aca="false">SUM(T64,T65,T70)</f>
        <v>5091991.508307569</v>
      </c>
      <c r="U71" s="21" t="n">
        <f aca="false">SUM(U64,U65,U70)</f>
        <v>907444.6414253147</v>
      </c>
      <c r="V71" s="21" t="n">
        <f aca="false">SUM(V64,V65,V70)-510</f>
        <v>389664.3567973753</v>
      </c>
      <c r="W71" s="21" t="n">
        <f aca="false">SUM(W64,W65,W70)</f>
        <v>492778.05142972013</v>
      </c>
      <c r="X71" s="21" t="n">
        <f aca="false">SUM(X64,X65,X70)</f>
        <v>705456.9020864442</v>
      </c>
      <c r="Y71" s="21" t="n">
        <f aca="false">SUM(Y64,Y65,Y70)</f>
        <v>1534707.4652061048</v>
      </c>
      <c r="Z71" s="21" t="n">
        <f aca="false">SUM(Z64,Z65,Z70)-450</f>
        <v>2354701.1972481953</v>
      </c>
      <c r="AA71" s="21" t="n">
        <f aca="false">SUM(AA64,AA65,AA70)</f>
        <v>7252015.030885166</v>
      </c>
      <c r="AB71" s="21" t="n">
        <f aca="false">SUM(AB64,AB65,AB70)</f>
        <v>5107118.469402517</v>
      </c>
      <c r="AC71" s="21" t="n">
        <f aca="false">SUM(AC64,AC65,AC70)-1591</f>
        <v>6465659.593383845</v>
      </c>
      <c r="AF71" s="30" t="s">
        <v>44</v>
      </c>
      <c r="AG71" s="21" t="n">
        <f aca="false">SUM(AG64,AG65,AG70)</f>
        <v>549634.4613133344</v>
      </c>
      <c r="AH71" s="21" t="n">
        <f aca="false">SUM(AH64,AH65,AH70)-1783</f>
        <v>6517633.548190664</v>
      </c>
      <c r="AI71" s="21" t="n">
        <f aca="false">SUM(AI64,AI65,AI70)</f>
        <v>3431796.135221617</v>
      </c>
      <c r="AJ71" s="21" t="n">
        <f aca="false">SUM(AJ64,AJ65,AJ70)</f>
        <v>1358494.817941522</v>
      </c>
      <c r="AK71" s="21" t="n">
        <f aca="false">SUM(AK64,AK65,AK70)-510</f>
        <v>944754.9536202493</v>
      </c>
      <c r="AL71" s="21" t="n">
        <f aca="false">SUM(AL64,AL65,AL70)</f>
        <v>1039784.6668692036</v>
      </c>
      <c r="AM71" s="21" t="n">
        <f aca="false">SUM(AM64,AM65,AM70)</f>
        <v>338744.282193672</v>
      </c>
      <c r="AN71" s="21" t="n">
        <f aca="false">SUM(AN64,AN65,AN70)</f>
        <v>238078.3341826938</v>
      </c>
      <c r="AO71" s="21" t="n">
        <f aca="false">SUM(AO64,AO65,AO70)-450</f>
        <v>3173731.1099576484</v>
      </c>
      <c r="AP71" s="21" t="n">
        <f aca="false">SUM(AP64,AP65,AP70)</f>
        <v>5094177.105937521</v>
      </c>
      <c r="AQ71" s="21" t="n">
        <f aca="false">SUM(AQ64,AQ65,AQ70)</f>
        <v>1927900.3464573491</v>
      </c>
      <c r="AR71" s="21" t="n">
        <f aca="false">SUM(AR64,AR65,AR70)-1591</f>
        <v>624043.5975373085</v>
      </c>
    </row>
    <row r="72" customFormat="false" ht="15.6" hidden="false" customHeight="false" outlineLevel="0" collapsed="false">
      <c r="B72" s="24" t="s">
        <v>45</v>
      </c>
      <c r="C72" s="31" t="n">
        <v>1933918.98744801</v>
      </c>
      <c r="D72" s="25" t="n">
        <v>2909488.99</v>
      </c>
      <c r="E72" s="25" t="n">
        <v>2458131.9</v>
      </c>
      <c r="F72" s="25" t="n">
        <v>2967331.35</v>
      </c>
      <c r="G72" s="25" t="n">
        <v>1218878.58</v>
      </c>
      <c r="H72" s="25" t="n">
        <v>1914292.36</v>
      </c>
      <c r="I72" s="25" t="n">
        <v>2931802.83</v>
      </c>
      <c r="J72" s="25" t="n">
        <v>2560619.03</v>
      </c>
      <c r="K72" s="25" t="n">
        <v>3656280.97</v>
      </c>
      <c r="L72" s="25" t="n">
        <v>2897168.94</v>
      </c>
      <c r="M72" s="25" t="n">
        <v>3549646.9</v>
      </c>
      <c r="N72" s="25" t="n">
        <v>2843000</v>
      </c>
      <c r="Q72" s="24" t="s">
        <v>45</v>
      </c>
      <c r="R72" s="31" t="n">
        <v>330267.809302346</v>
      </c>
      <c r="S72" s="25" t="n">
        <v>1217470.1022213202</v>
      </c>
      <c r="T72" s="25" t="n">
        <v>639241.6409712462</v>
      </c>
      <c r="U72" s="25" t="n">
        <v>2931219.113271264</v>
      </c>
      <c r="V72" s="25" t="n">
        <v>1589594.6534572379</v>
      </c>
      <c r="W72" s="25" t="n">
        <v>2144961.8475341154</v>
      </c>
      <c r="X72" s="25" t="n">
        <v>2243371.083686157</v>
      </c>
      <c r="Y72" s="25" t="n">
        <v>2412986.4825050905</v>
      </c>
      <c r="Z72" s="25" t="n">
        <v>1340271.2980261606</v>
      </c>
      <c r="AA72" s="25" t="n">
        <v>1147474.8362679982</v>
      </c>
      <c r="AB72" s="25" t="n">
        <v>3539880.457472477</v>
      </c>
      <c r="AC72" s="25" t="n">
        <v>3813719.367442269</v>
      </c>
      <c r="AF72" s="24" t="s">
        <v>45</v>
      </c>
      <c r="AG72" s="31" t="n">
        <v>2631582.487981953</v>
      </c>
      <c r="AH72" s="25" t="n">
        <v>3823561.315428595</v>
      </c>
      <c r="AI72" s="25" t="n">
        <v>955286.4101293213</v>
      </c>
      <c r="AJ72" s="25" t="n">
        <v>180869.64314611864</v>
      </c>
      <c r="AK72" s="25" t="n">
        <v>1172907.1623723526</v>
      </c>
      <c r="AL72" s="25" t="n">
        <v>1327651.0579806496</v>
      </c>
      <c r="AM72" s="25" t="n">
        <v>959062.8425526249</v>
      </c>
      <c r="AN72" s="25" t="n">
        <v>1576002.377153293</v>
      </c>
      <c r="AO72" s="25" t="n">
        <v>156215.88416443983</v>
      </c>
      <c r="AP72" s="25" t="n">
        <v>977143.617420571</v>
      </c>
      <c r="AQ72" s="25" t="n">
        <v>4656212.854337228</v>
      </c>
      <c r="AR72" s="25" t="n">
        <v>3566239.5231306176</v>
      </c>
    </row>
    <row r="73" customFormat="false" ht="15.6" hidden="false" customHeight="false" outlineLevel="0" collapsed="false">
      <c r="B73" s="30" t="s">
        <v>46</v>
      </c>
      <c r="C73" s="21" t="n">
        <f aca="false">SUM(C72)</f>
        <v>1933918.98744801</v>
      </c>
      <c r="D73" s="21" t="n">
        <f aca="false">SUM(D72)</f>
        <v>2909488.99</v>
      </c>
      <c r="E73" s="21" t="n">
        <f aca="false">SUM(E72)</f>
        <v>2458131.9</v>
      </c>
      <c r="F73" s="21" t="n">
        <f aca="false">SUM(F72)</f>
        <v>2967331.35</v>
      </c>
      <c r="G73" s="21" t="n">
        <f aca="false">SUM(G72)</f>
        <v>1218878.58</v>
      </c>
      <c r="H73" s="21" t="n">
        <f aca="false">SUM(H72)</f>
        <v>1914292.36</v>
      </c>
      <c r="I73" s="21" t="n">
        <f aca="false">SUM(I72)</f>
        <v>2931802.83</v>
      </c>
      <c r="J73" s="21" t="n">
        <f aca="false">SUM(J72)</f>
        <v>2560619.03</v>
      </c>
      <c r="K73" s="21" t="n">
        <f aca="false">SUM(K72)</f>
        <v>3656280.97</v>
      </c>
      <c r="L73" s="21" t="n">
        <f aca="false">SUM(L72)</f>
        <v>2897168.94</v>
      </c>
      <c r="M73" s="21" t="n">
        <f aca="false">SUM(M72)</f>
        <v>3549646.9</v>
      </c>
      <c r="N73" s="21" t="n">
        <f aca="false">SUM(N72)</f>
        <v>2843000</v>
      </c>
      <c r="Q73" s="30" t="s">
        <v>46</v>
      </c>
      <c r="R73" s="21" t="n">
        <f aca="false">SUM(R72)</f>
        <v>2887068.3661014587</v>
      </c>
      <c r="S73" s="21" t="n">
        <f aca="false">SUM(S72)</f>
        <v>1744553.2912281908</v>
      </c>
      <c r="T73" s="21" t="n">
        <f aca="false">SUM(T72)</f>
        <v>2409364.896435526</v>
      </c>
      <c r="U73" s="21" t="n">
        <f aca="false">SUM(U72)</f>
        <v>4339057.596436681</v>
      </c>
      <c r="V73" s="21" t="n">
        <f aca="false">SUM(V72)</f>
        <v>291449.65503203927</v>
      </c>
      <c r="W73" s="21" t="n">
        <f aca="false">SUM(W72)</f>
        <v>1568780.4585031103</v>
      </c>
      <c r="X73" s="21" t="n">
        <f aca="false">SUM(X72)</f>
        <v>692006.03731609</v>
      </c>
      <c r="Y73" s="21" t="n">
        <f aca="false">SUM(Y72)</f>
        <v>3735470.929379135</v>
      </c>
      <c r="Z73" s="21" t="n">
        <f aca="false">SUM(Z72)</f>
        <v>2369309.381071452</v>
      </c>
      <c r="AA73" s="21" t="n">
        <f aca="false">SUM(AA72)</f>
        <v>1795615.321671095</v>
      </c>
      <c r="AB73" s="21" t="n">
        <f aca="false">SUM(AB72)</f>
        <v>3281739.7187276874</v>
      </c>
      <c r="AC73" s="21" t="n">
        <f aca="false">SUM(AC72)</f>
        <v>1677471.4855307413</v>
      </c>
      <c r="AF73" s="30" t="s">
        <v>46</v>
      </c>
      <c r="AG73" s="21" t="n">
        <f aca="false">SUM(AG72)</f>
        <v>1622674.720674182</v>
      </c>
      <c r="AH73" s="21" t="n">
        <f aca="false">SUM(AH72)</f>
        <v>1230496.61276023</v>
      </c>
      <c r="AI73" s="21" t="n">
        <f aca="false">SUM(AI72)</f>
        <v>2656852.328053424</v>
      </c>
      <c r="AJ73" s="21" t="n">
        <f aca="false">SUM(AJ72)</f>
        <v>1469258.6732197136</v>
      </c>
      <c r="AK73" s="21" t="n">
        <f aca="false">SUM(AK72)</f>
        <v>959707.4209508548</v>
      </c>
      <c r="AL73" s="21" t="n">
        <f aca="false">SUM(AL72)</f>
        <v>886230.2386583294</v>
      </c>
      <c r="AM73" s="21" t="n">
        <f aca="false">SUM(AM72)</f>
        <v>654285.0639262098</v>
      </c>
      <c r="AN73" s="21" t="n">
        <f aca="false">SUM(AN72)</f>
        <v>3398440.0345182526</v>
      </c>
      <c r="AO73" s="21" t="n">
        <f aca="false">SUM(AO72)</f>
        <v>348528.00354535045</v>
      </c>
      <c r="AP73" s="21" t="n">
        <f aca="false">SUM(AP72)</f>
        <v>449246.66353380226</v>
      </c>
      <c r="AQ73" s="21" t="n">
        <f aca="false">SUM(AQ72)</f>
        <v>651471.0346121637</v>
      </c>
      <c r="AR73" s="21" t="n">
        <f aca="false">SUM(AR72)</f>
        <v>2393452.38604509</v>
      </c>
    </row>
    <row r="74" customFormat="false" ht="15.6" hidden="false" customHeight="false" outlineLevel="0" collapsed="false">
      <c r="B74" s="24" t="s">
        <v>47</v>
      </c>
      <c r="C74" s="31" t="n">
        <v>848726</v>
      </c>
      <c r="D74" s="25" t="n">
        <v>827639</v>
      </c>
      <c r="E74" s="25" t="n">
        <v>808252</v>
      </c>
      <c r="F74" s="25" t="n">
        <v>648965</v>
      </c>
      <c r="G74" s="25" t="n">
        <v>794993</v>
      </c>
      <c r="H74" s="25" t="n">
        <v>602341</v>
      </c>
      <c r="I74" s="25" t="n">
        <v>584335</v>
      </c>
      <c r="J74" s="25" t="n">
        <v>698697.21</v>
      </c>
      <c r="K74" s="25" t="n">
        <v>653000</v>
      </c>
      <c r="L74" s="25" t="n">
        <v>716000</v>
      </c>
      <c r="M74" s="25" t="n">
        <v>702000</v>
      </c>
      <c r="N74" s="25" t="n">
        <v>763000</v>
      </c>
      <c r="Q74" s="24" t="s">
        <v>47</v>
      </c>
      <c r="R74" s="31" t="n">
        <v>361157.68479275267</v>
      </c>
      <c r="S74" s="25" t="n">
        <v>621300.564469426</v>
      </c>
      <c r="T74" s="25" t="n">
        <v>1126636.0288418522</v>
      </c>
      <c r="U74" s="25" t="n">
        <v>71427.71828449516</v>
      </c>
      <c r="V74" s="25" t="n">
        <v>931922.0116165046</v>
      </c>
      <c r="W74" s="25" t="n">
        <v>851949.4017048985</v>
      </c>
      <c r="X74" s="25" t="n">
        <v>249911.31242817707</v>
      </c>
      <c r="Y74" s="25" t="n">
        <v>457579.0628525706</v>
      </c>
      <c r="Z74" s="25" t="n">
        <v>331127.0809951177</v>
      </c>
      <c r="AA74" s="25" t="n">
        <v>38488.09603235979</v>
      </c>
      <c r="AB74" s="25" t="n">
        <v>870441.6359389304</v>
      </c>
      <c r="AC74" s="25" t="n">
        <v>630374.9732922772</v>
      </c>
      <c r="AF74" s="24" t="s">
        <v>47</v>
      </c>
      <c r="AG74" s="31" t="n">
        <v>817872.2127673199</v>
      </c>
      <c r="AH74" s="25" t="n">
        <v>484164.6112707306</v>
      </c>
      <c r="AI74" s="25" t="n">
        <v>80659.36122094521</v>
      </c>
      <c r="AJ74" s="25" t="n">
        <v>356027.6908211512</v>
      </c>
      <c r="AK74" s="25" t="n">
        <v>716441.7185834487</v>
      </c>
      <c r="AL74" s="25" t="n">
        <v>271404.5649823518</v>
      </c>
      <c r="AM74" s="25" t="n">
        <v>568488.335525815</v>
      </c>
      <c r="AN74" s="25" t="n">
        <v>344995.6032259276</v>
      </c>
      <c r="AO74" s="25" t="n">
        <v>168052.7553415313</v>
      </c>
      <c r="AP74" s="25" t="n">
        <v>492163.2267555342</v>
      </c>
      <c r="AQ74" s="25" t="n">
        <v>42620.659829934964</v>
      </c>
      <c r="AR74" s="25" t="n">
        <v>326975.20082234975</v>
      </c>
    </row>
    <row r="75" customFormat="false" ht="15.6" hidden="false" customHeight="false" outlineLevel="0" collapsed="false">
      <c r="B75" s="30" t="s">
        <v>48</v>
      </c>
      <c r="C75" s="21" t="n">
        <f aca="false">SUM(C74)</f>
        <v>848726</v>
      </c>
      <c r="D75" s="21" t="n">
        <f aca="false">SUM(D74)</f>
        <v>827639</v>
      </c>
      <c r="E75" s="21" t="n">
        <f aca="false">SUM(E74)</f>
        <v>808252</v>
      </c>
      <c r="F75" s="21" t="n">
        <f aca="false">SUM(F74)</f>
        <v>648965</v>
      </c>
      <c r="G75" s="21" t="n">
        <f aca="false">SUM(G74)</f>
        <v>794993</v>
      </c>
      <c r="H75" s="21" t="n">
        <f aca="false">SUM(H74)</f>
        <v>602341</v>
      </c>
      <c r="I75" s="21" t="n">
        <f aca="false">SUM(I74)</f>
        <v>584335</v>
      </c>
      <c r="J75" s="21" t="n">
        <f aca="false">SUM(J74)</f>
        <v>698697.21</v>
      </c>
      <c r="K75" s="21" t="n">
        <f aca="false">SUM(K74)</f>
        <v>653000</v>
      </c>
      <c r="L75" s="21" t="n">
        <f aca="false">SUM(L74)</f>
        <v>716000</v>
      </c>
      <c r="M75" s="21" t="n">
        <f aca="false">SUM(M74)</f>
        <v>702000</v>
      </c>
      <c r="N75" s="21" t="n">
        <f aca="false">SUM(N74)</f>
        <v>763000</v>
      </c>
      <c r="Q75" s="30" t="s">
        <v>48</v>
      </c>
      <c r="R75" s="21" t="n">
        <f aca="false">SUM(R74)</f>
        <v>773652.233977779</v>
      </c>
      <c r="S75" s="21" t="n">
        <f aca="false">SUM(S74)</f>
        <v>610924.5022435489</v>
      </c>
      <c r="T75" s="21" t="n">
        <f aca="false">SUM(T74)</f>
        <v>697283.8521381671</v>
      </c>
      <c r="U75" s="21" t="n">
        <f aca="false">SUM(U74)</f>
        <v>694785.6232981238</v>
      </c>
      <c r="V75" s="21" t="n">
        <f aca="false">SUM(V74)</f>
        <v>1092076.6336889116</v>
      </c>
      <c r="W75" s="21" t="n">
        <f aca="false">SUM(W74)</f>
        <v>20773.54633589086</v>
      </c>
      <c r="X75" s="21" t="n">
        <f aca="false">SUM(X74)</f>
        <v>517488.8584047379</v>
      </c>
      <c r="Y75" s="21" t="n">
        <f aca="false">SUM(Y74)</f>
        <v>64980.06966140891</v>
      </c>
      <c r="Z75" s="21" t="n">
        <f aca="false">SUM(Z74)</f>
        <v>815936.8698278463</v>
      </c>
      <c r="AA75" s="21" t="n">
        <f aca="false">SUM(AA74)</f>
        <v>489283.4115664709</v>
      </c>
      <c r="AB75" s="21" t="n">
        <f aca="false">SUM(AB74)</f>
        <v>605345.4970220262</v>
      </c>
      <c r="AC75" s="21" t="n">
        <f aca="false">SUM(AC74)</f>
        <v>459829.0306098828</v>
      </c>
      <c r="AF75" s="30" t="s">
        <v>48</v>
      </c>
      <c r="AG75" s="21" t="n">
        <f aca="false">SUM(AG74)</f>
        <v>735905.7744884196</v>
      </c>
      <c r="AH75" s="21" t="n">
        <f aca="false">SUM(AH74)</f>
        <v>1163083.977979029</v>
      </c>
      <c r="AI75" s="21" t="n">
        <f aca="false">SUM(AI74)</f>
        <v>660073.0631677461</v>
      </c>
      <c r="AJ75" s="21" t="n">
        <f aca="false">SUM(AJ74)</f>
        <v>302194.09616058547</v>
      </c>
      <c r="AK75" s="21" t="n">
        <f aca="false">SUM(AK74)</f>
        <v>815187.1876203031</v>
      </c>
      <c r="AL75" s="21" t="n">
        <f aca="false">SUM(AL74)</f>
        <v>245178.47736917753</v>
      </c>
      <c r="AM75" s="21" t="n">
        <f aca="false">SUM(AM74)</f>
        <v>320875.21456470655</v>
      </c>
      <c r="AN75" s="21" t="n">
        <f aca="false">SUM(AN74)</f>
        <v>139678.96506181426</v>
      </c>
      <c r="AO75" s="21" t="n">
        <f aca="false">SUM(AO74)</f>
        <v>392328.99319771293</v>
      </c>
      <c r="AP75" s="21" t="n">
        <f aca="false">SUM(AP74)</f>
        <v>292613.92543165083</v>
      </c>
      <c r="AQ75" s="21" t="n">
        <f aca="false">SUM(AQ74)</f>
        <v>799751.3839113212</v>
      </c>
      <c r="AR75" s="21" t="n">
        <f aca="false">SUM(AR74)</f>
        <v>844824.3321569896</v>
      </c>
    </row>
    <row r="76" customFormat="false" ht="15.6" hidden="false" customHeight="false" outlineLevel="0" collapsed="false">
      <c r="B76" s="32" t="s">
        <v>49</v>
      </c>
      <c r="C76" s="33" t="n">
        <f aca="false">SUM(C53,C55,C71,C73,C75)</f>
        <v>7277685.98744801</v>
      </c>
      <c r="D76" s="33" t="n">
        <f aca="false">SUM(D53,D55,D71,D73,D75)</f>
        <v>9722506.02</v>
      </c>
      <c r="E76" s="33" t="n">
        <f aca="false">SUM(E53,E55,E71,E73,E75)</f>
        <v>10555777.43</v>
      </c>
      <c r="F76" s="33" t="n">
        <f aca="false">SUM(F53,F55,F71,F73,F75)</f>
        <v>6974106.35</v>
      </c>
      <c r="G76" s="33" t="n">
        <f aca="false">SUM(G53,G55,G71,G73,G75)</f>
        <v>4764742.58</v>
      </c>
      <c r="H76" s="33" t="n">
        <f aca="false">SUM(H53,H55,H71,H73,H75)</f>
        <v>6589216.57</v>
      </c>
      <c r="I76" s="33" t="n">
        <f aca="false">SUM(I53,I55,I71,I73,I75)</f>
        <v>6455552.39</v>
      </c>
      <c r="J76" s="33" t="n">
        <f aca="false">SUM(J53,J55,J71,J73,J75)</f>
        <v>6412751.99</v>
      </c>
      <c r="K76" s="33" t="n">
        <f aca="false">SUM(K53,K55,K71,K73,K75)</f>
        <v>8095511.35</v>
      </c>
      <c r="L76" s="33" t="n">
        <f aca="false">SUM(L53,L55,L71,L73,L75)</f>
        <v>10323690.99</v>
      </c>
      <c r="M76" s="33" t="n">
        <f aca="false">SUM(M53,M55,M71,M73,M75)</f>
        <v>11959082.51</v>
      </c>
      <c r="N76" s="33" t="n">
        <f aca="false">SUM(N53,N55,N71,N73,N75)</f>
        <v>10287408.66</v>
      </c>
      <c r="Q76" s="32" t="s">
        <v>49</v>
      </c>
      <c r="R76" s="33" t="n">
        <f aca="false">SUM(R53,R55,R71,R73,R75)</f>
        <v>928044.057456939</v>
      </c>
      <c r="S76" s="33" t="n">
        <f aca="false">SUM(S53,S55,S71,S73,S75)</f>
        <v>3420706.186783154</v>
      </c>
      <c r="T76" s="33" t="n">
        <f aca="false">SUM(T53,T55,T71,T73,T75)</f>
        <v>2164837.60279001</v>
      </c>
      <c r="U76" s="33" t="n">
        <f aca="false">SUM(U53,U55,U71,U73,U75)</f>
        <v>10124456.484359855</v>
      </c>
      <c r="V76" s="33" t="n">
        <f aca="false">SUM(V53,V55,V71,V73,V75)</f>
        <v>515417.3232215907</v>
      </c>
      <c r="W76" s="33" t="n">
        <f aca="false">SUM(W53,W55,W71,W73,W75)</f>
        <v>6976901.7404581485</v>
      </c>
      <c r="X76" s="33" t="n">
        <f aca="false">SUM(X53,X55,X71,X73,X75)</f>
        <v>9441734.375997066</v>
      </c>
      <c r="Y76" s="33" t="n">
        <f aca="false">SUM(Y53,Y55,Y71,Y73,Y75)</f>
        <v>9356635.38758241</v>
      </c>
      <c r="Z76" s="33" t="n">
        <f aca="false">SUM(Z53,Z55,Z71,Z73,Z75)</f>
        <v>11771540.173922833</v>
      </c>
      <c r="AA76" s="33" t="n">
        <f aca="false">SUM(AA53,AA55,AA71,AA73,AA75)</f>
        <v>5036565.275089298</v>
      </c>
      <c r="AB76" s="33" t="n">
        <f aca="false">SUM(AB53,AB55,AB71,AB73,AB75)</f>
        <v>3145347.06042565</v>
      </c>
      <c r="AC76" s="33" t="n">
        <f aca="false">SUM(AC53,AC55,AC71,AC73,AC75)</f>
        <v>3922258.2732504196</v>
      </c>
      <c r="AF76" s="32" t="s">
        <v>49</v>
      </c>
      <c r="AG76" s="33" t="n">
        <f aca="false">SUM(AG53,AG55,AG71,AG73,AG75)</f>
        <v>4534060.689960454</v>
      </c>
      <c r="AH76" s="33" t="n">
        <f aca="false">SUM(AH53,AH55,AH71,AH73,AH75)</f>
        <v>4877560.489372736</v>
      </c>
      <c r="AI76" s="33" t="n">
        <f aca="false">SUM(AI53,AI55,AI71,AI73,AI75)</f>
        <v>5130864.364193327</v>
      </c>
      <c r="AJ76" s="33" t="n">
        <f aca="false">SUM(AJ53,AJ55,AJ71,AJ73,AJ75)</f>
        <v>10410737.20897412</v>
      </c>
      <c r="AK76" s="33" t="n">
        <f aca="false">SUM(AK53,AK55,AK71,AK73,AK75)</f>
        <v>3108512.9888435462</v>
      </c>
      <c r="AL76" s="33" t="n">
        <f aca="false">SUM(AL53,AL55,AL71,AL73,AL75)</f>
        <v>5098508.654549627</v>
      </c>
      <c r="AM76" s="33" t="n">
        <f aca="false">SUM(AM53,AM55,AM71,AM73,AM75)</f>
        <v>213822.28340887185</v>
      </c>
      <c r="AN76" s="33" t="n">
        <f aca="false">SUM(AN53,AN55,AN71,AN73,AN75)</f>
        <v>6673539.387097324</v>
      </c>
      <c r="AO76" s="33" t="n">
        <f aca="false">SUM(AO53,AO55,AO71,AO73,AO75)</f>
        <v>8146487.128022957</v>
      </c>
      <c r="AP76" s="33" t="n">
        <f aca="false">SUM(AP53,AP55,AP71,AP73,AP75)</f>
        <v>854599.7591836288</v>
      </c>
      <c r="AQ76" s="33" t="n">
        <f aca="false">SUM(AQ53,AQ55,AQ71,AQ73,AQ75)</f>
        <v>13075630.13044818</v>
      </c>
      <c r="AR76" s="33" t="n">
        <f aca="false">SUM(AR53,AR55,AR71,AR73,AR75)</f>
        <v>9103241.5274386</v>
      </c>
    </row>
    <row r="77" customFormat="false" ht="15" hidden="false" customHeight="false" outlineLevel="0" collapsed="false"/>
    <row r="78" customFormat="false" ht="15" hidden="false" customHeight="false" outlineLevel="0" collapsed="false"/>
    <row r="79" customFormat="false" ht="29.85" hidden="false" customHeight="false" outlineLevel="0" collapsed="false">
      <c r="B79" s="3" t="s">
        <v>52</v>
      </c>
      <c r="C79" s="4" t="s">
        <v>4</v>
      </c>
      <c r="D79" s="5" t="s">
        <v>5</v>
      </c>
      <c r="E79" s="5" t="s">
        <v>6</v>
      </c>
      <c r="F79" s="5" t="s">
        <v>7</v>
      </c>
      <c r="G79" s="5" t="s">
        <v>8</v>
      </c>
      <c r="H79" s="5" t="s">
        <v>51</v>
      </c>
      <c r="I79" s="5" t="s">
        <v>10</v>
      </c>
      <c r="J79" s="5" t="s">
        <v>11</v>
      </c>
      <c r="K79" s="5" t="s">
        <v>12</v>
      </c>
      <c r="L79" s="5" t="s">
        <v>13</v>
      </c>
      <c r="M79" s="5" t="s">
        <v>14</v>
      </c>
      <c r="N79" s="5" t="s">
        <v>15</v>
      </c>
      <c r="Q79" s="3" t="s">
        <v>52</v>
      </c>
      <c r="R79" s="4" t="s">
        <v>4</v>
      </c>
      <c r="S79" s="5" t="s">
        <v>5</v>
      </c>
      <c r="T79" s="5" t="s">
        <v>6</v>
      </c>
      <c r="U79" s="5" t="s">
        <v>7</v>
      </c>
      <c r="V79" s="5" t="s">
        <v>8</v>
      </c>
      <c r="W79" s="5" t="s">
        <v>51</v>
      </c>
      <c r="X79" s="5" t="s">
        <v>10</v>
      </c>
      <c r="Y79" s="5" t="s">
        <v>11</v>
      </c>
      <c r="Z79" s="5" t="s">
        <v>12</v>
      </c>
      <c r="AA79" s="5" t="s">
        <v>13</v>
      </c>
      <c r="AB79" s="5" t="s">
        <v>14</v>
      </c>
      <c r="AC79" s="5" t="s">
        <v>15</v>
      </c>
      <c r="AF79" s="3" t="s">
        <v>52</v>
      </c>
      <c r="AG79" s="4" t="s">
        <v>4</v>
      </c>
      <c r="AH79" s="5" t="s">
        <v>5</v>
      </c>
      <c r="AI79" s="5" t="s">
        <v>6</v>
      </c>
      <c r="AJ79" s="5" t="s">
        <v>7</v>
      </c>
      <c r="AK79" s="5" t="s">
        <v>8</v>
      </c>
      <c r="AL79" s="5" t="s">
        <v>51</v>
      </c>
      <c r="AM79" s="5" t="s">
        <v>10</v>
      </c>
      <c r="AN79" s="5" t="s">
        <v>11</v>
      </c>
      <c r="AO79" s="5" t="s">
        <v>12</v>
      </c>
      <c r="AP79" s="5" t="s">
        <v>13</v>
      </c>
      <c r="AQ79" s="5" t="s">
        <v>14</v>
      </c>
      <c r="AR79" s="5" t="s">
        <v>15</v>
      </c>
    </row>
    <row r="80" customFormat="false" ht="15.6" hidden="false" customHeight="false" outlineLevel="0" collapsed="false">
      <c r="B80" s="7" t="s">
        <v>16</v>
      </c>
      <c r="C80" s="8" t="n">
        <v>78506</v>
      </c>
      <c r="D80" s="8" t="n">
        <v>7972</v>
      </c>
      <c r="E80" s="8" t="n">
        <v>118617</v>
      </c>
      <c r="F80" s="8" t="n">
        <v>8608</v>
      </c>
      <c r="G80" s="8" t="n">
        <v>134985</v>
      </c>
      <c r="H80" s="8" t="n">
        <v>26330.56</v>
      </c>
      <c r="I80" s="8" t="n">
        <v>63065</v>
      </c>
      <c r="J80" s="8" t="n">
        <v>7822</v>
      </c>
      <c r="K80" s="8" t="n">
        <v>166808.7</v>
      </c>
      <c r="L80" s="8" t="n">
        <v>7981.41</v>
      </c>
      <c r="M80" s="8" t="n">
        <v>65825.83</v>
      </c>
      <c r="N80" s="34" t="n">
        <v>10741.16</v>
      </c>
      <c r="Q80" s="7" t="s">
        <v>16</v>
      </c>
      <c r="R80" s="8" t="n">
        <v>87665.52270378867</v>
      </c>
      <c r="S80" s="8" t="n">
        <v>11796.564400200421</v>
      </c>
      <c r="T80" s="8" t="n">
        <v>14965.674163313523</v>
      </c>
      <c r="U80" s="8" t="n">
        <v>11666.455412352403</v>
      </c>
      <c r="V80" s="8" t="n">
        <v>41352.517504628835</v>
      </c>
      <c r="W80" s="8" t="n">
        <v>15862.086541837558</v>
      </c>
      <c r="X80" s="8" t="n">
        <v>36041.7542225264</v>
      </c>
      <c r="Y80" s="8" t="n">
        <v>2584.3902613508885</v>
      </c>
      <c r="Z80" s="8" t="n">
        <v>111378.96676752856</v>
      </c>
      <c r="AA80" s="8" t="n">
        <v>6307.5998696211855</v>
      </c>
      <c r="AB80" s="8" t="n">
        <v>9789.957750128733</v>
      </c>
      <c r="AC80" s="34" t="n">
        <v>6710.25373177201</v>
      </c>
      <c r="AF80" s="7" t="s">
        <v>16</v>
      </c>
      <c r="AG80" s="8" t="n">
        <v>10034.182386233877</v>
      </c>
      <c r="AH80" s="8" t="n">
        <v>6308.874939321644</v>
      </c>
      <c r="AI80" s="8" t="n">
        <v>177676.79449653928</v>
      </c>
      <c r="AJ80" s="8" t="n">
        <v>11273.734632153817</v>
      </c>
      <c r="AK80" s="8" t="n">
        <v>117407.34443082615</v>
      </c>
      <c r="AL80" s="8" t="n">
        <v>455.41980752789414</v>
      </c>
      <c r="AM80" s="8" t="n">
        <v>63384.051097901945</v>
      </c>
      <c r="AN80" s="8" t="n">
        <v>5736.947863194303</v>
      </c>
      <c r="AO80" s="8" t="n">
        <v>138482.53878693696</v>
      </c>
      <c r="AP80" s="8" t="n">
        <v>6913.896363126982</v>
      </c>
      <c r="AQ80" s="8" t="n">
        <v>96767.01430374809</v>
      </c>
      <c r="AR80" s="34" t="n">
        <v>13775.393162111572</v>
      </c>
    </row>
    <row r="81" customFormat="false" ht="15.6" hidden="false" customHeight="false" outlineLevel="0" collapsed="false">
      <c r="B81" s="7" t="s">
        <v>17</v>
      </c>
      <c r="C81" s="8" t="n">
        <v>44852</v>
      </c>
      <c r="D81" s="8" t="n">
        <v>29176</v>
      </c>
      <c r="E81" s="8" t="n">
        <v>137647</v>
      </c>
      <c r="F81" s="8" t="n">
        <v>144463</v>
      </c>
      <c r="G81" s="8" t="n">
        <v>192935</v>
      </c>
      <c r="H81" s="8" t="n">
        <v>584228.58</v>
      </c>
      <c r="I81" s="8" t="n">
        <v>112602</v>
      </c>
      <c r="J81" s="8" t="n">
        <v>132395</v>
      </c>
      <c r="K81" s="8" t="n">
        <v>217584.55</v>
      </c>
      <c r="L81" s="8" t="n">
        <v>114824.21</v>
      </c>
      <c r="M81" s="8" t="n">
        <v>275498.55</v>
      </c>
      <c r="N81" s="8" t="n">
        <v>277879.48</v>
      </c>
      <c r="Q81" s="7" t="s">
        <v>17</v>
      </c>
      <c r="R81" s="8" t="n">
        <v>52445.84056049072</v>
      </c>
      <c r="S81" s="8" t="n">
        <v>8439.663018880134</v>
      </c>
      <c r="T81" s="8" t="n">
        <v>163164.21750042398</v>
      </c>
      <c r="U81" s="8" t="n">
        <v>202377.75329474965</v>
      </c>
      <c r="V81" s="8" t="n">
        <v>241173.99253036414</v>
      </c>
      <c r="W81" s="8" t="n">
        <v>809102.9246169728</v>
      </c>
      <c r="X81" s="8" t="n">
        <v>165635.72932763206</v>
      </c>
      <c r="Y81" s="8" t="n">
        <v>154247.3467778027</v>
      </c>
      <c r="Z81" s="8" t="n">
        <v>214169.23137360153</v>
      </c>
      <c r="AA81" s="8" t="n">
        <v>67818.53696149398</v>
      </c>
      <c r="AB81" s="8" t="n">
        <v>38965.25466001705</v>
      </c>
      <c r="AC81" s="8" t="n">
        <v>130746.92343684293</v>
      </c>
      <c r="AF81" s="7" t="s">
        <v>17</v>
      </c>
      <c r="AG81" s="8" t="n">
        <v>5976.182268979445</v>
      </c>
      <c r="AH81" s="8" t="n">
        <v>22694.735556915002</v>
      </c>
      <c r="AI81" s="8" t="n">
        <v>138963.93499639278</v>
      </c>
      <c r="AJ81" s="8" t="n">
        <v>182026.27721448944</v>
      </c>
      <c r="AK81" s="8" t="n">
        <v>280029.24963046686</v>
      </c>
      <c r="AL81" s="8" t="n">
        <v>802152.6645180872</v>
      </c>
      <c r="AM81" s="8" t="n">
        <v>158740.9434971727</v>
      </c>
      <c r="AN81" s="8" t="n">
        <v>89794.92382216858</v>
      </c>
      <c r="AO81" s="8" t="n">
        <v>316564.3442204207</v>
      </c>
      <c r="AP81" s="8" t="n">
        <v>113797.07820984925</v>
      </c>
      <c r="AQ81" s="8" t="n">
        <v>113556.86219914717</v>
      </c>
      <c r="AR81" s="8" t="n">
        <v>251467.39952904964</v>
      </c>
    </row>
    <row r="82" customFormat="false" ht="15.6" hidden="false" customHeight="false" outlineLevel="0" collapsed="false">
      <c r="B82" s="7" t="s">
        <v>18</v>
      </c>
      <c r="C82" s="8" t="n">
        <v>498606</v>
      </c>
      <c r="D82" s="8" t="n">
        <f aca="false">D44/(1+$A82)</f>
        <v>28</v>
      </c>
      <c r="E82" s="8" t="n">
        <v>396634</v>
      </c>
      <c r="F82" s="8" t="n">
        <f aca="false">F44/(1+$A82)</f>
        <v>42123</v>
      </c>
      <c r="G82" s="8" t="n">
        <v>117515</v>
      </c>
      <c r="H82" s="8" t="n">
        <v>59461.82</v>
      </c>
      <c r="I82" s="8" t="n">
        <v>161042</v>
      </c>
      <c r="J82" s="8" t="n">
        <v>170540</v>
      </c>
      <c r="K82" s="8" t="n">
        <v>208460.43</v>
      </c>
      <c r="L82" s="8" t="n">
        <v>71559.18</v>
      </c>
      <c r="M82" s="8" t="n">
        <v>360305.38</v>
      </c>
      <c r="N82" s="8" t="n">
        <v>34626.65</v>
      </c>
      <c r="Q82" s="7" t="s">
        <v>18</v>
      </c>
      <c r="R82" s="8" t="n">
        <v>235793.5006067153</v>
      </c>
      <c r="S82" s="8" t="n">
        <f aca="false">S44/(1+$A82)</f>
        <v>41.87748666874494</v>
      </c>
      <c r="T82" s="8" t="n">
        <v>443949.2189531715</v>
      </c>
      <c r="U82" s="8" t="n">
        <f aca="false">U44/(1+$A82)</f>
        <v>25187.026063763387</v>
      </c>
      <c r="V82" s="8" t="n">
        <v>91044.09076903264</v>
      </c>
      <c r="W82" s="8" t="n">
        <v>65976.75433338089</v>
      </c>
      <c r="X82" s="8" t="n">
        <v>146914.74702274217</v>
      </c>
      <c r="Y82" s="8" t="n">
        <v>168758.9291669662</v>
      </c>
      <c r="Z82" s="8" t="n">
        <v>200095.95089056954</v>
      </c>
      <c r="AA82" s="8" t="n">
        <v>27850.53193342155</v>
      </c>
      <c r="AB82" s="8" t="n">
        <v>215079.9883355731</v>
      </c>
      <c r="AC82" s="8" t="n">
        <v>31695.764828348612</v>
      </c>
      <c r="AF82" s="7" t="s">
        <v>18</v>
      </c>
      <c r="AG82" s="8" t="n">
        <v>37879.476439550985</v>
      </c>
      <c r="AH82" s="8" t="n">
        <f aca="false">AH44/(1+$A82)</f>
        <v>18.710313224413152</v>
      </c>
      <c r="AI82" s="8" t="n">
        <v>497324.63788589457</v>
      </c>
      <c r="AJ82" s="8" t="n">
        <f aca="false">AJ44/(1+$A82)</f>
        <v>36914.70241169102</v>
      </c>
      <c r="AK82" s="8" t="n">
        <v>73363.13007715234</v>
      </c>
      <c r="AL82" s="8" t="n">
        <v>38264.4870967112</v>
      </c>
      <c r="AM82" s="8" t="n">
        <v>37731.93011780723</v>
      </c>
      <c r="AN82" s="8" t="n">
        <v>108989.93445562304</v>
      </c>
      <c r="AO82" s="8" t="n">
        <v>172019.0423530035</v>
      </c>
      <c r="AP82" s="8" t="n">
        <v>33039.504567904594</v>
      </c>
      <c r="AQ82" s="8" t="n">
        <v>387246.2330969795</v>
      </c>
      <c r="AR82" s="8" t="n">
        <v>19787.424726169866</v>
      </c>
    </row>
    <row r="83" customFormat="false" ht="15.6" hidden="false" customHeight="false" outlineLevel="0" collapsed="false">
      <c r="B83" s="7" t="s">
        <v>19</v>
      </c>
      <c r="C83" s="8" t="n">
        <v>487138</v>
      </c>
      <c r="D83" s="8" t="n">
        <v>361900</v>
      </c>
      <c r="E83" s="8" t="n">
        <v>104517</v>
      </c>
      <c r="F83" s="8" t="n">
        <v>607090</v>
      </c>
      <c r="G83" s="8" t="n">
        <v>100275</v>
      </c>
      <c r="H83" s="8" t="n">
        <v>427214.52</v>
      </c>
      <c r="I83" s="8" t="n">
        <v>231930</v>
      </c>
      <c r="J83" s="8" t="n">
        <v>390498</v>
      </c>
      <c r="K83" s="8" t="n">
        <v>240690.11</v>
      </c>
      <c r="L83" s="8" t="n">
        <v>157227.3</v>
      </c>
      <c r="M83" s="8" t="n">
        <v>103422.35</v>
      </c>
      <c r="N83" s="8" t="n">
        <v>393442.51</v>
      </c>
      <c r="Q83" s="7" t="s">
        <v>19</v>
      </c>
      <c r="R83" s="8" t="n">
        <v>388413.7913754155</v>
      </c>
      <c r="S83" s="8" t="n">
        <v>228033.10007057252</v>
      </c>
      <c r="T83" s="8" t="n">
        <v>85643.76375574392</v>
      </c>
      <c r="U83" s="8" t="n">
        <v>190643.85451841247</v>
      </c>
      <c r="V83" s="8" t="n">
        <v>27833.463701668636</v>
      </c>
      <c r="W83" s="8" t="n">
        <v>509978.8298705157</v>
      </c>
      <c r="X83" s="8" t="n">
        <v>310497.15134666814</v>
      </c>
      <c r="Y83" s="8" t="n">
        <v>529853.921481995</v>
      </c>
      <c r="Z83" s="8" t="n">
        <v>15045.883232317467</v>
      </c>
      <c r="AA83" s="8" t="n">
        <v>198543.2617172104</v>
      </c>
      <c r="AB83" s="8" t="n">
        <v>29969.123322981977</v>
      </c>
      <c r="AC83" s="8" t="n">
        <v>285502.362220158</v>
      </c>
      <c r="AF83" s="7" t="s">
        <v>19</v>
      </c>
      <c r="AG83" s="8" t="n">
        <v>595093.8090105627</v>
      </c>
      <c r="AH83" s="8" t="n">
        <v>399005.0743892528</v>
      </c>
      <c r="AI83" s="8" t="n">
        <v>134684.75853027747</v>
      </c>
      <c r="AJ83" s="8" t="n">
        <v>155834.87519560353</v>
      </c>
      <c r="AK83" s="8" t="n">
        <v>147162.5302319226</v>
      </c>
      <c r="AL83" s="8" t="n">
        <v>363464.57475834043</v>
      </c>
      <c r="AM83" s="8" t="n">
        <v>12027.169952607304</v>
      </c>
      <c r="AN83" s="8" t="n">
        <v>288885.22327484755</v>
      </c>
      <c r="AO83" s="8" t="n">
        <v>112748.30745879731</v>
      </c>
      <c r="AP83" s="8" t="n">
        <v>86199.46253770003</v>
      </c>
      <c r="AQ83" s="8" t="n">
        <v>96481.1964270744</v>
      </c>
      <c r="AR83" s="8" t="n">
        <v>220899.20091595105</v>
      </c>
    </row>
    <row r="84" customFormat="false" ht="15.6" hidden="false" customHeight="false" outlineLevel="0" collapsed="false">
      <c r="B84" s="7" t="s">
        <v>20</v>
      </c>
      <c r="C84" s="8" t="n">
        <v>60854</v>
      </c>
      <c r="D84" s="8" t="n">
        <v>81998</v>
      </c>
      <c r="E84" s="8" t="n">
        <v>89510</v>
      </c>
      <c r="F84" s="8" t="n">
        <v>57301</v>
      </c>
      <c r="G84" s="8" t="n">
        <v>60101</v>
      </c>
      <c r="H84" s="8" t="n">
        <v>80250.06</v>
      </c>
      <c r="I84" s="8" t="n">
        <v>70479</v>
      </c>
      <c r="J84" s="8" t="n">
        <v>52379</v>
      </c>
      <c r="K84" s="8" t="n">
        <v>65553.63</v>
      </c>
      <c r="L84" s="8" t="n">
        <v>52389.52</v>
      </c>
      <c r="M84" s="8" t="n">
        <v>41750.75</v>
      </c>
      <c r="N84" s="8" t="n">
        <v>83068.57</v>
      </c>
      <c r="Q84" s="7" t="s">
        <v>20</v>
      </c>
      <c r="R84" s="8" t="n">
        <v>67529.79879047861</v>
      </c>
      <c r="S84" s="8" t="n">
        <v>11115.95063130741</v>
      </c>
      <c r="T84" s="8" t="n">
        <v>51586.058410464975</v>
      </c>
      <c r="U84" s="8" t="n">
        <v>72529.16867051362</v>
      </c>
      <c r="V84" s="8" t="n">
        <v>34570.06486618699</v>
      </c>
      <c r="W84" s="8" t="n">
        <v>110643.00892166725</v>
      </c>
      <c r="X84" s="8" t="n">
        <v>23019.134875158237</v>
      </c>
      <c r="Y84" s="8" t="n">
        <v>51639.99388623482</v>
      </c>
      <c r="Z84" s="8" t="n">
        <v>31919.749421706576</v>
      </c>
      <c r="AA84" s="8" t="n">
        <v>26908.850952788398</v>
      </c>
      <c r="AB84" s="8" t="n">
        <v>59448.07405470348</v>
      </c>
      <c r="AC84" s="8" t="n">
        <v>89632.17144154599</v>
      </c>
      <c r="AF84" s="7" t="s">
        <v>20</v>
      </c>
      <c r="AG84" s="8" t="n">
        <v>75158.08063842502</v>
      </c>
      <c r="AH84" s="8" t="n">
        <v>43951.95575554207</v>
      </c>
      <c r="AI84" s="8" t="n">
        <v>6896.194547859596</v>
      </c>
      <c r="AJ84" s="8" t="n">
        <v>44240.17660836179</v>
      </c>
      <c r="AK84" s="8" t="n">
        <v>24832.63626520773</v>
      </c>
      <c r="AL84" s="8" t="n">
        <v>60780.544545869154</v>
      </c>
      <c r="AM84" s="8" t="n">
        <v>97461.70401727656</v>
      </c>
      <c r="AN84" s="8" t="n">
        <v>64951.194981460474</v>
      </c>
      <c r="AO84" s="8" t="n">
        <v>77785.40970649927</v>
      </c>
      <c r="AP84" s="8" t="n">
        <v>66043.50655017947</v>
      </c>
      <c r="AQ84" s="8" t="n">
        <v>24386.83263302583</v>
      </c>
      <c r="AR84" s="8" t="n">
        <v>109952.71047193864</v>
      </c>
    </row>
    <row r="85" customFormat="false" ht="15.6" hidden="false" customHeight="false" outlineLevel="0" collapsed="false">
      <c r="B85" s="7" t="s">
        <v>21</v>
      </c>
      <c r="C85" s="8" t="n">
        <v>239770</v>
      </c>
      <c r="D85" s="8" t="n">
        <v>399434</v>
      </c>
      <c r="E85" s="8" t="n">
        <v>546833</v>
      </c>
      <c r="F85" s="8" t="n">
        <v>334825</v>
      </c>
      <c r="G85" s="8" t="n">
        <v>325172</v>
      </c>
      <c r="H85" s="8" t="n">
        <v>626246</v>
      </c>
      <c r="I85" s="8" t="n">
        <v>302127.01</v>
      </c>
      <c r="J85" s="8" t="n">
        <v>179877</v>
      </c>
      <c r="K85" s="8" t="n">
        <v>367627</v>
      </c>
      <c r="L85" s="8" t="n">
        <v>193752.21</v>
      </c>
      <c r="M85" s="8" t="n">
        <v>476364.5</v>
      </c>
      <c r="N85" s="8" t="n">
        <v>666156.21</v>
      </c>
      <c r="Q85" s="7" t="s">
        <v>21</v>
      </c>
      <c r="R85" s="8" t="n">
        <v>312056.64499498816</v>
      </c>
      <c r="S85" s="8" t="n">
        <v>470851.5055305003</v>
      </c>
      <c r="T85" s="8" t="n">
        <v>178923.03348359768</v>
      </c>
      <c r="U85" s="8" t="n">
        <v>53911.75331904933</v>
      </c>
      <c r="V85" s="8" t="n">
        <v>365918.0693701128</v>
      </c>
      <c r="W85" s="8" t="n">
        <v>130963.97351774035</v>
      </c>
      <c r="X85" s="8" t="n">
        <v>451525.8985074265</v>
      </c>
      <c r="Y85" s="8" t="n">
        <v>108473.62150060406</v>
      </c>
      <c r="Z85" s="8" t="n">
        <v>70926.0134347935</v>
      </c>
      <c r="AA85" s="8" t="n">
        <v>207530.42588039587</v>
      </c>
      <c r="AB85" s="8" t="n">
        <v>57556.29638065114</v>
      </c>
      <c r="AC85" s="8" t="n">
        <v>117927.07220420086</v>
      </c>
      <c r="AF85" s="7" t="s">
        <v>21</v>
      </c>
      <c r="AG85" s="8" t="n">
        <v>45079.83755141186</v>
      </c>
      <c r="AH85" s="8" t="n">
        <v>455838.01991273044</v>
      </c>
      <c r="AI85" s="8" t="n">
        <v>207019.15068898932</v>
      </c>
      <c r="AJ85" s="8" t="n">
        <v>330523.911996451</v>
      </c>
      <c r="AK85" s="8" t="n">
        <v>177519.08677290974</v>
      </c>
      <c r="AL85" s="8" t="n">
        <v>662949.8678547172</v>
      </c>
      <c r="AM85" s="8" t="n">
        <v>355502.02709312737</v>
      </c>
      <c r="AN85" s="8" t="n">
        <v>183188.69943194394</v>
      </c>
      <c r="AO85" s="8" t="n">
        <v>15780.691544010297</v>
      </c>
      <c r="AP85" s="8" t="n">
        <v>137090.51387348594</v>
      </c>
      <c r="AQ85" s="8" t="n">
        <v>207569.16300517617</v>
      </c>
      <c r="AR85" s="8" t="n">
        <v>820591.3536508909</v>
      </c>
    </row>
    <row r="86" customFormat="false" ht="15.6" hidden="false" customHeight="false" outlineLevel="0" collapsed="false">
      <c r="B86" s="7" t="s">
        <v>22</v>
      </c>
      <c r="C86" s="8" t="n">
        <v>72162</v>
      </c>
      <c r="D86" s="8" t="n">
        <v>28</v>
      </c>
      <c r="E86" s="8" t="n">
        <v>210449</v>
      </c>
      <c r="F86" s="8" t="n">
        <v>41701</v>
      </c>
      <c r="G86" s="8" t="n">
        <v>111318</v>
      </c>
      <c r="H86" s="8" t="n">
        <v>80057.02</v>
      </c>
      <c r="I86" s="8" t="n">
        <v>10609</v>
      </c>
      <c r="J86" s="8" t="n">
        <v>142365</v>
      </c>
      <c r="K86" s="8" t="n">
        <v>82847.7</v>
      </c>
      <c r="L86" s="8" t="n">
        <v>31734.24</v>
      </c>
      <c r="M86" s="8" t="n">
        <v>54208.7</v>
      </c>
      <c r="N86" s="8" t="n">
        <v>139340.47</v>
      </c>
      <c r="Q86" s="7" t="s">
        <v>22</v>
      </c>
      <c r="R86" s="8" t="n">
        <v>16487.372709816864</v>
      </c>
      <c r="S86" s="8" t="n">
        <v>0.8227836808306628</v>
      </c>
      <c r="T86" s="8" t="n">
        <v>136068.38392976206</v>
      </c>
      <c r="U86" s="8" t="n">
        <v>36426.44336735559</v>
      </c>
      <c r="V86" s="8" t="n">
        <v>14123.857436997825</v>
      </c>
      <c r="W86" s="8" t="n">
        <v>110310.85491672196</v>
      </c>
      <c r="X86" s="8" t="n">
        <v>2894.456749461284</v>
      </c>
      <c r="Y86" s="8" t="n">
        <v>121509.21095678343</v>
      </c>
      <c r="Z86" s="8" t="n">
        <v>102498.67817523329</v>
      </c>
      <c r="AA86" s="8" t="n">
        <v>19978.758154836283</v>
      </c>
      <c r="AB86" s="8" t="n">
        <v>58738.440448778114</v>
      </c>
      <c r="AC86" s="8" t="n">
        <v>88401.20058804691</v>
      </c>
      <c r="AF86" s="7" t="s">
        <v>22</v>
      </c>
      <c r="AG86" s="8" t="n">
        <v>58913.725216983315</v>
      </c>
      <c r="AH86" s="8" t="n">
        <v>16.82119848450713</v>
      </c>
      <c r="AI86" s="8" t="n">
        <v>62535.87994871426</v>
      </c>
      <c r="AJ86" s="8" t="n">
        <v>32785.51459443945</v>
      </c>
      <c r="AK86" s="8" t="n">
        <v>50744.86186625233</v>
      </c>
      <c r="AL86" s="8" t="n">
        <v>37985.91767281002</v>
      </c>
      <c r="AM86" s="8" t="n">
        <v>10665.25830176048</v>
      </c>
      <c r="AN86" s="8" t="n">
        <v>72442.009506575</v>
      </c>
      <c r="AO86" s="8" t="n">
        <v>14542.38836399271</v>
      </c>
      <c r="AP86" s="8" t="n">
        <v>40002.10512266716</v>
      </c>
      <c r="AQ86" s="8" t="n">
        <v>43564.4429993296</v>
      </c>
      <c r="AR86" s="8" t="n">
        <v>73265.00528228891</v>
      </c>
    </row>
    <row r="87" customFormat="false" ht="15.6" hidden="false" customHeight="false" outlineLevel="0" collapsed="false">
      <c r="B87" s="7" t="s">
        <v>23</v>
      </c>
      <c r="C87" s="8" t="n">
        <v>115698</v>
      </c>
      <c r="D87" s="8" t="n">
        <v>2757</v>
      </c>
      <c r="E87" s="8" t="n">
        <v>3371</v>
      </c>
      <c r="F87" s="8" t="n">
        <v>65933</v>
      </c>
      <c r="G87" s="8" t="n">
        <v>20190</v>
      </c>
      <c r="H87" s="8" t="n">
        <v>39526.76</v>
      </c>
      <c r="I87" s="8" t="n">
        <v>72393</v>
      </c>
      <c r="J87" s="8" t="n">
        <v>80605</v>
      </c>
      <c r="K87" s="8" t="n">
        <v>-7731.4</v>
      </c>
      <c r="L87" s="8" t="n">
        <v>0</v>
      </c>
      <c r="M87" s="8" t="n">
        <v>49904.76</v>
      </c>
      <c r="N87" s="8" t="n">
        <v>-5360.73</v>
      </c>
      <c r="Q87" s="7" t="s">
        <v>23</v>
      </c>
      <c r="R87" s="8" t="n">
        <v>514.771695303904</v>
      </c>
      <c r="S87" s="8" t="n">
        <v>2759.2002180363497</v>
      </c>
      <c r="T87" s="8" t="n">
        <v>745.3446866735969</v>
      </c>
      <c r="U87" s="8" t="n">
        <v>24517.962559498897</v>
      </c>
      <c r="V87" s="8" t="n">
        <v>3241.821292671715</v>
      </c>
      <c r="W87" s="8" t="n">
        <v>4256.228783033554</v>
      </c>
      <c r="X87" s="8" t="n">
        <v>59854.16447499368</v>
      </c>
      <c r="Y87" s="8" t="n">
        <v>55021.41437354845</v>
      </c>
      <c r="Z87" s="8" t="n">
        <v>-10474.80639070445</v>
      </c>
      <c r="AA87" s="8" t="n">
        <v>0.0</v>
      </c>
      <c r="AB87" s="8" t="n">
        <v>28201.858216559867</v>
      </c>
      <c r="AC87" s="8" t="n">
        <v>-5993.0268440120735</v>
      </c>
      <c r="AF87" s="7" t="s">
        <v>23</v>
      </c>
      <c r="AG87" s="8" t="n">
        <v>129678.93475451368</v>
      </c>
      <c r="AH87" s="8" t="n">
        <v>3059.57963531098</v>
      </c>
      <c r="AI87" s="8" t="n">
        <v>5013.496630010047</v>
      </c>
      <c r="AJ87" s="8" t="n">
        <v>62505.97712459938</v>
      </c>
      <c r="AK87" s="8" t="n">
        <v>21808.24371250885</v>
      </c>
      <c r="AL87" s="8" t="n">
        <v>35066.411480844465</v>
      </c>
      <c r="AM87" s="8" t="n">
        <v>48719.34412162271</v>
      </c>
      <c r="AN87" s="8" t="n">
        <v>77114.58678237878</v>
      </c>
      <c r="AO87" s="8" t="n">
        <v>-1860.8949321056932</v>
      </c>
      <c r="AP87" s="8" t="n">
        <v>0.0</v>
      </c>
      <c r="AQ87" s="8" t="n">
        <v>48734.16317571259</v>
      </c>
      <c r="AR87" s="8" t="n">
        <v>-4065.387447909709</v>
      </c>
    </row>
    <row r="88" customFormat="false" ht="15.6" hidden="false" customHeight="false" outlineLevel="0" collapsed="false">
      <c r="B88" s="7" t="s">
        <v>24</v>
      </c>
      <c r="C88" s="8" t="n">
        <v>141975</v>
      </c>
      <c r="D88" s="8" t="n">
        <v>57058</v>
      </c>
      <c r="E88" s="8" t="n">
        <v>10022</v>
      </c>
      <c r="F88" s="8" t="n">
        <v>80617</v>
      </c>
      <c r="G88" s="8" t="n">
        <v>33668</v>
      </c>
      <c r="H88" s="8" t="n">
        <v>31640.54</v>
      </c>
      <c r="I88" s="8" t="n">
        <v>-90</v>
      </c>
      <c r="J88" s="8" t="n">
        <v>13774</v>
      </c>
      <c r="K88" s="8" t="n">
        <v>50659.12</v>
      </c>
      <c r="L88" s="8" t="n">
        <v>42026.23</v>
      </c>
      <c r="M88" s="8" t="n">
        <v>114677.35</v>
      </c>
      <c r="N88" s="8" t="n">
        <v>27586.05</v>
      </c>
      <c r="Q88" s="7" t="s">
        <v>24</v>
      </c>
      <c r="R88" s="8" t="n">
        <v>162630.91221724544</v>
      </c>
      <c r="S88" s="8" t="n">
        <v>19883.03999228246</v>
      </c>
      <c r="T88" s="8" t="n">
        <v>10066.533310138764</v>
      </c>
      <c r="U88" s="8" t="n">
        <v>46488.41250828022</v>
      </c>
      <c r="V88" s="8" t="n">
        <v>16334.820224378473</v>
      </c>
      <c r="W88" s="8" t="n">
        <v>30130.045181375288</v>
      </c>
      <c r="X88" s="8" t="n">
        <v>-134.39447747668964</v>
      </c>
      <c r="Y88" s="8" t="n">
        <v>2211.7959719204705</v>
      </c>
      <c r="Z88" s="8" t="n">
        <v>64812.325118003544</v>
      </c>
      <c r="AA88" s="8" t="n">
        <v>54183.139713523204</v>
      </c>
      <c r="AB88" s="8" t="n">
        <v>102958.80398793145</v>
      </c>
      <c r="AC88" s="8" t="n">
        <v>23496.76371553718</v>
      </c>
      <c r="AF88" s="7" t="s">
        <v>24</v>
      </c>
      <c r="AG88" s="8" t="n">
        <v>171182.69307387108</v>
      </c>
      <c r="AH88" s="8" t="n">
        <v>64350.20043941293</v>
      </c>
      <c r="AI88" s="8" t="n">
        <v>3794.28402707309</v>
      </c>
      <c r="AJ88" s="8" t="n">
        <v>96012.16402329279</v>
      </c>
      <c r="AK88" s="8" t="n">
        <v>49019.48721841299</v>
      </c>
      <c r="AL88" s="8" t="n">
        <v>25645.493304840147</v>
      </c>
      <c r="AM88" s="8" t="n">
        <v>-63.24131864835124</v>
      </c>
      <c r="AN88" s="8" t="n">
        <v>7038.0904576578805</v>
      </c>
      <c r="AO88" s="8" t="n">
        <v>26281.67942050663</v>
      </c>
      <c r="AP88" s="8" t="n">
        <v>17021.540737237756</v>
      </c>
      <c r="AQ88" s="8" t="n">
        <v>111926.71529785586</v>
      </c>
      <c r="AR88" s="8" t="n">
        <v>33567.59199480426</v>
      </c>
    </row>
    <row r="89" customFormat="false" ht="15.6" hidden="false" customHeight="false" outlineLevel="0" collapsed="false">
      <c r="B89" s="7" t="s">
        <v>25</v>
      </c>
      <c r="C89" s="8" t="n">
        <v>150505</v>
      </c>
      <c r="D89" s="8" t="n">
        <v>108916</v>
      </c>
      <c r="E89" s="8" t="n">
        <v>120942</v>
      </c>
      <c r="F89" s="8" t="n">
        <v>109757</v>
      </c>
      <c r="G89" s="8" t="n">
        <v>118346</v>
      </c>
      <c r="H89" s="8" t="n">
        <v>109380.2</v>
      </c>
      <c r="I89" s="8" t="n">
        <v>56490</v>
      </c>
      <c r="J89" s="8" t="n">
        <v>60682</v>
      </c>
      <c r="K89" s="8" t="n">
        <v>87535.3</v>
      </c>
      <c r="L89" s="8" t="n">
        <v>122261.35</v>
      </c>
      <c r="M89" s="8" t="n">
        <v>28375.47</v>
      </c>
      <c r="N89" s="8" t="n">
        <v>39153.19</v>
      </c>
      <c r="Q89" s="7" t="s">
        <v>25</v>
      </c>
      <c r="R89" s="8" t="n">
        <v>199454.8676543081</v>
      </c>
      <c r="S89" s="8" t="n">
        <v>141805.94710001824</v>
      </c>
      <c r="T89" s="8" t="n">
        <v>6883.890217974753</v>
      </c>
      <c r="U89" s="8" t="n">
        <v>98876.77460029919</v>
      </c>
      <c r="V89" s="8" t="n">
        <v>63435.50251230276</v>
      </c>
      <c r="W89" s="8" t="n">
        <v>47916.15916320954</v>
      </c>
      <c r="X89" s="8" t="n">
        <v>2649.777046976938</v>
      </c>
      <c r="Y89" s="8" t="n">
        <v>5857.514496751304</v>
      </c>
      <c r="Z89" s="8" t="n">
        <v>8312.954929554055</v>
      </c>
      <c r="AA89" s="8" t="n">
        <v>93862.47182223381</v>
      </c>
      <c r="AB89" s="8" t="n">
        <v>15315.138078433174</v>
      </c>
      <c r="AC89" s="8" t="n">
        <v>26960.64784289547</v>
      </c>
      <c r="AF89" s="7" t="s">
        <v>25</v>
      </c>
      <c r="AG89" s="8" t="n">
        <v>184638.4602364316</v>
      </c>
      <c r="AH89" s="8" t="n">
        <v>125974.77978383341</v>
      </c>
      <c r="AI89" s="8" t="n">
        <v>59589.527372285884</v>
      </c>
      <c r="AJ89" s="8" t="n">
        <v>107399.5464773044</v>
      </c>
      <c r="AK89" s="8" t="n">
        <v>82990.64574671052</v>
      </c>
      <c r="AL89" s="8" t="n">
        <v>21149.24080353</v>
      </c>
      <c r="AM89" s="8" t="n">
        <v>8604.352214120243</v>
      </c>
      <c r="AN89" s="8" t="n">
        <v>52050.09893271551</v>
      </c>
      <c r="AO89" s="8" t="n">
        <v>75793.30825324185</v>
      </c>
      <c r="AP89" s="8" t="n">
        <v>131514.28954821802</v>
      </c>
      <c r="AQ89" s="8" t="n">
        <v>34109.584291760926</v>
      </c>
      <c r="AR89" s="8" t="n">
        <v>9679.00460264358</v>
      </c>
    </row>
    <row r="90" customFormat="false" ht="15.6" hidden="false" customHeight="false" outlineLevel="0" collapsed="false">
      <c r="B90" s="7" t="s">
        <v>26</v>
      </c>
      <c r="C90" s="8" t="n">
        <v>52159</v>
      </c>
      <c r="D90" s="8" t="n">
        <v>50480</v>
      </c>
      <c r="E90" s="8" t="n">
        <v>184517</v>
      </c>
      <c r="F90" s="8" t="n">
        <v>200630</v>
      </c>
      <c r="G90" s="8" t="n">
        <v>111284</v>
      </c>
      <c r="H90" s="8" t="n">
        <v>129796.94</v>
      </c>
      <c r="I90" s="8" t="n">
        <v>55624</v>
      </c>
      <c r="J90" s="8" t="n">
        <v>58652</v>
      </c>
      <c r="K90" s="8" t="n">
        <v>64685.34</v>
      </c>
      <c r="L90" s="8" t="n">
        <v>50630.28</v>
      </c>
      <c r="M90" s="8" t="n">
        <v>21208.73</v>
      </c>
      <c r="N90" s="8" t="n">
        <v>62926.73</v>
      </c>
      <c r="Q90" s="7" t="s">
        <v>26</v>
      </c>
      <c r="R90" s="8" t="n">
        <v>54398.94544761156</v>
      </c>
      <c r="S90" s="8" t="n">
        <v>40439.53159394938</v>
      </c>
      <c r="T90" s="8" t="n">
        <v>207733.4481510973</v>
      </c>
      <c r="U90" s="8" t="n">
        <v>192151.04014103094</v>
      </c>
      <c r="V90" s="8" t="n">
        <v>84194.76174017713</v>
      </c>
      <c r="W90" s="8" t="n">
        <v>106308.64720857913</v>
      </c>
      <c r="X90" s="8" t="n">
        <v>296.49126090643813</v>
      </c>
      <c r="Y90" s="8" t="n">
        <v>56429.88576086099</v>
      </c>
      <c r="Z90" s="8" t="n">
        <v>17247.560652254942</v>
      </c>
      <c r="AA90" s="8" t="n">
        <v>13247.455316322557</v>
      </c>
      <c r="AB90" s="8" t="n">
        <v>5839.813258140529</v>
      </c>
      <c r="AC90" s="8" t="n">
        <v>37220.84750456464</v>
      </c>
      <c r="AF90" s="7" t="s">
        <v>26</v>
      </c>
      <c r="AG90" s="8" t="n">
        <v>57096.75517619874</v>
      </c>
      <c r="AH90" s="8" t="n">
        <v>10471.912097175902</v>
      </c>
      <c r="AI90" s="8" t="n">
        <v>152055.1527961985</v>
      </c>
      <c r="AJ90" s="8" t="n">
        <v>79271.41918211755</v>
      </c>
      <c r="AK90" s="8" t="n">
        <v>86930.41092870204</v>
      </c>
      <c r="AL90" s="8" t="n">
        <v>173642.26868212587</v>
      </c>
      <c r="AM90" s="8" t="n">
        <v>16698.526749393077</v>
      </c>
      <c r="AN90" s="8" t="n">
        <v>86120.06390283859</v>
      </c>
      <c r="AO90" s="8" t="n">
        <v>332.3736008256888</v>
      </c>
      <c r="AP90" s="8" t="n">
        <v>64152.0918687409</v>
      </c>
      <c r="AQ90" s="8" t="n">
        <v>868.155545170755</v>
      </c>
      <c r="AR90" s="8" t="n">
        <v>89056.93696894267</v>
      </c>
    </row>
    <row r="91" customFormat="false" ht="15.6" hidden="false" customHeight="false" outlineLevel="0" collapsed="false">
      <c r="B91" s="20" t="s">
        <v>27</v>
      </c>
      <c r="C91" s="21" t="n">
        <f aca="false">SUM(C80:C90)</f>
        <v>1942225</v>
      </c>
      <c r="D91" s="21" t="n">
        <f aca="false">SUM(D80:D90)</f>
        <v>1099747</v>
      </c>
      <c r="E91" s="21" t="n">
        <v>1923518.14</v>
      </c>
      <c r="F91" s="21" t="n">
        <v>1651499</v>
      </c>
      <c r="G91" s="21" t="n">
        <f aca="false">SUM(G80:G90)</f>
        <v>1325789</v>
      </c>
      <c r="H91" s="21" t="n">
        <v>2194360.58</v>
      </c>
      <c r="I91" s="21" t="n">
        <f aca="false">SUM(I80:I90)</f>
        <v>1136271.01</v>
      </c>
      <c r="J91" s="21" t="n">
        <f aca="false">SUM(J80:J90)</f>
        <v>1289589</v>
      </c>
      <c r="K91" s="21" t="n">
        <f aca="false">SUM(K80:K90)</f>
        <v>1544720.48</v>
      </c>
      <c r="L91" s="21" t="n">
        <f aca="false">SUM(L80:L90)</f>
        <v>844385.93</v>
      </c>
      <c r="M91" s="21" t="n">
        <v>1592593.59</v>
      </c>
      <c r="N91" s="21" t="n">
        <f aca="false">SUM(N80:N90)</f>
        <v>1729560.29</v>
      </c>
      <c r="Q91" s="20" t="s">
        <v>27</v>
      </c>
      <c r="R91" s="21" t="n">
        <f aca="false">SUM(R80:R90)</f>
        <v>2420051.549263454</v>
      </c>
      <c r="S91" s="21" t="n">
        <f aca="false">SUM(S80:S90)</f>
        <v>78692.779656968</v>
      </c>
      <c r="T91" s="21" t="n">
        <v>2353394.875435573</v>
      </c>
      <c r="U91" s="21" t="n">
        <v>130793.39362299306</v>
      </c>
      <c r="V91" s="21" t="n">
        <f aca="false">SUM(V80:V90)</f>
        <v>1237255.0688876656</v>
      </c>
      <c r="W91" s="21" t="n">
        <v>2616604.7090790006</v>
      </c>
      <c r="X91" s="21" t="n">
        <f aca="false">SUM(X80:X90)</f>
        <v>251579.49525636897</v>
      </c>
      <c r="Y91" s="21" t="n">
        <f aca="false">SUM(Y80:Y90)</f>
        <v>1298140.6288671684</v>
      </c>
      <c r="Z91" s="21" t="n">
        <f aca="false">SUM(Z80:Z90)</f>
        <v>440667.6675021994</v>
      </c>
      <c r="AA91" s="21" t="n">
        <f aca="false">SUM(AA80:AA90)</f>
        <v>140715.68161644108</v>
      </c>
      <c r="AB91" s="21" t="n">
        <v>2053784.8847701382</v>
      </c>
      <c r="AC91" s="21" t="n">
        <f aca="false">SUM(AC80:AC90)</f>
        <v>151592.52395312604</v>
      </c>
      <c r="AF91" s="20" t="s">
        <v>27</v>
      </c>
      <c r="AG91" s="21" t="n">
        <f aca="false">SUM(AG80:AG90)</f>
        <v>743880.7573176826</v>
      </c>
      <c r="AH91" s="21" t="n">
        <f aca="false">SUM(AH80:AH90)</f>
        <v>622517.0496719435</v>
      </c>
      <c r="AI91" s="21" t="n">
        <v>1911701.190003002</v>
      </c>
      <c r="AJ91" s="21" t="n">
        <v>12630.1447038737</v>
      </c>
      <c r="AK91" s="21" t="n">
        <f aca="false">SUM(AK80:AK90)</f>
        <v>1203036.535825691</v>
      </c>
      <c r="AL91" s="21" t="n">
        <v>1561795.3642151454</v>
      </c>
      <c r="AM91" s="21" t="n">
        <f aca="false">SUM(AM80:AM90)</f>
        <v>233593.55266900072</v>
      </c>
      <c r="AN91" s="21" t="n">
        <f aca="false">SUM(AN80:AN90)</f>
        <v>1597475.701904159</v>
      </c>
      <c r="AO91" s="21" t="n">
        <f aca="false">SUM(AO80:AO90)</f>
        <v>1669024.146534241</v>
      </c>
      <c r="AP91" s="21" t="n">
        <f aca="false">SUM(AP80:AP90)</f>
        <v>294225.87038480735</v>
      </c>
      <c r="AQ91" s="21" t="n">
        <v>276361.6355743724</v>
      </c>
      <c r="AR91" s="21" t="n">
        <f aca="false">SUM(AR80:AR90)</f>
        <v>2233023.4047823916</v>
      </c>
    </row>
    <row r="92" customFormat="false" ht="15.6" hidden="false" customHeight="false" outlineLevel="0" collapsed="false">
      <c r="B92" s="7" t="s">
        <v>28</v>
      </c>
      <c r="C92" s="8" t="n">
        <v>200498</v>
      </c>
      <c r="D92" s="8" t="n">
        <v>148633</v>
      </c>
      <c r="E92" s="8" t="n">
        <v>252496</v>
      </c>
      <c r="F92" s="8" t="n">
        <v>152273</v>
      </c>
      <c r="G92" s="8" t="n">
        <v>181710</v>
      </c>
      <c r="H92" s="8" t="n">
        <v>169099.63</v>
      </c>
      <c r="I92" s="8" t="n">
        <v>147652.55</v>
      </c>
      <c r="J92" s="8" t="n">
        <v>183004.75</v>
      </c>
      <c r="K92" s="8" t="n">
        <v>104315.9</v>
      </c>
      <c r="L92" s="8" t="n">
        <v>164091</v>
      </c>
      <c r="M92" s="8" t="n">
        <f aca="false">M54/(1+$A92)</f>
        <v>315728</v>
      </c>
      <c r="N92" s="8" t="n">
        <v>140060.37</v>
      </c>
      <c r="Q92" s="7" t="s">
        <v>28</v>
      </c>
      <c r="R92" s="8" t="n">
        <v>248480.3173213428</v>
      </c>
      <c r="S92" s="8" t="n">
        <v>65185.20542904611</v>
      </c>
      <c r="T92" s="8" t="n">
        <v>119751.82131526998</v>
      </c>
      <c r="U92" s="8" t="n">
        <v>209016.2295189427</v>
      </c>
      <c r="V92" s="8" t="n">
        <v>89813.85022717252</v>
      </c>
      <c r="W92" s="8" t="n">
        <v>224800.14825331155</v>
      </c>
      <c r="X92" s="8" t="n">
        <v>192259.71680276786</v>
      </c>
      <c r="Y92" s="8" t="n">
        <v>85668.13105613313</v>
      </c>
      <c r="Z92" s="8" t="n">
        <v>81943.78713271338</v>
      </c>
      <c r="AA92" s="8" t="n">
        <v>67713.67795155372</v>
      </c>
      <c r="AB92" s="8" t="n">
        <f aca="false">AB54/(1+$A92)</f>
        <v>176266.52447513532</v>
      </c>
      <c r="AC92" s="8" t="n">
        <v>101189.6548148242</v>
      </c>
      <c r="AF92" s="7" t="s">
        <v>28</v>
      </c>
      <c r="AG92" s="8" t="n">
        <v>144120.90409885978</v>
      </c>
      <c r="AH92" s="8" t="n">
        <v>201393.88577858268</v>
      </c>
      <c r="AI92" s="8" t="n">
        <v>296894.10860021965</v>
      </c>
      <c r="AJ92" s="8" t="n">
        <v>210335.38471068087</v>
      </c>
      <c r="AK92" s="8" t="n">
        <v>195525.49312249006</v>
      </c>
      <c r="AL92" s="8" t="n">
        <v>71629.852471191</v>
      </c>
      <c r="AM92" s="8" t="n">
        <v>81405.0955864833</v>
      </c>
      <c r="AN92" s="8" t="n">
        <v>29769.093678185447</v>
      </c>
      <c r="AO92" s="8" t="n">
        <v>79217.88724231102</v>
      </c>
      <c r="AP92" s="8" t="n">
        <v>67459.29238899822</v>
      </c>
      <c r="AQ92" s="8" t="n">
        <f aca="false">AQ54/(1+$A92)</f>
        <v>461884.189124051</v>
      </c>
      <c r="AR92" s="8" t="n">
        <v>67952.13013994644</v>
      </c>
    </row>
    <row r="93" customFormat="false" ht="15.6" hidden="false" customHeight="false" outlineLevel="0" collapsed="false">
      <c r="B93" s="20" t="s">
        <v>28</v>
      </c>
      <c r="C93" s="21" t="n">
        <f aca="false">SUM(C92)</f>
        <v>200498</v>
      </c>
      <c r="D93" s="21" t="n">
        <f aca="false">SUM(D92)</f>
        <v>148633</v>
      </c>
      <c r="E93" s="21" t="n">
        <f aca="false">SUM(E92)</f>
        <v>252496</v>
      </c>
      <c r="F93" s="21" t="n">
        <f aca="false">SUM(F92)</f>
        <v>152273</v>
      </c>
      <c r="G93" s="21" t="n">
        <f aca="false">SUM(G92)</f>
        <v>181710</v>
      </c>
      <c r="H93" s="21" t="n">
        <f aca="false">SUM(H92)</f>
        <v>169099.63</v>
      </c>
      <c r="I93" s="21" t="n">
        <f aca="false">SUM(I92)</f>
        <v>147652.55</v>
      </c>
      <c r="J93" s="21" t="n">
        <f aca="false">SUM(J92)</f>
        <v>183004.75</v>
      </c>
      <c r="K93" s="21" t="n">
        <f aca="false">SUM(K92)</f>
        <v>104315.9</v>
      </c>
      <c r="L93" s="21" t="n">
        <f aca="false">SUM(L92)</f>
        <v>164091</v>
      </c>
      <c r="M93" s="21" t="n">
        <f aca="false">SUM(M92)</f>
        <v>315728</v>
      </c>
      <c r="N93" s="21" t="n">
        <f aca="false">SUM(N92)</f>
        <v>140060.37</v>
      </c>
      <c r="Q93" s="20" t="s">
        <v>28</v>
      </c>
      <c r="R93" s="21" t="n">
        <f aca="false">SUM(R92)</f>
        <v>110618.53205650355</v>
      </c>
      <c r="S93" s="21" t="n">
        <f aca="false">SUM(S92)</f>
        <v>152909.3695354579</v>
      </c>
      <c r="T93" s="21" t="n">
        <f aca="false">SUM(T92)</f>
        <v>302658.48468403146</v>
      </c>
      <c r="U93" s="21" t="n">
        <f aca="false">SUM(U92)</f>
        <v>105662.29542349384</v>
      </c>
      <c r="V93" s="21" t="n">
        <f aca="false">SUM(V92)</f>
        <v>183297.9592343628</v>
      </c>
      <c r="W93" s="21" t="n">
        <f aca="false">SUM(W92)</f>
        <v>243588.71341544154</v>
      </c>
      <c r="X93" s="21" t="n">
        <f aca="false">SUM(X92)</f>
        <v>62719.03438207275</v>
      </c>
      <c r="Y93" s="21" t="n">
        <f aca="false">SUM(Y92)</f>
        <v>148786.54927043265</v>
      </c>
      <c r="Z93" s="21" t="n">
        <f aca="false">SUM(Z92)</f>
        <v>35383.6570046332</v>
      </c>
      <c r="AA93" s="21" t="n">
        <f aca="false">SUM(AA92)</f>
        <v>162230.61811055205</v>
      </c>
      <c r="AB93" s="21" t="n">
        <f aca="false">SUM(AB92)</f>
        <v>26911.769683355666</v>
      </c>
      <c r="AC93" s="21" t="n">
        <f aca="false">SUM(AC92)</f>
        <v>77380.91409197667</v>
      </c>
      <c r="AF93" s="20" t="s">
        <v>28</v>
      </c>
      <c r="AG93" s="21" t="n">
        <f aca="false">SUM(AG92)</f>
        <v>194834.71225987768</v>
      </c>
      <c r="AH93" s="21" t="n">
        <f aca="false">SUM(AH92)</f>
        <v>49213.73991368386</v>
      </c>
      <c r="AI93" s="21" t="n">
        <f aca="false">SUM(AI92)</f>
        <v>148304.00737331706</v>
      </c>
      <c r="AJ93" s="21" t="n">
        <f aca="false">SUM(AJ92)</f>
        <v>70324.74644612483</v>
      </c>
      <c r="AK93" s="21" t="n">
        <f aca="false">SUM(AK92)</f>
        <v>166447.3115363507</v>
      </c>
      <c r="AL93" s="21" t="n">
        <f aca="false">SUM(AL92)</f>
        <v>204018.33478073377</v>
      </c>
      <c r="AM93" s="21" t="n">
        <f aca="false">SUM(AM92)</f>
        <v>92089.93780614129</v>
      </c>
      <c r="AN93" s="21" t="n">
        <f aca="false">SUM(AN92)</f>
        <v>231204.468704238</v>
      </c>
      <c r="AO93" s="21" t="n">
        <f aca="false">SUM(AO92)</f>
        <v>77382.60736377891</v>
      </c>
      <c r="AP93" s="21" t="n">
        <f aca="false">SUM(AP92)</f>
        <v>107562.81726815185</v>
      </c>
      <c r="AQ93" s="21" t="n">
        <f aca="false">SUM(AQ92)</f>
        <v>102981.81583507359</v>
      </c>
      <c r="AR93" s="21" t="n">
        <f aca="false">SUM(AR92)</f>
        <v>49805.0987270186</v>
      </c>
    </row>
    <row r="94" customFormat="false" ht="15.6" hidden="false" customHeight="false" outlineLevel="0" collapsed="false">
      <c r="B94" s="23" t="s">
        <v>29</v>
      </c>
      <c r="C94" s="8" t="n">
        <v>174829</v>
      </c>
      <c r="D94" s="8" t="n">
        <v>186282</v>
      </c>
      <c r="E94" s="8" t="n">
        <v>163050</v>
      </c>
      <c r="F94" s="8" t="n">
        <v>139694</v>
      </c>
      <c r="G94" s="8" t="n">
        <v>121142</v>
      </c>
      <c r="H94" s="8" t="n">
        <v>104078</v>
      </c>
      <c r="I94" s="8" t="n">
        <v>132220</v>
      </c>
      <c r="J94" s="8" t="n">
        <v>72787</v>
      </c>
      <c r="K94" s="8" t="n">
        <v>126927</v>
      </c>
      <c r="L94" s="8" t="n">
        <v>142842</v>
      </c>
      <c r="M94" s="8" t="n">
        <v>60848</v>
      </c>
      <c r="N94" s="8" t="n">
        <v>8120</v>
      </c>
      <c r="Q94" s="23" t="s">
        <v>29</v>
      </c>
      <c r="R94" s="8" t="n">
        <v>62332.825998910135</v>
      </c>
      <c r="S94" s="8" t="n">
        <v>39656.76663627632</v>
      </c>
      <c r="T94" s="8" t="n">
        <v>64761.96613674456</v>
      </c>
      <c r="U94" s="8" t="n">
        <v>161516.58584222183</v>
      </c>
      <c r="V94" s="8" t="n">
        <v>110091.95722736431</v>
      </c>
      <c r="W94" s="8" t="n">
        <v>105781.93482069975</v>
      </c>
      <c r="X94" s="8" t="n">
        <v>30202.96693927188</v>
      </c>
      <c r="Y94" s="8" t="n">
        <v>103405.3797246534</v>
      </c>
      <c r="Z94" s="8" t="n">
        <v>149673.03990473133</v>
      </c>
      <c r="AA94" s="8" t="n">
        <v>174975.1010238146</v>
      </c>
      <c r="AB94" s="8" t="n">
        <v>72207.38898738376</v>
      </c>
      <c r="AC94" s="8" t="n">
        <v>6383.473268909309</v>
      </c>
      <c r="AF94" s="23" t="s">
        <v>29</v>
      </c>
      <c r="AG94" s="8" t="n">
        <v>8627.921106190135</v>
      </c>
      <c r="AH94" s="8" t="n">
        <v>214524.6742985322</v>
      </c>
      <c r="AI94" s="8" t="n">
        <v>134673.32360770952</v>
      </c>
      <c r="AJ94" s="8" t="n">
        <v>79919.82927116063</v>
      </c>
      <c r="AK94" s="8" t="n">
        <v>161362.8299082638</v>
      </c>
      <c r="AL94" s="8" t="n">
        <v>32374.43477969376</v>
      </c>
      <c r="AM94" s="8" t="n">
        <v>71600.25521575502</v>
      </c>
      <c r="AN94" s="8" t="n">
        <v>69712.99557310574</v>
      </c>
      <c r="AO94" s="8" t="n">
        <v>174576.74262601457</v>
      </c>
      <c r="AP94" s="8" t="n">
        <v>34150.4419776753</v>
      </c>
      <c r="AQ94" s="8" t="n">
        <v>29413.43867643604</v>
      </c>
      <c r="AR94" s="8" t="n">
        <v>4349.340811008277</v>
      </c>
    </row>
    <row r="95" customFormat="false" ht="15.6" hidden="false" customHeight="false" outlineLevel="0" collapsed="false">
      <c r="B95" s="23" t="s">
        <v>30</v>
      </c>
      <c r="C95" s="8" t="n">
        <v>338788</v>
      </c>
      <c r="D95" s="8" t="n">
        <v>20624</v>
      </c>
      <c r="E95" s="8" t="n">
        <v>291765</v>
      </c>
      <c r="F95" s="8" t="n">
        <v>165694</v>
      </c>
      <c r="G95" s="8" t="n">
        <v>107144</v>
      </c>
      <c r="H95" s="8" t="n">
        <v>211077</v>
      </c>
      <c r="I95" s="8" t="n">
        <v>185979</v>
      </c>
      <c r="J95" s="8" t="n">
        <v>314599</v>
      </c>
      <c r="K95" s="8" t="n">
        <v>198163</v>
      </c>
      <c r="L95" s="8" t="n">
        <v>356617</v>
      </c>
      <c r="M95" s="8" t="n">
        <v>219724</v>
      </c>
      <c r="N95" s="8" t="n">
        <v>261427</v>
      </c>
      <c r="Q95" s="23" t="s">
        <v>30</v>
      </c>
      <c r="R95" s="8" t="n">
        <v>283956.3339833039</v>
      </c>
      <c r="S95" s="8" t="n">
        <v>16635.45398399921</v>
      </c>
      <c r="T95" s="8" t="n">
        <v>365093.5432286395</v>
      </c>
      <c r="U95" s="8" t="n">
        <v>100378.87334842318</v>
      </c>
      <c r="V95" s="8" t="n">
        <v>96517.98560410953</v>
      </c>
      <c r="W95" s="8" t="n">
        <v>94315.46968022453</v>
      </c>
      <c r="X95" s="8" t="n">
        <v>161691.40747820595</v>
      </c>
      <c r="Y95" s="8" t="n">
        <v>408146.7351671888</v>
      </c>
      <c r="Z95" s="8" t="n">
        <v>89629.43017398319</v>
      </c>
      <c r="AA95" s="8" t="n">
        <v>329986.4307771241</v>
      </c>
      <c r="AB95" s="8" t="n">
        <v>164642.89717018593</v>
      </c>
      <c r="AC95" s="8" t="n">
        <v>138782.9556354592</v>
      </c>
      <c r="AF95" s="23" t="s">
        <v>30</v>
      </c>
      <c r="AG95" s="8" t="n">
        <v>215013.26032636783</v>
      </c>
      <c r="AH95" s="8" t="n">
        <v>9903.385530287154</v>
      </c>
      <c r="AI95" s="8" t="n">
        <v>336742.666474972</v>
      </c>
      <c r="AJ95" s="8" t="n">
        <v>196836.75761487836</v>
      </c>
      <c r="AK95" s="8" t="n">
        <v>116801.25438534195</v>
      </c>
      <c r="AL95" s="8" t="n">
        <v>265099.8211200055</v>
      </c>
      <c r="AM95" s="8" t="n">
        <v>57937.20415554935</v>
      </c>
      <c r="AN95" s="8" t="n">
        <v>453929.6100955641</v>
      </c>
      <c r="AO95" s="8" t="n">
        <v>71121.009754354</v>
      </c>
      <c r="AP95" s="8" t="n">
        <v>275774.7024270504</v>
      </c>
      <c r="AQ95" s="8" t="n">
        <v>170840.99128642824</v>
      </c>
      <c r="AR95" s="8" t="n">
        <v>287813.89721225866</v>
      </c>
    </row>
    <row r="96" customFormat="false" ht="15.6" hidden="false" customHeight="false" outlineLevel="0" collapsed="false">
      <c r="B96" s="23" t="s">
        <v>31</v>
      </c>
      <c r="C96" s="8" t="n">
        <v>291516</v>
      </c>
      <c r="D96" s="8" t="n">
        <v>209995</v>
      </c>
      <c r="E96" s="8" t="n">
        <v>204709</v>
      </c>
      <c r="F96" s="8" t="n">
        <v>327682</v>
      </c>
      <c r="G96" s="8" t="n">
        <v>260155</v>
      </c>
      <c r="H96" s="8" t="n">
        <v>366835</v>
      </c>
      <c r="I96" s="8" t="n">
        <v>342691</v>
      </c>
      <c r="J96" s="8" t="n">
        <v>380646</v>
      </c>
      <c r="K96" s="8" t="n">
        <v>451770</v>
      </c>
      <c r="L96" s="8" t="n">
        <v>238137</v>
      </c>
      <c r="M96" s="8" t="n">
        <v>256810</v>
      </c>
      <c r="N96" s="8" t="n">
        <v>204633</v>
      </c>
      <c r="Q96" s="23" t="s">
        <v>31</v>
      </c>
      <c r="R96" s="8" t="n">
        <v>159526.37368257297</v>
      </c>
      <c r="S96" s="8" t="n">
        <v>143909.1085911666</v>
      </c>
      <c r="T96" s="8" t="n">
        <v>195404.43687088226</v>
      </c>
      <c r="U96" s="8" t="n">
        <v>272452.18036629667</v>
      </c>
      <c r="V96" s="8" t="n">
        <v>61118.96174107376</v>
      </c>
      <c r="W96" s="8" t="n">
        <v>512587.36307856365</v>
      </c>
      <c r="X96" s="8" t="n">
        <v>55981.429012183056</v>
      </c>
      <c r="Y96" s="8" t="n">
        <v>472634.1855841417</v>
      </c>
      <c r="Z96" s="8" t="n">
        <v>577264.7783955667</v>
      </c>
      <c r="AA96" s="8" t="n">
        <v>183585.19466191175</v>
      </c>
      <c r="AB96" s="8" t="n">
        <v>343973.16564588423</v>
      </c>
      <c r="AC96" s="8" t="n">
        <v>171161.05774525955</v>
      </c>
      <c r="AF96" s="23" t="s">
        <v>31</v>
      </c>
      <c r="AG96" s="8" t="n">
        <v>139390.3588287326</v>
      </c>
      <c r="AH96" s="8" t="n">
        <v>209869.77689706776</v>
      </c>
      <c r="AI96" s="8" t="n">
        <v>261865.90423356876</v>
      </c>
      <c r="AJ96" s="8" t="n">
        <v>30587.76368061494</v>
      </c>
      <c r="AK96" s="8" t="n">
        <v>187670.22295914768</v>
      </c>
      <c r="AL96" s="8" t="n">
        <v>402709.06905450794</v>
      </c>
      <c r="AM96" s="8" t="n">
        <v>381606.0751174791</v>
      </c>
      <c r="AN96" s="8" t="n">
        <v>537023.0920609062</v>
      </c>
      <c r="AO96" s="8" t="n">
        <v>665728.8289180477</v>
      </c>
      <c r="AP96" s="8" t="n">
        <v>129296.38655056317</v>
      </c>
      <c r="AQ96" s="8" t="n">
        <v>26900.4207286823</v>
      </c>
      <c r="AR96" s="8" t="n">
        <v>177183.79512006778</v>
      </c>
    </row>
    <row r="97" customFormat="false" ht="15.6" hidden="false" customHeight="false" outlineLevel="0" collapsed="false">
      <c r="B97" s="23" t="s">
        <v>32</v>
      </c>
      <c r="C97" s="8" t="n">
        <v>40821</v>
      </c>
      <c r="D97" s="8" t="n">
        <v>31694</v>
      </c>
      <c r="E97" s="8" t="n">
        <v>30133</v>
      </c>
      <c r="F97" s="8" t="n">
        <v>25410</v>
      </c>
      <c r="G97" s="8" t="n">
        <v>16311</v>
      </c>
      <c r="H97" s="8" t="n">
        <v>26707</v>
      </c>
      <c r="I97" s="8" t="n">
        <v>32862</v>
      </c>
      <c r="J97" s="8" t="n">
        <v>13416</v>
      </c>
      <c r="K97" s="8" t="n">
        <v>16568</v>
      </c>
      <c r="L97" s="8" t="n">
        <v>40584</v>
      </c>
      <c r="M97" s="8" t="n">
        <v>27548</v>
      </c>
      <c r="N97" s="8" t="n">
        <v>21496</v>
      </c>
      <c r="Q97" s="23" t="s">
        <v>32</v>
      </c>
      <c r="R97" s="8" t="n">
        <v>2827.768258718434</v>
      </c>
      <c r="S97" s="8" t="n">
        <v>42221.175172834024</v>
      </c>
      <c r="T97" s="8" t="n">
        <v>31463.372462954903</v>
      </c>
      <c r="U97" s="8" t="n">
        <v>19544.433753648867</v>
      </c>
      <c r="V97" s="8" t="n">
        <v>14797.458794450367</v>
      </c>
      <c r="W97" s="8" t="n">
        <v>31594.155431984047</v>
      </c>
      <c r="X97" s="8" t="n">
        <v>13910.917891151243</v>
      </c>
      <c r="Y97" s="8" t="n">
        <v>3466.727145016994</v>
      </c>
      <c r="Z97" s="8" t="n">
        <v>22354.36154246417</v>
      </c>
      <c r="AA97" s="8" t="n">
        <v>5871.800108102705</v>
      </c>
      <c r="AB97" s="8" t="n">
        <v>30248.98538025587</v>
      </c>
      <c r="AC97" s="8" t="n">
        <v>31373.70552486882</v>
      </c>
      <c r="AF97" s="23" t="s">
        <v>32</v>
      </c>
      <c r="AG97" s="8" t="n">
        <v>52920.65347258476</v>
      </c>
      <c r="AH97" s="8" t="n">
        <v>39530.02933648212</v>
      </c>
      <c r="AI97" s="8" t="n">
        <v>21384.923517392937</v>
      </c>
      <c r="AJ97" s="8" t="n">
        <v>19801.66463965283</v>
      </c>
      <c r="AK97" s="8" t="n">
        <v>3612.192653341007</v>
      </c>
      <c r="AL97" s="8" t="n">
        <v>10359.538289815326</v>
      </c>
      <c r="AM97" s="8" t="n">
        <v>8897.199173189618</v>
      </c>
      <c r="AN97" s="8" t="n">
        <v>2427.2995687269754</v>
      </c>
      <c r="AO97" s="8" t="n">
        <v>873.291965365772</v>
      </c>
      <c r="AP97" s="8" t="n">
        <v>45229.05245849791</v>
      </c>
      <c r="AQ97" s="8" t="n">
        <v>11437.776507734246</v>
      </c>
      <c r="AR97" s="8" t="n">
        <v>307.16525474508944</v>
      </c>
    </row>
    <row r="98" customFormat="false" ht="15.6" hidden="false" customHeight="false" outlineLevel="0" collapsed="false">
      <c r="B98" s="23" t="s">
        <v>33</v>
      </c>
      <c r="C98" s="8" t="n">
        <v>68916</v>
      </c>
      <c r="D98" s="8" t="n">
        <v>35713</v>
      </c>
      <c r="E98" s="8" t="n">
        <v>67818</v>
      </c>
      <c r="F98" s="8" t="n">
        <v>49337</v>
      </c>
      <c r="G98" s="8" t="n">
        <v>28011</v>
      </c>
      <c r="H98" s="8" t="n">
        <v>35263</v>
      </c>
      <c r="I98" s="8" t="n">
        <v>95568</v>
      </c>
      <c r="J98" s="8" t="n">
        <v>37559</v>
      </c>
      <c r="K98" s="8" t="n">
        <v>40266</v>
      </c>
      <c r="L98" s="8" t="n">
        <v>51697</v>
      </c>
      <c r="M98" s="8" t="n">
        <v>49080</v>
      </c>
      <c r="N98" s="8" t="n">
        <v>38560</v>
      </c>
      <c r="Q98" s="23" t="s">
        <v>33</v>
      </c>
      <c r="R98" s="8" t="n">
        <v>65386.44449179042</v>
      </c>
      <c r="S98" s="8" t="n">
        <v>10420.02198566507</v>
      </c>
      <c r="T98" s="8" t="n">
        <v>11517.708273858212</v>
      </c>
      <c r="U98" s="8" t="n">
        <v>11075.658985095231</v>
      </c>
      <c r="V98" s="8" t="n">
        <v>33439.06216695456</v>
      </c>
      <c r="W98" s="8" t="n">
        <v>14591.563414495113</v>
      </c>
      <c r="X98" s="8" t="n">
        <v>8710.868814568135</v>
      </c>
      <c r="Y98" s="8" t="n">
        <v>26804.92887741936</v>
      </c>
      <c r="Z98" s="8" t="n">
        <v>17185.92405763603</v>
      </c>
      <c r="AA98" s="8" t="n">
        <v>31952.87607698753</v>
      </c>
      <c r="AB98" s="8" t="n">
        <v>15293.865021174703</v>
      </c>
      <c r="AC98" s="8" t="n">
        <v>5347.021287863678</v>
      </c>
      <c r="AF98" s="23" t="s">
        <v>33</v>
      </c>
      <c r="AG98" s="8" t="n">
        <v>15143.906899705493</v>
      </c>
      <c r="AH98" s="8" t="n">
        <v>13638.099468314722</v>
      </c>
      <c r="AI98" s="8" t="n">
        <v>98548.3606600933</v>
      </c>
      <c r="AJ98" s="8" t="n">
        <v>11569.773506291687</v>
      </c>
      <c r="AK98" s="8" t="n">
        <v>26310.84357629532</v>
      </c>
      <c r="AL98" s="8" t="n">
        <v>41694.008976071025</v>
      </c>
      <c r="AM98" s="8" t="n">
        <v>78220.95770180681</v>
      </c>
      <c r="AN98" s="8" t="n">
        <v>5217.063080783692</v>
      </c>
      <c r="AO98" s="8" t="n">
        <v>49161.74778415651</v>
      </c>
      <c r="AP98" s="8" t="n">
        <v>58891.75392786298</v>
      </c>
      <c r="AQ98" s="8" t="n">
        <v>34232.774916806266</v>
      </c>
      <c r="AR98" s="8" t="n">
        <v>50616.04947620532</v>
      </c>
    </row>
    <row r="99" customFormat="false" ht="15.6" hidden="false" customHeight="false" outlineLevel="0" collapsed="false">
      <c r="B99" s="23" t="s">
        <v>34</v>
      </c>
      <c r="C99" s="8" t="n">
        <v>39779</v>
      </c>
      <c r="D99" s="8" t="n">
        <v>-350</v>
      </c>
      <c r="E99" s="8" t="n">
        <v>3603</v>
      </c>
      <c r="F99" s="8" t="n">
        <v>30475</v>
      </c>
      <c r="G99" s="8" t="n">
        <v>15252</v>
      </c>
      <c r="H99" s="8" t="n">
        <v>1953</v>
      </c>
      <c r="I99" s="8" t="n">
        <v>592</v>
      </c>
      <c r="J99" s="8" t="n">
        <v>0</v>
      </c>
      <c r="K99" s="8" t="n">
        <v>1386</v>
      </c>
      <c r="L99" s="8" t="n">
        <v>-1688</v>
      </c>
      <c r="M99" s="8" t="n">
        <v>39512</v>
      </c>
      <c r="N99" s="8" t="n">
        <v>-11212</v>
      </c>
      <c r="Q99" s="23" t="s">
        <v>34</v>
      </c>
      <c r="R99" s="8" t="n">
        <v>52722.30459005676</v>
      </c>
      <c r="S99" s="8" t="n">
        <v>-140.2506704078579</v>
      </c>
      <c r="T99" s="8" t="n">
        <v>3050.171711737061</v>
      </c>
      <c r="U99" s="8" t="n">
        <v>39152.76807829364</v>
      </c>
      <c r="V99" s="8" t="n">
        <v>564.1558483664728</v>
      </c>
      <c r="W99" s="8" t="n">
        <v>2772.1983988545894</v>
      </c>
      <c r="X99" s="8" t="n">
        <v>586.7850500077178</v>
      </c>
      <c r="Y99" s="8" t="n">
        <v>0.0</v>
      </c>
      <c r="Z99" s="8" t="n">
        <v>148.6299010580171</v>
      </c>
      <c r="AA99" s="8" t="n">
        <v>-1368.8564568018403</v>
      </c>
      <c r="AB99" s="8" t="n">
        <v>14525.21551019142</v>
      </c>
      <c r="AC99" s="8" t="n">
        <v>-12248.235556017573</v>
      </c>
      <c r="AF99" s="23" t="s">
        <v>34</v>
      </c>
      <c r="AG99" s="8" t="n">
        <v>55861.04479280332</v>
      </c>
      <c r="AH99" s="8" t="n">
        <v>-52.17728742043544</v>
      </c>
      <c r="AI99" s="8" t="n">
        <v>4383.142935101004</v>
      </c>
      <c r="AJ99" s="8" t="n">
        <v>29298.187021404363</v>
      </c>
      <c r="AK99" s="8" t="n">
        <v>12908.745144138798</v>
      </c>
      <c r="AL99" s="8" t="n">
        <v>2916.7978438385844</v>
      </c>
      <c r="AM99" s="8" t="n">
        <v>510.66820034321233</v>
      </c>
      <c r="AN99" s="8" t="n">
        <v>0.0</v>
      </c>
      <c r="AO99" s="8" t="n">
        <v>1532.4154243574717</v>
      </c>
      <c r="AP99" s="8" t="n">
        <v>-554.0355388944884</v>
      </c>
      <c r="AQ99" s="8" t="n">
        <v>11438.109315002946</v>
      </c>
      <c r="AR99" s="8" t="n">
        <v>-3046.2775854953375</v>
      </c>
    </row>
    <row r="100" customFormat="false" ht="15.6" hidden="false" customHeight="false" outlineLevel="0" collapsed="false">
      <c r="B100" s="23" t="s">
        <v>35</v>
      </c>
      <c r="C100" s="8" t="n">
        <v>140831</v>
      </c>
      <c r="D100" s="8" t="n">
        <v>126818</v>
      </c>
      <c r="E100" s="8" t="n">
        <v>69143</v>
      </c>
      <c r="F100" s="8" t="n">
        <v>93360</v>
      </c>
      <c r="G100" s="8" t="n">
        <v>77703</v>
      </c>
      <c r="H100" s="8" t="n">
        <v>44661</v>
      </c>
      <c r="I100" s="8" t="n">
        <v>88055</v>
      </c>
      <c r="J100" s="8" t="n">
        <v>26760</v>
      </c>
      <c r="K100" s="8" t="n">
        <v>110500</v>
      </c>
      <c r="L100" s="8" t="n">
        <v>103637</v>
      </c>
      <c r="M100" s="8" t="n">
        <v>138729</v>
      </c>
      <c r="N100" s="8" t="n">
        <v>49725</v>
      </c>
      <c r="Q100" s="23" t="s">
        <v>35</v>
      </c>
      <c r="R100" s="8" t="n">
        <v>83812.69195358943</v>
      </c>
      <c r="S100" s="8" t="n">
        <v>153602.53950461352</v>
      </c>
      <c r="T100" s="8" t="n">
        <v>91701.88075422736</v>
      </c>
      <c r="U100" s="8" t="n">
        <v>43598.89376505506</v>
      </c>
      <c r="V100" s="8" t="n">
        <v>76765.69079879615</v>
      </c>
      <c r="W100" s="8" t="n">
        <v>23194.88362229187</v>
      </c>
      <c r="X100" s="8" t="n">
        <v>118370.02291826664</v>
      </c>
      <c r="Y100" s="8" t="n">
        <v>11566.606064224003</v>
      </c>
      <c r="Z100" s="8" t="n">
        <v>162878.7869766252</v>
      </c>
      <c r="AA100" s="8" t="n">
        <v>148471.8344837359</v>
      </c>
      <c r="AB100" s="8" t="n">
        <v>29662.83681926206</v>
      </c>
      <c r="AC100" s="8" t="n">
        <v>30303.31612075048</v>
      </c>
      <c r="AF100" s="23" t="s">
        <v>35</v>
      </c>
      <c r="AG100" s="8" t="n">
        <v>144547.03178133108</v>
      </c>
      <c r="AH100" s="8" t="n">
        <v>41907.09017456313</v>
      </c>
      <c r="AI100" s="8" t="n">
        <v>38555.70992055328</v>
      </c>
      <c r="AJ100" s="8" t="n">
        <v>128989.85402397379</v>
      </c>
      <c r="AK100" s="8" t="n">
        <v>56098.22250502612</v>
      </c>
      <c r="AL100" s="8" t="n">
        <v>8495.664358193188</v>
      </c>
      <c r="AM100" s="8" t="n">
        <v>61369.017532772414</v>
      </c>
      <c r="AN100" s="8" t="n">
        <v>27802.567353737366</v>
      </c>
      <c r="AO100" s="8" t="n">
        <v>59628.10739957276</v>
      </c>
      <c r="AP100" s="8" t="n">
        <v>18239.435460100445</v>
      </c>
      <c r="AQ100" s="8" t="n">
        <v>24556.351634499668</v>
      </c>
      <c r="AR100" s="8" t="n">
        <v>31478.252368289915</v>
      </c>
    </row>
    <row r="101" customFormat="false" ht="15.6" hidden="false" customHeight="false" outlineLevel="0" collapsed="false">
      <c r="B101" s="24" t="s">
        <v>36</v>
      </c>
      <c r="C101" s="25" t="n">
        <v>80236</v>
      </c>
      <c r="D101" s="25" t="n">
        <v>62319</v>
      </c>
      <c r="E101" s="25" t="n">
        <v>22900</v>
      </c>
      <c r="F101" s="25" t="n">
        <v>42078</v>
      </c>
      <c r="G101" s="25" t="n">
        <v>83877</v>
      </c>
      <c r="H101" s="25" t="n">
        <v>107482</v>
      </c>
      <c r="I101" s="25" t="n">
        <v>110359</v>
      </c>
      <c r="J101" s="25" t="n">
        <v>94400</v>
      </c>
      <c r="K101" s="25" t="n">
        <v>82735</v>
      </c>
      <c r="L101" s="25" t="n">
        <v>102821</v>
      </c>
      <c r="M101" s="25" t="n">
        <v>27258</v>
      </c>
      <c r="N101" s="25" t="n">
        <v>54933</v>
      </c>
      <c r="Q101" s="24" t="s">
        <v>36</v>
      </c>
      <c r="R101" s="25" t="n">
        <v>81767.12760452082</v>
      </c>
      <c r="S101" s="25" t="n">
        <v>40773.26698470044</v>
      </c>
      <c r="T101" s="25" t="n">
        <v>11011.278495662738</v>
      </c>
      <c r="U101" s="25" t="n">
        <v>16367.137838049282</v>
      </c>
      <c r="V101" s="25" t="n">
        <v>51182.3683809065</v>
      </c>
      <c r="W101" s="25" t="n">
        <v>17420.76341804768</v>
      </c>
      <c r="X101" s="25" t="n">
        <v>113431.55399191089</v>
      </c>
      <c r="Y101" s="25" t="n">
        <v>107740.60782206192</v>
      </c>
      <c r="Z101" s="25" t="n">
        <v>16134.83992477813</v>
      </c>
      <c r="AA101" s="25" t="n">
        <v>126362.41098824682</v>
      </c>
      <c r="AB101" s="25" t="n">
        <v>8121.613889027344</v>
      </c>
      <c r="AC101" s="25" t="n">
        <v>2750.02298817936</v>
      </c>
      <c r="AF101" s="24" t="s">
        <v>36</v>
      </c>
      <c r="AG101" s="25" t="n">
        <v>24262.808336887683</v>
      </c>
      <c r="AH101" s="25" t="n">
        <v>12166.745248033445</v>
      </c>
      <c r="AI101" s="25" t="n">
        <v>9336.578609312248</v>
      </c>
      <c r="AJ101" s="25" t="n">
        <v>50346.38698444053</v>
      </c>
      <c r="AK101" s="25" t="n">
        <v>110387.62899169358</v>
      </c>
      <c r="AL101" s="25" t="n">
        <v>104518.65389854583</v>
      </c>
      <c r="AM101" s="25" t="n">
        <v>153622.2408525325</v>
      </c>
      <c r="AN101" s="25" t="n">
        <v>117786.23602941353</v>
      </c>
      <c r="AO101" s="25" t="n">
        <v>179.23052789042578</v>
      </c>
      <c r="AP101" s="25" t="n">
        <v>41327.94102229782</v>
      </c>
      <c r="AQ101" s="25" t="n">
        <v>21394.392537764823</v>
      </c>
      <c r="AR101" s="25" t="n">
        <v>77241.16402354088</v>
      </c>
    </row>
    <row r="102" customFormat="false" ht="15.6" hidden="false" customHeight="false" outlineLevel="0" collapsed="false">
      <c r="B102" s="27" t="s">
        <v>37</v>
      </c>
      <c r="C102" s="28" t="n">
        <f aca="false">SUM(C94:C101)</f>
        <v>1175716</v>
      </c>
      <c r="D102" s="29" t="n">
        <f aca="false">SUM(D94:D101)</f>
        <v>673095</v>
      </c>
      <c r="E102" s="29" t="n">
        <f aca="false">SUM(E94:E101)</f>
        <v>853121</v>
      </c>
      <c r="F102" s="29" t="n">
        <f aca="false">SUM(F94:F101)</f>
        <v>873730</v>
      </c>
      <c r="G102" s="29" t="n">
        <f aca="false">SUM(G94:G101)</f>
        <v>709595</v>
      </c>
      <c r="H102" s="29" t="n">
        <f aca="false">SUM(H94:H101)</f>
        <v>898056</v>
      </c>
      <c r="I102" s="29" t="n">
        <f aca="false">SUM(I94:I101)</f>
        <v>988326</v>
      </c>
      <c r="J102" s="29" t="n">
        <f aca="false">SUM(J94:J101)</f>
        <v>940167</v>
      </c>
      <c r="K102" s="29" t="n">
        <f aca="false">SUM(K94:K101)</f>
        <v>1028315</v>
      </c>
      <c r="L102" s="29" t="n">
        <f aca="false">SUM(L94:L101)</f>
        <v>1034647</v>
      </c>
      <c r="M102" s="29" t="n">
        <f aca="false">SUM(M94:M101)</f>
        <v>819509</v>
      </c>
      <c r="N102" s="35" t="n">
        <f aca="false">SUM(N94:N101)</f>
        <v>627682</v>
      </c>
      <c r="Q102" s="27" t="s">
        <v>37</v>
      </c>
      <c r="R102" s="28" t="n">
        <f aca="false">SUM(R94:R101)</f>
        <v>1419730.0360384271</v>
      </c>
      <c r="S102" s="29" t="n">
        <f aca="false">SUM(S94:S101)</f>
        <v>807342.0448149885</v>
      </c>
      <c r="T102" s="29" t="n">
        <f aca="false">SUM(T94:T101)</f>
        <v>459960.07345042896</v>
      </c>
      <c r="U102" s="29" t="n">
        <f aca="false">SUM(U94:U101)</f>
        <v>758716.0885088289</v>
      </c>
      <c r="V102" s="29" t="n">
        <f aca="false">SUM(V94:V101)</f>
        <v>553869.2389187117</v>
      </c>
      <c r="W102" s="29" t="n">
        <f aca="false">SUM(W94:W101)</f>
        <v>451841.6195706732</v>
      </c>
      <c r="X102" s="29" t="n">
        <f aca="false">SUM(X94:X101)</f>
        <v>284011.3332496116</v>
      </c>
      <c r="Y102" s="29" t="n">
        <f aca="false">SUM(Y94:Y101)</f>
        <v>827950.4215824069</v>
      </c>
      <c r="Z102" s="29" t="n">
        <f aca="false">SUM(Z94:Z101)</f>
        <v>1524452.9899627944</v>
      </c>
      <c r="AA102" s="29" t="n">
        <f aca="false">SUM(AA94:AA101)</f>
        <v>2994.1340937539153</v>
      </c>
      <c r="AB102" s="29" t="n">
        <f aca="false">SUM(AB94:AB101)</f>
        <v>670666.6842851705</v>
      </c>
      <c r="AC102" s="35" t="n">
        <f aca="false">SUM(AC94:AC101)</f>
        <v>737149.7609898023</v>
      </c>
      <c r="AF102" s="27" t="s">
        <v>37</v>
      </c>
      <c r="AG102" s="28" t="n">
        <f aca="false">SUM(AG94:AG101)</f>
        <v>1442680.5834927976</v>
      </c>
      <c r="AH102" s="29" t="n">
        <f aca="false">SUM(AH94:AH101)</f>
        <v>271422.75431464735</v>
      </c>
      <c r="AI102" s="29" t="n">
        <f aca="false">SUM(AI94:AI101)</f>
        <v>1208095.1350271995</v>
      </c>
      <c r="AJ102" s="29" t="n">
        <f aca="false">SUM(AJ94:AJ101)</f>
        <v>293304.87509262084</v>
      </c>
      <c r="AK102" s="29" t="n">
        <f aca="false">SUM(AK94:AK101)</f>
        <v>866865.2249231407</v>
      </c>
      <c r="AL102" s="29" t="n">
        <f aca="false">SUM(AL94:AL101)</f>
        <v>875238.7819333822</v>
      </c>
      <c r="AM102" s="29" t="n">
        <f aca="false">SUM(AM94:AM101)</f>
        <v>1061334.8635055395</v>
      </c>
      <c r="AN102" s="29" t="n">
        <f aca="false">SUM(AN94:AN101)</f>
        <v>127152.12834212526</v>
      </c>
      <c r="AO102" s="29" t="n">
        <f aca="false">SUM(AO94:AO101)</f>
        <v>1536358.5902123887</v>
      </c>
      <c r="AP102" s="29" t="n">
        <f aca="false">SUM(AP94:AP101)</f>
        <v>1439331.2020794093</v>
      </c>
      <c r="AQ102" s="29" t="n">
        <f aca="false">SUM(AQ94:AQ101)</f>
        <v>1072626.5760155255</v>
      </c>
      <c r="AR102" s="35" t="n">
        <f aca="false">SUM(AR94:AR101)</f>
        <v>241258.37648670428</v>
      </c>
    </row>
    <row r="103" customFormat="false" ht="15.6" hidden="false" customHeight="false" outlineLevel="0" collapsed="false">
      <c r="B103" s="27" t="s">
        <v>38</v>
      </c>
      <c r="C103" s="28" t="n">
        <v>81658</v>
      </c>
      <c r="D103" s="29" t="n">
        <v>55814</v>
      </c>
      <c r="E103" s="29" t="n">
        <v>190068</v>
      </c>
      <c r="F103" s="29" t="n">
        <v>69020</v>
      </c>
      <c r="G103" s="29" t="n">
        <v>117929</v>
      </c>
      <c r="H103" s="29" t="n">
        <v>158633</v>
      </c>
      <c r="I103" s="29" t="n">
        <v>171484</v>
      </c>
      <c r="J103" s="29" t="n">
        <v>113549</v>
      </c>
      <c r="K103" s="29" t="n">
        <v>213019</v>
      </c>
      <c r="L103" s="29" t="n">
        <v>238816</v>
      </c>
      <c r="M103" s="29" t="n">
        <v>277317</v>
      </c>
      <c r="N103" s="29" t="n">
        <v>355668</v>
      </c>
      <c r="Q103" s="27" t="s">
        <v>38</v>
      </c>
      <c r="R103" s="28" t="n">
        <v>87797.5661481968</v>
      </c>
      <c r="S103" s="29" t="n">
        <v>42778.92692971351</v>
      </c>
      <c r="T103" s="29" t="n">
        <v>92886.25763384774</v>
      </c>
      <c r="U103" s="29" t="n">
        <v>65366.28110554498</v>
      </c>
      <c r="V103" s="29" t="n">
        <v>13074.78847094142</v>
      </c>
      <c r="W103" s="29" t="n">
        <v>228247.32311567728</v>
      </c>
      <c r="X103" s="29" t="n">
        <v>124036.80912649483</v>
      </c>
      <c r="Y103" s="29" t="n">
        <v>75470.41606585868</v>
      </c>
      <c r="Z103" s="29" t="n">
        <v>45423.55140632714</v>
      </c>
      <c r="AA103" s="29" t="n">
        <v>312137.09806498024</v>
      </c>
      <c r="AB103" s="29" t="n">
        <v>333828.91100257955</v>
      </c>
      <c r="AC103" s="29" t="n">
        <v>327795.2052293979</v>
      </c>
      <c r="AF103" s="27" t="s">
        <v>38</v>
      </c>
      <c r="AG103" s="28" t="n">
        <v>23090.60009451824</v>
      </c>
      <c r="AH103" s="29" t="n">
        <v>71243.82831422158</v>
      </c>
      <c r="AI103" s="29" t="n">
        <v>130156.3574151369</v>
      </c>
      <c r="AJ103" s="29" t="n">
        <v>38655.494907142056</v>
      </c>
      <c r="AK103" s="29" t="n">
        <v>65366.78371700161</v>
      </c>
      <c r="AL103" s="29" t="n">
        <v>56789.83440871163</v>
      </c>
      <c r="AM103" s="29" t="n">
        <v>69409.37051310754</v>
      </c>
      <c r="AN103" s="29" t="n">
        <v>95531.75844412846</v>
      </c>
      <c r="AO103" s="29" t="n">
        <v>27090.866474255014</v>
      </c>
      <c r="AP103" s="29" t="n">
        <v>213789.85802176595</v>
      </c>
      <c r="AQ103" s="29" t="n">
        <v>114200.12981709551</v>
      </c>
      <c r="AR103" s="29" t="n">
        <v>223794.83697679025</v>
      </c>
    </row>
    <row r="104" customFormat="false" ht="15.6" hidden="false" customHeight="false" outlineLevel="0" collapsed="false">
      <c r="B104" s="23" t="s">
        <v>39</v>
      </c>
      <c r="C104" s="8" t="n">
        <v>721706</v>
      </c>
      <c r="D104" s="8" t="n">
        <v>357146</v>
      </c>
      <c r="E104" s="8" t="n">
        <v>242084</v>
      </c>
      <c r="F104" s="8" t="n">
        <v>284869</v>
      </c>
      <c r="G104" s="8" t="n">
        <v>310111</v>
      </c>
      <c r="H104" s="8" t="n">
        <v>299353</v>
      </c>
      <c r="I104" s="8" t="n">
        <v>251431</v>
      </c>
      <c r="J104" s="8" t="n">
        <v>391477</v>
      </c>
      <c r="K104" s="8" t="n">
        <v>177443</v>
      </c>
      <c r="L104" s="8" t="n">
        <v>249533</v>
      </c>
      <c r="M104" s="8" t="n">
        <v>448891</v>
      </c>
      <c r="N104" s="8" t="n">
        <v>64762</v>
      </c>
      <c r="Q104" s="23" t="s">
        <v>39</v>
      </c>
      <c r="R104" s="8" t="n">
        <v>673058.8207716774</v>
      </c>
      <c r="S104" s="8" t="n">
        <v>239211.0126773315</v>
      </c>
      <c r="T104" s="8" t="n">
        <v>324938.6784528026</v>
      </c>
      <c r="U104" s="8" t="n">
        <v>226256.59658654913</v>
      </c>
      <c r="V104" s="8" t="n">
        <v>320199.0526111813</v>
      </c>
      <c r="W104" s="8" t="n">
        <v>139501.10380118835</v>
      </c>
      <c r="X104" s="8" t="n">
        <v>168435.8700249022</v>
      </c>
      <c r="Y104" s="8" t="n">
        <v>12678.407472874278</v>
      </c>
      <c r="Z104" s="8" t="n">
        <v>179816.31644072407</v>
      </c>
      <c r="AA104" s="8" t="n">
        <v>129046.50056636664</v>
      </c>
      <c r="AB104" s="8" t="n">
        <v>302226.79824448144</v>
      </c>
      <c r="AC104" s="8" t="n">
        <v>52858.062330279674</v>
      </c>
      <c r="AF104" s="23" t="s">
        <v>39</v>
      </c>
      <c r="AG104" s="8" t="n">
        <v>974389.1602605773</v>
      </c>
      <c r="AH104" s="8" t="n">
        <v>476158.10077361617</v>
      </c>
      <c r="AI104" s="8" t="n">
        <v>27689.617771851557</v>
      </c>
      <c r="AJ104" s="8" t="n">
        <v>134709.6153479387</v>
      </c>
      <c r="AK104" s="8" t="n">
        <v>462014.10030625196</v>
      </c>
      <c r="AL104" s="8" t="n">
        <v>363260.65755615995</v>
      </c>
      <c r="AM104" s="8" t="n">
        <v>331731.7305433947</v>
      </c>
      <c r="AN104" s="8" t="n">
        <v>140842.56238651572</v>
      </c>
      <c r="AO104" s="8" t="n">
        <v>179767.61731858714</v>
      </c>
      <c r="AP104" s="8" t="n">
        <v>346156.9161490558</v>
      </c>
      <c r="AQ104" s="8" t="n">
        <v>49811.42621317981</v>
      </c>
      <c r="AR104" s="8" t="n">
        <v>80826.46538130277</v>
      </c>
    </row>
    <row r="105" customFormat="false" ht="15.6" hidden="false" customHeight="false" outlineLevel="0" collapsed="false">
      <c r="B105" s="23" t="s">
        <v>40</v>
      </c>
      <c r="C105" s="8" t="n">
        <v>138499</v>
      </c>
      <c r="D105" s="8" t="n">
        <v>148115</v>
      </c>
      <c r="E105" s="8" t="n">
        <v>389770</v>
      </c>
      <c r="F105" s="8" t="n">
        <v>204000</v>
      </c>
      <c r="G105" s="8" t="n">
        <v>66827</v>
      </c>
      <c r="H105" s="8" t="n">
        <v>295917</v>
      </c>
      <c r="I105" s="8" t="n">
        <v>204079</v>
      </c>
      <c r="J105" s="8" t="n">
        <v>180197</v>
      </c>
      <c r="K105" s="8" t="n">
        <v>461369</v>
      </c>
      <c r="L105" s="8" t="n">
        <v>457484</v>
      </c>
      <c r="M105" s="8" t="n">
        <v>387956</v>
      </c>
      <c r="N105" s="8" t="n">
        <v>93978</v>
      </c>
      <c r="Q105" s="23" t="s">
        <v>40</v>
      </c>
      <c r="R105" s="8" t="n">
        <v>160200.05670686468</v>
      </c>
      <c r="S105" s="8" t="n">
        <v>147747.1103028838</v>
      </c>
      <c r="T105" s="8" t="n">
        <v>14246.415876570763</v>
      </c>
      <c r="U105" s="8" t="n">
        <v>260280.28508777093</v>
      </c>
      <c r="V105" s="8" t="n">
        <v>38052.68879386404</v>
      </c>
      <c r="W105" s="8" t="n">
        <v>325768.6041172019</v>
      </c>
      <c r="X105" s="8" t="n">
        <v>129323.8814533509</v>
      </c>
      <c r="Y105" s="8" t="n">
        <v>123017.35768686213</v>
      </c>
      <c r="Z105" s="8" t="n">
        <v>242638.8622673573</v>
      </c>
      <c r="AA105" s="8" t="n">
        <v>631489.0375704092</v>
      </c>
      <c r="AB105" s="8" t="n">
        <v>257902.22498402136</v>
      </c>
      <c r="AC105" s="8" t="n">
        <v>127555.24482356514</v>
      </c>
      <c r="AF105" s="23" t="s">
        <v>40</v>
      </c>
      <c r="AG105" s="8" t="n">
        <v>90730.59111046598</v>
      </c>
      <c r="AH105" s="8" t="n">
        <v>131851.81150954045</v>
      </c>
      <c r="AI105" s="8" t="n">
        <v>448865.7884115879</v>
      </c>
      <c r="AJ105" s="8" t="n">
        <v>148870.72157650758</v>
      </c>
      <c r="AK105" s="8" t="n">
        <v>34124.122980425986</v>
      </c>
      <c r="AL105" s="8" t="n">
        <v>177723.09988361612</v>
      </c>
      <c r="AM105" s="8" t="n">
        <v>155574.7743898131</v>
      </c>
      <c r="AN105" s="8" t="n">
        <v>90078.91424782209</v>
      </c>
      <c r="AO105" s="8" t="n">
        <v>650385.9866565116</v>
      </c>
      <c r="AP105" s="8" t="n">
        <v>371491.6343182163</v>
      </c>
      <c r="AQ105" s="8" t="n">
        <v>407696.9339863719</v>
      </c>
      <c r="AR105" s="8" t="n">
        <v>92454.86144991564</v>
      </c>
    </row>
    <row r="106" customFormat="false" ht="15.6" hidden="false" customHeight="false" outlineLevel="0" collapsed="false">
      <c r="B106" s="23" t="s">
        <v>41</v>
      </c>
      <c r="C106" s="8"/>
      <c r="D106" s="8" t="n">
        <f aca="false">D68/(1+$A106)</f>
        <v>3487915.03</v>
      </c>
      <c r="E106" s="8" t="n">
        <f aca="false">E68/(1+A106)</f>
        <v>3345408.39</v>
      </c>
      <c r="F106" s="8"/>
      <c r="G106" s="8"/>
      <c r="H106" s="8"/>
      <c r="I106" s="8"/>
      <c r="J106" s="8" t="n">
        <v>0</v>
      </c>
      <c r="K106" s="8" t="n">
        <v>0</v>
      </c>
      <c r="L106" s="8" t="n">
        <f aca="false">L68/(1+$A106)</f>
        <v>3594129.12</v>
      </c>
      <c r="M106" s="8" t="n">
        <f aca="false">M68/(1+$A106)</f>
        <v>3843186.02</v>
      </c>
      <c r="N106" s="8" t="n">
        <f aca="false">N68/(1+$A106)</f>
        <v>3568783</v>
      </c>
      <c r="Q106" s="23" t="s">
        <v>41</v>
      </c>
      <c r="R106" s="8"/>
      <c r="S106" s="8" t="n">
        <f aca="false">S68/(1+$A106)</f>
        <v>3000927.7644133335</v>
      </c>
      <c r="T106" s="8" t="n">
        <f aca="false">T68/(1+P106)</f>
        <v>2009658.8505918458</v>
      </c>
      <c r="U106" s="8"/>
      <c r="V106" s="8"/>
      <c r="W106" s="8"/>
      <c r="X106" s="8"/>
      <c r="Y106" s="8" t="n">
        <v>0.0</v>
      </c>
      <c r="Z106" s="8" t="n">
        <v>0.0</v>
      </c>
      <c r="AA106" s="8" t="n">
        <f aca="false">AA68/(1+$A106)</f>
        <v>280205.8401881375</v>
      </c>
      <c r="AB106" s="8" t="n">
        <f aca="false">AB68/(1+$A106)</f>
        <v>4130263.3934119977</v>
      </c>
      <c r="AC106" s="8" t="n">
        <f aca="false">AC68/(1+$A106)</f>
        <v>970381.036002199</v>
      </c>
      <c r="AF106" s="23" t="s">
        <v>41</v>
      </c>
      <c r="AG106" s="8"/>
      <c r="AH106" s="8" t="n">
        <f aca="false">AH68/(1+$A106)</f>
        <v>4035672.8535180795</v>
      </c>
      <c r="AI106" s="8" t="n">
        <f aca="false">AI68/(1+AE106)</f>
        <v>4979629.441260839</v>
      </c>
      <c r="AJ106" s="8"/>
      <c r="AK106" s="8"/>
      <c r="AL106" s="8"/>
      <c r="AM106" s="8"/>
      <c r="AN106" s="8" t="n">
        <v>0.0</v>
      </c>
      <c r="AO106" s="8" t="n">
        <v>0.0</v>
      </c>
      <c r="AP106" s="8" t="n">
        <f aca="false">AP68/(1+$A106)</f>
        <v>3239942.869136905</v>
      </c>
      <c r="AQ106" s="8" t="n">
        <f aca="false">AQ68/(1+$A106)</f>
        <v>5442783.579533084</v>
      </c>
      <c r="AR106" s="8" t="n">
        <f aca="false">AR68/(1+$A106)</f>
        <v>4957851.257333235</v>
      </c>
    </row>
    <row r="107" customFormat="false" ht="15.6" hidden="false" customHeight="false" outlineLevel="0" collapsed="false">
      <c r="B107" s="24" t="s">
        <v>42</v>
      </c>
      <c r="C107" s="36" t="n">
        <v>234739</v>
      </c>
      <c r="D107" s="25" t="n">
        <v>16696</v>
      </c>
      <c r="E107" s="25" t="n">
        <v>92928</v>
      </c>
      <c r="F107" s="25" t="n">
        <v>122419</v>
      </c>
      <c r="G107" s="25" t="n">
        <v>39420</v>
      </c>
      <c r="H107" s="25" t="n">
        <v>57164</v>
      </c>
      <c r="I107" s="25" t="n">
        <v>40171</v>
      </c>
      <c r="J107" s="25" t="n">
        <v>55452</v>
      </c>
      <c r="K107" s="25" t="n">
        <v>257498</v>
      </c>
      <c r="L107" s="25" t="n">
        <v>127436</v>
      </c>
      <c r="M107" s="25" t="n">
        <v>22255</v>
      </c>
      <c r="N107" s="25" t="n">
        <v>102506</v>
      </c>
      <c r="Q107" s="24" t="s">
        <v>42</v>
      </c>
      <c r="R107" s="36" t="n">
        <v>170349.3854946163</v>
      </c>
      <c r="S107" s="25" t="n">
        <v>5717.790613780161</v>
      </c>
      <c r="T107" s="25" t="n">
        <v>89342.32069770715</v>
      </c>
      <c r="U107" s="25" t="n">
        <v>144822.52261834627</v>
      </c>
      <c r="V107" s="25" t="n">
        <v>41534.22323601596</v>
      </c>
      <c r="W107" s="25" t="n">
        <v>35323.889223192076</v>
      </c>
      <c r="X107" s="25" t="n">
        <v>11514.001674264062</v>
      </c>
      <c r="Y107" s="25" t="n">
        <v>9288.670895163381</v>
      </c>
      <c r="Z107" s="25" t="n">
        <v>48343.47312981184</v>
      </c>
      <c r="AA107" s="25" t="n">
        <v>83300.99517457047</v>
      </c>
      <c r="AB107" s="25" t="n">
        <v>30345.12625560794</v>
      </c>
      <c r="AC107" s="25" t="n">
        <v>146866.89002770893</v>
      </c>
      <c r="AF107" s="24" t="s">
        <v>42</v>
      </c>
      <c r="AG107" s="36" t="n">
        <v>23451.98174810511</v>
      </c>
      <c r="AH107" s="25" t="n">
        <v>10378.14209315934</v>
      </c>
      <c r="AI107" s="25" t="n">
        <v>43394.31063493562</v>
      </c>
      <c r="AJ107" s="25" t="n">
        <v>139473.46145202755</v>
      </c>
      <c r="AK107" s="25" t="n">
        <v>28786.77053469906</v>
      </c>
      <c r="AL107" s="25" t="n">
        <v>81211.3412617923</v>
      </c>
      <c r="AM107" s="25" t="n">
        <v>8901.197271109908</v>
      </c>
      <c r="AN107" s="25" t="n">
        <v>51878.86677411947</v>
      </c>
      <c r="AO107" s="25" t="n">
        <v>53302.57943526609</v>
      </c>
      <c r="AP107" s="25" t="n">
        <v>104972.15097253377</v>
      </c>
      <c r="AQ107" s="25" t="n">
        <v>2485.6156805816518</v>
      </c>
      <c r="AR107" s="25" t="n">
        <v>83572.23217247576</v>
      </c>
    </row>
    <row r="108" customFormat="false" ht="15.6" hidden="false" customHeight="false" outlineLevel="0" collapsed="false">
      <c r="B108" s="27" t="s">
        <v>43</v>
      </c>
      <c r="C108" s="29" t="n">
        <f aca="false">SUM(C104:C107)</f>
        <v>1094944</v>
      </c>
      <c r="D108" s="29" t="n">
        <f aca="false">SUM(D104:D107)</f>
        <v>4009872.03</v>
      </c>
      <c r="E108" s="29" t="n">
        <f aca="false">SUM(E104:E107)</f>
        <v>4070190.39</v>
      </c>
      <c r="F108" s="29" t="n">
        <f aca="false">SUM(F104:F107)</f>
        <v>611288</v>
      </c>
      <c r="G108" s="29" t="n">
        <f aca="false">SUM(G104:G107)</f>
        <v>416358</v>
      </c>
      <c r="H108" s="29" t="n">
        <f aca="false">SUM(H104:H107)</f>
        <v>652434</v>
      </c>
      <c r="I108" s="29" t="n">
        <f aca="false">SUM(I104:I107)</f>
        <v>495681</v>
      </c>
      <c r="J108" s="29" t="n">
        <f aca="false">SUM(J104:J107)</f>
        <v>627126</v>
      </c>
      <c r="K108" s="29" t="n">
        <f aca="false">SUM(K104:K107)</f>
        <v>896310</v>
      </c>
      <c r="L108" s="29" t="n">
        <f aca="false">SUM(L104:L107)</f>
        <v>4428582.12</v>
      </c>
      <c r="M108" s="29" t="n">
        <f aca="false">SUM(M104:M107)</f>
        <v>4702288.02</v>
      </c>
      <c r="N108" s="29" t="n">
        <f aca="false">SUM(N104:N107)</f>
        <v>3830029</v>
      </c>
      <c r="Q108" s="27" t="s">
        <v>43</v>
      </c>
      <c r="R108" s="29" t="n">
        <f aca="false">SUM(R104:R107)</f>
        <v>1494871.660405196</v>
      </c>
      <c r="S108" s="29" t="n">
        <f aca="false">SUM(S104:S107)</f>
        <v>4233727.79450186</v>
      </c>
      <c r="T108" s="29" t="n">
        <f aca="false">SUM(T104:T107)</f>
        <v>4783270.084354332</v>
      </c>
      <c r="U108" s="29" t="n">
        <f aca="false">SUM(U104:U107)</f>
        <v>798138.7687620576</v>
      </c>
      <c r="V108" s="29" t="n">
        <f aca="false">SUM(V104:V107)</f>
        <v>544222.7702776982</v>
      </c>
      <c r="W108" s="29" t="n">
        <f aca="false">SUM(W104:W107)</f>
        <v>275111.08104012546</v>
      </c>
      <c r="X108" s="29" t="n">
        <f aca="false">SUM(X104:X107)</f>
        <v>515741.35963596875</v>
      </c>
      <c r="Y108" s="29" t="n">
        <f aca="false">SUM(Y104:Y107)</f>
        <v>162963.68201512954</v>
      </c>
      <c r="Z108" s="29" t="n">
        <f aca="false">SUM(Z104:Z107)</f>
        <v>99847.35893152705</v>
      </c>
      <c r="AA108" s="29" t="n">
        <f aca="false">SUM(AA104:AA107)</f>
        <v>4511311.28475004</v>
      </c>
      <c r="AB108" s="29" t="n">
        <f aca="false">SUM(AB104:AB107)</f>
        <v>5871963.716122889</v>
      </c>
      <c r="AC108" s="29" t="n">
        <f aca="false">SUM(AC104:AC107)</f>
        <v>3416559.3676480446</v>
      </c>
      <c r="AF108" s="27" t="s">
        <v>43</v>
      </c>
      <c r="AG108" s="29" t="n">
        <f aca="false">SUM(AG104:AG107)</f>
        <v>718454.9200354302</v>
      </c>
      <c r="AH108" s="29" t="n">
        <f aca="false">SUM(AH104:AH107)</f>
        <v>4262872.729632843</v>
      </c>
      <c r="AI108" s="29" t="n">
        <f aca="false">SUM(AI104:AI107)</f>
        <v>2605265.1741318773</v>
      </c>
      <c r="AJ108" s="29" t="n">
        <f aca="false">SUM(AJ104:AJ107)</f>
        <v>699341.2269617006</v>
      </c>
      <c r="AK108" s="29" t="n">
        <f aca="false">SUM(AK104:AK107)</f>
        <v>486777.2216797778</v>
      </c>
      <c r="AL108" s="29" t="n">
        <f aca="false">SUM(AL104:AL107)</f>
        <v>381368.56956931774</v>
      </c>
      <c r="AM108" s="29" t="n">
        <f aca="false">SUM(AM104:AM107)</f>
        <v>166466.24973411596</v>
      </c>
      <c r="AN108" s="29" t="n">
        <f aca="false">SUM(AN104:AN107)</f>
        <v>698244.2334617111</v>
      </c>
      <c r="AO108" s="29" t="n">
        <f aca="false">SUM(AO104:AO107)</f>
        <v>214649.92657094935</v>
      </c>
      <c r="AP108" s="29" t="n">
        <f aca="false">SUM(AP104:AP107)</f>
        <v>772471.7986542833</v>
      </c>
      <c r="AQ108" s="29" t="n">
        <f aca="false">SUM(AQ104:AQ107)</f>
        <v>3520933.3256905433</v>
      </c>
      <c r="AR108" s="29" t="n">
        <f aca="false">SUM(AR104:AR107)</f>
        <v>2078922.4549676536</v>
      </c>
    </row>
    <row r="109" customFormat="false" ht="15.6" hidden="false" customHeight="false" outlineLevel="0" collapsed="false">
      <c r="B109" s="30" t="s">
        <v>44</v>
      </c>
      <c r="C109" s="21" t="n">
        <f aca="false">SUM(C102,C103,C108)</f>
        <v>2352318</v>
      </c>
      <c r="D109" s="21" t="n">
        <f aca="false">SUM(D102,D103,D108)-1783</f>
        <v>4736998.03</v>
      </c>
      <c r="E109" s="21" t="n">
        <f aca="false">SUM(E102,E103,E108)</f>
        <v>5113379.39</v>
      </c>
      <c r="F109" s="21" t="n">
        <f aca="false">SUM(F102,F103,F108)</f>
        <v>1554038</v>
      </c>
      <c r="G109" s="21" t="n">
        <f aca="false">SUM(G102,G103,G108)-510</f>
        <v>1243372</v>
      </c>
      <c r="H109" s="21" t="n">
        <f aca="false">SUM(H102,H103,H108)</f>
        <v>1709123</v>
      </c>
      <c r="I109" s="21" t="n">
        <f aca="false">SUM(I102,I103,I108)</f>
        <v>1655491</v>
      </c>
      <c r="J109" s="21" t="n">
        <f aca="false">SUM(J102,J103,J108)</f>
        <v>1680842</v>
      </c>
      <c r="K109" s="21" t="n">
        <f aca="false">SUM(K102,K103,K108)-450</f>
        <v>2137194</v>
      </c>
      <c r="L109" s="21" t="n">
        <f aca="false">SUM(L102,L103,L108)</f>
        <v>5702045.12</v>
      </c>
      <c r="M109" s="21" t="n">
        <f aca="false">SUM(M102,M103,M108)</f>
        <v>5799114.02</v>
      </c>
      <c r="N109" s="21" t="n">
        <f aca="false">SUM(N102,N103,N108)-1591</f>
        <v>4811788</v>
      </c>
      <c r="Q109" s="30" t="s">
        <v>44</v>
      </c>
      <c r="R109" s="21" t="n">
        <f aca="false">SUM(R102,R103,R108)</f>
        <v>3455104.100552996</v>
      </c>
      <c r="S109" s="21" t="n">
        <f aca="false">SUM(S102,S103,S108)-1783</f>
        <v>589968.4181326501</v>
      </c>
      <c r="T109" s="21" t="n">
        <f aca="false">SUM(T102,T103,T108)</f>
        <v>213081.65663159845</v>
      </c>
      <c r="U109" s="21" t="n">
        <f aca="false">SUM(U102,U103,U108)</f>
        <v>10443.836280827063</v>
      </c>
      <c r="V109" s="21" t="n">
        <f aca="false">SUM(V102,V103,V108)-510</f>
        <v>813073.5765204899</v>
      </c>
      <c r="W109" s="21" t="n">
        <f aca="false">SUM(W102,W103,W108)</f>
        <v>1430623.1003075158</v>
      </c>
      <c r="X109" s="21" t="n">
        <f aca="false">SUM(X102,X103,X108)</f>
        <v>1591870.9090093062</v>
      </c>
      <c r="Y109" s="21" t="n">
        <f aca="false">SUM(Y102,Y103,Y108)</f>
        <v>446257.70545231435</v>
      </c>
      <c r="Z109" s="21" t="n">
        <f aca="false">SUM(Z102,Z103,Z108)-450</f>
        <v>2910563.12229171</v>
      </c>
      <c r="AA109" s="21" t="n">
        <f aca="false">SUM(AA102,AA103,AA108)</f>
        <v>8080418.886093036</v>
      </c>
      <c r="AB109" s="21" t="n">
        <f aca="false">SUM(AB102,AB103,AB108)</f>
        <v>5259566.541056637</v>
      </c>
      <c r="AC109" s="21" t="n">
        <f aca="false">SUM(AC102,AC103,AC108)-1591</f>
        <v>6929058.82309868</v>
      </c>
      <c r="AF109" s="30" t="s">
        <v>44</v>
      </c>
      <c r="AG109" s="21" t="n">
        <f aca="false">SUM(AG102,AG103,AG108)</f>
        <v>2597916.6134225284</v>
      </c>
      <c r="AH109" s="21" t="n">
        <f aca="false">SUM(AH102,AH103,AH108)-1783</f>
        <v>3556991.523860703</v>
      </c>
      <c r="AI109" s="21" t="n">
        <f aca="false">SUM(AI102,AI103,AI108)</f>
        <v>595162.9170996576</v>
      </c>
      <c r="AJ109" s="21" t="n">
        <f aca="false">SUM(AJ102,AJ103,AJ108)</f>
        <v>1978083.6113538942</v>
      </c>
      <c r="AK109" s="21" t="n">
        <f aca="false">SUM(AK102,AK103,AK108)-510</f>
        <v>556541.7986424709</v>
      </c>
      <c r="AL109" s="21" t="n">
        <f aca="false">SUM(AL102,AL103,AL108)</f>
        <v>2385578.123658174</v>
      </c>
      <c r="AM109" s="21" t="n">
        <f aca="false">SUM(AM102,AM103,AM108)</f>
        <v>2098153.261842375</v>
      </c>
      <c r="AN109" s="21" t="n">
        <f aca="false">SUM(AN102,AN103,AN108)</f>
        <v>1309640.293116692</v>
      </c>
      <c r="AO109" s="21" t="n">
        <f aca="false">SUM(AO102,AO103,AO108)-450</f>
        <v>1416302.542053054</v>
      </c>
      <c r="AP109" s="21" t="n">
        <f aca="false">SUM(AP102,AP103,AP108)</f>
        <v>8081098.638493257</v>
      </c>
      <c r="AQ109" s="21" t="n">
        <f aca="false">SUM(AQ102,AQ103,AQ108)</f>
        <v>4561547.750487139</v>
      </c>
      <c r="AR109" s="21" t="n">
        <f aca="false">SUM(AR102,AR103,AR108)-1591</f>
        <v>2703110.115156064</v>
      </c>
    </row>
    <row r="110" customFormat="false" ht="15.6" hidden="false" customHeight="false" outlineLevel="0" collapsed="false">
      <c r="B110" s="24" t="s">
        <v>45</v>
      </c>
      <c r="C110" s="31" t="n">
        <v>1933918.98744801</v>
      </c>
      <c r="D110" s="25" t="n">
        <v>2909488.99</v>
      </c>
      <c r="E110" s="25" t="n">
        <v>2458131.9</v>
      </c>
      <c r="F110" s="25" t="n">
        <v>2967331.35</v>
      </c>
      <c r="G110" s="25" t="n">
        <v>1218878.58</v>
      </c>
      <c r="H110" s="25" t="n">
        <v>1914292.36</v>
      </c>
      <c r="I110" s="25" t="n">
        <v>2931802.83</v>
      </c>
      <c r="J110" s="25" t="n">
        <v>2560619.03</v>
      </c>
      <c r="K110" s="25" t="n">
        <v>3656280.97</v>
      </c>
      <c r="L110" s="25" t="n">
        <v>2897168.94</v>
      </c>
      <c r="M110" s="25" t="n">
        <v>3549646.9</v>
      </c>
      <c r="N110" s="25" t="n">
        <v>2843000</v>
      </c>
      <c r="Q110" s="24" t="s">
        <v>45</v>
      </c>
      <c r="R110" s="31" t="n">
        <v>170468.86223215348</v>
      </c>
      <c r="S110" s="25" t="n">
        <v>2305535.7569529344</v>
      </c>
      <c r="T110" s="25" t="n">
        <v>3483135.3741497863</v>
      </c>
      <c r="U110" s="25" t="n">
        <v>2027903.9244783982</v>
      </c>
      <c r="V110" s="25" t="n">
        <v>1739274.0807818642</v>
      </c>
      <c r="W110" s="25" t="n">
        <v>526586.6844378479</v>
      </c>
      <c r="X110" s="25" t="n">
        <v>2090256.2746768896</v>
      </c>
      <c r="Y110" s="25" t="n">
        <v>3747289.216896437</v>
      </c>
      <c r="Z110" s="25" t="n">
        <v>4108154.2710199347</v>
      </c>
      <c r="AA110" s="25" t="n">
        <v>2517022.2571033305</v>
      </c>
      <c r="AB110" s="25" t="n">
        <v>3103872.2195251277</v>
      </c>
      <c r="AC110" s="25" t="n">
        <v>650600.5500474413</v>
      </c>
      <c r="AF110" s="24" t="s">
        <v>45</v>
      </c>
      <c r="AG110" s="31" t="n">
        <v>248802.96941549514</v>
      </c>
      <c r="AH110" s="25" t="n">
        <v>249390.20464920875</v>
      </c>
      <c r="AI110" s="25" t="n">
        <v>2093929.2217073708</v>
      </c>
      <c r="AJ110" s="25" t="n">
        <v>4146356.617712616</v>
      </c>
      <c r="AK110" s="25" t="n">
        <v>1071568.4652730015</v>
      </c>
      <c r="AL110" s="25" t="n">
        <v>750522.2996636328</v>
      </c>
      <c r="AM110" s="25" t="n">
        <v>2123878.1916048448</v>
      </c>
      <c r="AN110" s="25" t="n">
        <v>2768260.9904395426</v>
      </c>
      <c r="AO110" s="25" t="n">
        <v>2329205.5066789035</v>
      </c>
      <c r="AP110" s="25" t="n">
        <v>3492888.634546601</v>
      </c>
      <c r="AQ110" s="25" t="n">
        <v>4801196.340920458</v>
      </c>
      <c r="AR110" s="25" t="n">
        <v>930638.3191135623</v>
      </c>
    </row>
    <row r="111" customFormat="false" ht="15.6" hidden="false" customHeight="false" outlineLevel="0" collapsed="false">
      <c r="B111" s="30" t="s">
        <v>46</v>
      </c>
      <c r="C111" s="21" t="n">
        <f aca="false">SUM(C110)</f>
        <v>1933918.98744801</v>
      </c>
      <c r="D111" s="21" t="n">
        <f aca="false">SUM(D110)</f>
        <v>2909488.99</v>
      </c>
      <c r="E111" s="21" t="n">
        <f aca="false">SUM(E110)</f>
        <v>2458131.9</v>
      </c>
      <c r="F111" s="21" t="n">
        <f aca="false">SUM(F110)</f>
        <v>2967331.35</v>
      </c>
      <c r="G111" s="21" t="n">
        <f aca="false">SUM(G110)</f>
        <v>1218878.58</v>
      </c>
      <c r="H111" s="21" t="n">
        <f aca="false">SUM(H110)</f>
        <v>1914292.36</v>
      </c>
      <c r="I111" s="21" t="n">
        <f aca="false">SUM(I110)</f>
        <v>2931802.83</v>
      </c>
      <c r="J111" s="21" t="n">
        <f aca="false">SUM(J110)</f>
        <v>2560619.03</v>
      </c>
      <c r="K111" s="21" t="n">
        <f aca="false">SUM(K110)</f>
        <v>3656280.97</v>
      </c>
      <c r="L111" s="21" t="n">
        <f aca="false">SUM(L110)</f>
        <v>2897168.94</v>
      </c>
      <c r="M111" s="21" t="n">
        <f aca="false">SUM(M110)</f>
        <v>3549646.9</v>
      </c>
      <c r="N111" s="21" t="n">
        <f aca="false">SUM(N110)</f>
        <v>2843000</v>
      </c>
      <c r="Q111" s="30" t="s">
        <v>46</v>
      </c>
      <c r="R111" s="21" t="n">
        <f aca="false">SUM(R110)</f>
        <v>584039.1072823445</v>
      </c>
      <c r="S111" s="21" t="n">
        <f aca="false">SUM(S110)</f>
        <v>4223105.219713421</v>
      </c>
      <c r="T111" s="21" t="n">
        <f aca="false">SUM(T110)</f>
        <v>321880.4359081957</v>
      </c>
      <c r="U111" s="21" t="n">
        <f aca="false">SUM(U110)</f>
        <v>3231559.983833255</v>
      </c>
      <c r="V111" s="21" t="n">
        <f aca="false">SUM(V110)</f>
        <v>48225.913027929455</v>
      </c>
      <c r="W111" s="21" t="n">
        <f aca="false">SUM(W110)</f>
        <v>337224.5756254369</v>
      </c>
      <c r="X111" s="21" t="n">
        <f aca="false">SUM(X110)</f>
        <v>2262992.2562266267</v>
      </c>
      <c r="Y111" s="21" t="n">
        <f aca="false">SUM(Y110)</f>
        <v>1215498.1144872748</v>
      </c>
      <c r="Z111" s="21" t="n">
        <f aca="false">SUM(Z110)</f>
        <v>3335580.3910215576</v>
      </c>
      <c r="AA111" s="21" t="n">
        <f aca="false">SUM(AA110)</f>
        <v>2899004.385528764</v>
      </c>
      <c r="AB111" s="21" t="n">
        <f aca="false">SUM(AB110)</f>
        <v>660381.7127709079</v>
      </c>
      <c r="AC111" s="21" t="n">
        <f aca="false">SUM(AC110)</f>
        <v>1773388.976486306</v>
      </c>
      <c r="AF111" s="30" t="s">
        <v>46</v>
      </c>
      <c r="AG111" s="21" t="n">
        <f aca="false">SUM(AG110)</f>
        <v>1954196.456184582</v>
      </c>
      <c r="AH111" s="21" t="n">
        <f aca="false">SUM(AH110)</f>
        <v>3929350.3074673046</v>
      </c>
      <c r="AI111" s="21" t="n">
        <f aca="false">SUM(AI110)</f>
        <v>2092796.4544225074</v>
      </c>
      <c r="AJ111" s="21" t="n">
        <f aca="false">SUM(AJ110)</f>
        <v>903653.9539446741</v>
      </c>
      <c r="AK111" s="21" t="n">
        <f aca="false">SUM(AK110)</f>
        <v>177406.01963117503</v>
      </c>
      <c r="AL111" s="21" t="n">
        <f aca="false">SUM(AL110)</f>
        <v>739327.776083453</v>
      </c>
      <c r="AM111" s="21" t="n">
        <f aca="false">SUM(AM110)</f>
        <v>1496858.9002610976</v>
      </c>
      <c r="AN111" s="21" t="n">
        <f aca="false">SUM(AN110)</f>
        <v>1732575.4163726354</v>
      </c>
      <c r="AO111" s="21" t="n">
        <f aca="false">SUM(AO110)</f>
        <v>4614265.264250244</v>
      </c>
      <c r="AP111" s="21" t="n">
        <f aca="false">SUM(AP110)</f>
        <v>1147826.9595916937</v>
      </c>
      <c r="AQ111" s="21" t="n">
        <f aca="false">SUM(AQ110)</f>
        <v>1582045.923368138</v>
      </c>
      <c r="AR111" s="21" t="n">
        <f aca="false">SUM(AR110)</f>
        <v>4091247.6400268897</v>
      </c>
    </row>
    <row r="112" customFormat="false" ht="15.6" hidden="false" customHeight="false" outlineLevel="0" collapsed="false">
      <c r="B112" s="24" t="s">
        <v>47</v>
      </c>
      <c r="C112" s="31" t="n">
        <v>848726</v>
      </c>
      <c r="D112" s="25" t="n">
        <v>827639</v>
      </c>
      <c r="E112" s="25" t="n">
        <v>808252</v>
      </c>
      <c r="F112" s="25" t="n">
        <v>648965</v>
      </c>
      <c r="G112" s="25" t="n">
        <v>794993</v>
      </c>
      <c r="H112" s="25" t="n">
        <v>602341</v>
      </c>
      <c r="I112" s="25" t="n">
        <v>584335</v>
      </c>
      <c r="J112" s="25" t="n">
        <v>698697.21</v>
      </c>
      <c r="K112" s="25" t="n">
        <v>653000</v>
      </c>
      <c r="L112" s="25" t="n">
        <v>716000</v>
      </c>
      <c r="M112" s="25" t="n">
        <v>702000</v>
      </c>
      <c r="N112" s="25" t="n">
        <v>763000</v>
      </c>
      <c r="Q112" s="24" t="s">
        <v>47</v>
      </c>
      <c r="R112" s="31" t="n">
        <v>612875.4070116085</v>
      </c>
      <c r="S112" s="25" t="n">
        <v>152826.72824891613</v>
      </c>
      <c r="T112" s="25" t="n">
        <v>515322.46140047803</v>
      </c>
      <c r="U112" s="25" t="n">
        <v>726208.9239470321</v>
      </c>
      <c r="V112" s="25" t="n">
        <v>290788.8890060857</v>
      </c>
      <c r="W112" s="25" t="n">
        <v>337173.3415731169</v>
      </c>
      <c r="X112" s="25" t="n">
        <v>294657.4256299628</v>
      </c>
      <c r="Y112" s="25" t="n">
        <v>687633.5414573449</v>
      </c>
      <c r="Z112" s="25" t="n">
        <v>178484.49431889455</v>
      </c>
      <c r="AA112" s="25" t="n">
        <v>1056781.5130020517</v>
      </c>
      <c r="AB112" s="25" t="n">
        <v>462626.449028282</v>
      </c>
      <c r="AC112" s="25" t="n">
        <v>693712.2056377612</v>
      </c>
      <c r="AF112" s="24" t="s">
        <v>47</v>
      </c>
      <c r="AG112" s="31" t="n">
        <v>586600.0036522864</v>
      </c>
      <c r="AH112" s="25" t="n">
        <v>1174711.7640909643</v>
      </c>
      <c r="AI112" s="25" t="n">
        <v>821452.0585829702</v>
      </c>
      <c r="AJ112" s="25" t="n">
        <v>472502.4437040257</v>
      </c>
      <c r="AK112" s="25" t="n">
        <v>442050.41185534187</v>
      </c>
      <c r="AL112" s="25" t="n">
        <v>96162.85899402722</v>
      </c>
      <c r="AM112" s="25" t="n">
        <v>55329.72408621593</v>
      </c>
      <c r="AN112" s="25" t="n">
        <v>794399.0015966677</v>
      </c>
      <c r="AO112" s="25" t="n">
        <v>907604.3737733511</v>
      </c>
      <c r="AP112" s="25" t="n">
        <v>930945.5945752783</v>
      </c>
      <c r="AQ112" s="25" t="n">
        <v>223655.758014323</v>
      </c>
      <c r="AR112" s="25" t="n">
        <v>4930.602668836685</v>
      </c>
    </row>
    <row r="113" customFormat="false" ht="15.6" hidden="false" customHeight="false" outlineLevel="0" collapsed="false">
      <c r="B113" s="30" t="s">
        <v>48</v>
      </c>
      <c r="C113" s="21" t="n">
        <f aca="false">SUM(C112)</f>
        <v>848726</v>
      </c>
      <c r="D113" s="21" t="n">
        <f aca="false">SUM(D112)</f>
        <v>827639</v>
      </c>
      <c r="E113" s="21" t="n">
        <f aca="false">SUM(E112)</f>
        <v>808252</v>
      </c>
      <c r="F113" s="21" t="n">
        <f aca="false">SUM(F112)</f>
        <v>648965</v>
      </c>
      <c r="G113" s="21" t="n">
        <f aca="false">SUM(G112)</f>
        <v>794993</v>
      </c>
      <c r="H113" s="21" t="n">
        <f aca="false">SUM(H112)</f>
        <v>602341</v>
      </c>
      <c r="I113" s="21" t="n">
        <f aca="false">SUM(I112)</f>
        <v>584335</v>
      </c>
      <c r="J113" s="21" t="n">
        <f aca="false">SUM(J112)</f>
        <v>698697.21</v>
      </c>
      <c r="K113" s="21" t="n">
        <f aca="false">SUM(K112)</f>
        <v>653000</v>
      </c>
      <c r="L113" s="21" t="n">
        <f aca="false">SUM(L112)</f>
        <v>716000</v>
      </c>
      <c r="M113" s="21" t="n">
        <f aca="false">SUM(M112)</f>
        <v>702000</v>
      </c>
      <c r="N113" s="21" t="n">
        <f aca="false">SUM(N112)</f>
        <v>763000</v>
      </c>
      <c r="Q113" s="30" t="s">
        <v>48</v>
      </c>
      <c r="R113" s="21" t="n">
        <f aca="false">SUM(R112)</f>
        <v>168583.68883073257</v>
      </c>
      <c r="S113" s="21" t="n">
        <f aca="false">SUM(S112)</f>
        <v>46597.731257358704</v>
      </c>
      <c r="T113" s="21" t="n">
        <f aca="false">SUM(T112)</f>
        <v>1019567.7207158154</v>
      </c>
      <c r="U113" s="21" t="n">
        <f aca="false">SUM(U112)</f>
        <v>182841.55552268086</v>
      </c>
      <c r="V113" s="21" t="n">
        <f aca="false">SUM(V112)</f>
        <v>65736.45064796395</v>
      </c>
      <c r="W113" s="21" t="n">
        <f aca="false">SUM(W112)</f>
        <v>50699.46025860983</v>
      </c>
      <c r="X113" s="21" t="n">
        <f aca="false">SUM(X112)</f>
        <v>216089.6442139717</v>
      </c>
      <c r="Y113" s="21" t="n">
        <f aca="false">SUM(Y112)</f>
        <v>882905.8515165274</v>
      </c>
      <c r="Z113" s="21" t="n">
        <f aca="false">SUM(Z112)</f>
        <v>230120.35869012977</v>
      </c>
      <c r="AA113" s="21" t="n">
        <f aca="false">SUM(AA112)</f>
        <v>93552.78835217841</v>
      </c>
      <c r="AB113" s="21" t="n">
        <f aca="false">SUM(AB112)</f>
        <v>394532.3623394167</v>
      </c>
      <c r="AC113" s="21" t="n">
        <f aca="false">SUM(AC112)</f>
        <v>943440.1259713157</v>
      </c>
      <c r="AF113" s="30" t="s">
        <v>48</v>
      </c>
      <c r="AG113" s="21" t="n">
        <f aca="false">SUM(AG112)</f>
        <v>86362.47132880735</v>
      </c>
      <c r="AH113" s="21" t="n">
        <f aca="false">SUM(AH112)</f>
        <v>880187.3629706535</v>
      </c>
      <c r="AI113" s="21" t="n">
        <f aca="false">SUM(AI112)</f>
        <v>917697.5142578671</v>
      </c>
      <c r="AJ113" s="21" t="n">
        <f aca="false">SUM(AJ112)</f>
        <v>340543.2026495403</v>
      </c>
      <c r="AK113" s="21" t="n">
        <f aca="false">SUM(AK112)</f>
        <v>756337.5816055763</v>
      </c>
      <c r="AL113" s="21" t="n">
        <f aca="false">SUM(AL112)</f>
        <v>338186.9043092286</v>
      </c>
      <c r="AM113" s="21" t="n">
        <f aca="false">SUM(AM112)</f>
        <v>773163.2200033694</v>
      </c>
      <c r="AN113" s="21" t="n">
        <f aca="false">SUM(AN112)</f>
        <v>928639.1320365261</v>
      </c>
      <c r="AO113" s="21" t="n">
        <f aca="false">SUM(AO112)</f>
        <v>429171.8703783665</v>
      </c>
      <c r="AP113" s="21" t="n">
        <f aca="false">SUM(AP112)</f>
        <v>663885.7840440696</v>
      </c>
      <c r="AQ113" s="21" t="n">
        <f aca="false">SUM(AQ112)</f>
        <v>791739.3776986779</v>
      </c>
      <c r="AR113" s="21" t="n">
        <f aca="false">SUM(AR112)</f>
        <v>819394.5729703302</v>
      </c>
    </row>
    <row r="114" customFormat="false" ht="15.6" hidden="false" customHeight="false" outlineLevel="0" collapsed="false">
      <c r="B114" s="32" t="s">
        <v>49</v>
      </c>
      <c r="C114" s="33" t="n">
        <f aca="false">SUM(C91,C93,C109,C111,C113)</f>
        <v>7277685.98744801</v>
      </c>
      <c r="D114" s="33" t="n">
        <f aca="false">SUM(D91,D93,D109,D111,D113)</f>
        <v>9722506.02</v>
      </c>
      <c r="E114" s="33" t="n">
        <f aca="false">SUM(E91,E93,E109,E111,E113)</f>
        <v>10555777.43</v>
      </c>
      <c r="F114" s="33" t="n">
        <f aca="false">SUM(F91,F93,F109,F111,F113)</f>
        <v>6974106.35</v>
      </c>
      <c r="G114" s="33" t="n">
        <f aca="false">SUM(G91,G93,G109,G111,G113)</f>
        <v>4764742.58</v>
      </c>
      <c r="H114" s="33" t="n">
        <f aca="false">SUM(H91,H93,H109,H111,H113)</f>
        <v>6589216.57</v>
      </c>
      <c r="I114" s="33" t="n">
        <f aca="false">SUM(I91,I93,I109,I111,I113)</f>
        <v>6455552.39</v>
      </c>
      <c r="J114" s="33" t="n">
        <f aca="false">SUM(J91,J93,J109,J111,J113)</f>
        <v>6412751.99</v>
      </c>
      <c r="K114" s="33" t="n">
        <f aca="false">SUM(K91,K93,K109,K111,K113)</f>
        <v>8095511.35</v>
      </c>
      <c r="L114" s="33" t="n">
        <f aca="false">SUM(L91,L93,L109,L111,L113)</f>
        <v>10323690.99</v>
      </c>
      <c r="M114" s="33" t="n">
        <f aca="false">SUM(M91,M93,M109,M111,M113)</f>
        <v>11959082.51</v>
      </c>
      <c r="N114" s="33" t="n">
        <f aca="false">SUM(N91,N93,N109,N111,N113)</f>
        <v>10287408.66</v>
      </c>
      <c r="Q114" s="32" t="s">
        <v>49</v>
      </c>
      <c r="R114" s="33" t="n">
        <f aca="false">SUM(R91,R93,R109,R111,R113)</f>
        <v>2725667.704745805</v>
      </c>
      <c r="S114" s="33" t="n">
        <f aca="false">SUM(S91,S93,S109,S111,S113)</f>
        <v>14362683.189493753</v>
      </c>
      <c r="T114" s="33" t="n">
        <f aca="false">SUM(T91,T93,T109,T111,T113)</f>
        <v>5878901.420672501</v>
      </c>
      <c r="U114" s="33" t="n">
        <f aca="false">SUM(U91,U93,U109,U111,U113)</f>
        <v>7408334.594242689</v>
      </c>
      <c r="V114" s="33" t="n">
        <f aca="false">SUM(V91,V93,V109,V111,V113)</f>
        <v>3466174.022406006</v>
      </c>
      <c r="W114" s="33" t="n">
        <f aca="false">SUM(W91,W93,W109,W111,W113)</f>
        <v>4328584.127677495</v>
      </c>
      <c r="X114" s="33" t="n">
        <f aca="false">SUM(X91,X93,X109,X111,X113)</f>
        <v>6398205.639125159</v>
      </c>
      <c r="Y114" s="33" t="n">
        <f aca="false">SUM(Y91,Y93,Y109,Y111,Y113)</f>
        <v>9198948.600725656</v>
      </c>
      <c r="Z114" s="33" t="n">
        <f aca="false">SUM(Z91,Z93,Z109,Z111,Z113)</f>
        <v>1442395.4511402517</v>
      </c>
      <c r="AA114" s="33" t="n">
        <f aca="false">SUM(AA91,AA93,AA109,AA111,AA113)</f>
        <v>2905879.875932371</v>
      </c>
      <c r="AB114" s="33" t="n">
        <f aca="false">SUM(AB91,AB93,AB109,AB111,AB113)</f>
        <v>6112532.6351095615</v>
      </c>
      <c r="AC114" s="33" t="n">
        <f aca="false">SUM(AC91,AC93,AC109,AC111,AC113)</f>
        <v>353518.7993265426</v>
      </c>
      <c r="AF114" s="32" t="s">
        <v>49</v>
      </c>
      <c r="AG114" s="33" t="n">
        <f aca="false">SUM(AG91,AG93,AG109,AG111,AG113)</f>
        <v>9924729.843123576</v>
      </c>
      <c r="AH114" s="33" t="n">
        <f aca="false">SUM(AH91,AH93,AH109,AH111,AH113)</f>
        <v>2077179.333904897</v>
      </c>
      <c r="AI114" s="33" t="n">
        <f aca="false">SUM(AI91,AI93,AI109,AI111,AI113)</f>
        <v>10522313.773703419</v>
      </c>
      <c r="AJ114" s="33" t="n">
        <f aca="false">SUM(AJ91,AJ93,AJ109,AJ111,AJ113)</f>
        <v>10369343.91245432</v>
      </c>
      <c r="AK114" s="33" t="n">
        <f aca="false">SUM(AK91,AK93,AK109,AK111,AK113)</f>
        <v>6666874.378057837</v>
      </c>
      <c r="AL114" s="33" t="n">
        <f aca="false">SUM(AL91,AL93,AL109,AL111,AL113)</f>
        <v>6257182.118597856</v>
      </c>
      <c r="AM114" s="33" t="n">
        <f aca="false">SUM(AM91,AM93,AM109,AM111,AM113)</f>
        <v>9242477.166611863</v>
      </c>
      <c r="AN114" s="33" t="n">
        <f aca="false">SUM(AN91,AN93,AN109,AN111,AN113)</f>
        <v>8182963.45642242</v>
      </c>
      <c r="AO114" s="33" t="n">
        <f aca="false">SUM(AO91,AO93,AO109,AO111,AO113)</f>
        <v>3628363.329813005</v>
      </c>
      <c r="AP114" s="33" t="n">
        <f aca="false">SUM(AP91,AP93,AP109,AP111,AP113)</f>
        <v>9300048.196665345</v>
      </c>
      <c r="AQ114" s="33" t="n">
        <f aca="false">SUM(AQ91,AQ93,AQ109,AQ111,AQ113)</f>
        <v>7722187.173876965</v>
      </c>
      <c r="AR114" s="33" t="n">
        <f aca="false">SUM(AR91,AR93,AR109,AR111,AR113)</f>
        <v>1166856.8145735282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Roman,標準"&amp;Kffffff&amp;A</oddHeader>
    <oddFooter>&amp;C&amp;"Times New Roman,標準"&amp;Kffffff頁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e4eeec4-96dd-485d-aa7b-65b42b0d338e">
      <UserInfo>
        <DisplayName/>
        <AccountId xsi:nil="true"/>
        <AccountType/>
      </UserInfo>
    </SharedWithUsers>
    <TaxCatchAll xmlns="be4eeec4-96dd-485d-aa7b-65b42b0d338e" xsi:nil="true"/>
    <lcf76f155ced4ddcb4097134ff3c332f xmlns="d0564250-7597-4f8b-b87a-508c335576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5F72461414C4189D07FC70434A6A9" ma:contentTypeVersion="20" ma:contentTypeDescription="Create a new document." ma:contentTypeScope="" ma:versionID="b54bcb4f31d55f7f404e93c32ad474ff">
  <xsd:schema xmlns:xsd="http://www.w3.org/2001/XMLSchema" xmlns:xs="http://www.w3.org/2001/XMLSchema" xmlns:p="http://schemas.microsoft.com/office/2006/metadata/properties" xmlns:ns2="d0564250-7597-4f8b-b87a-508c3355767b" xmlns:ns3="be4eeec4-96dd-485d-aa7b-65b42b0d338e" targetNamespace="http://schemas.microsoft.com/office/2006/metadata/properties" ma:root="true" ma:fieldsID="33047875bac67331a4421c8d62e60124" ns2:_="" ns3:_="">
    <xsd:import namespace="d0564250-7597-4f8b-b87a-508c3355767b"/>
    <xsd:import namespace="be4eeec4-96dd-485d-aa7b-65b42b0d3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64250-7597-4f8b-b87a-508c33557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e15a081-2575-47e7-8e6e-84af88367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4eeec4-96dd-485d-aa7b-65b42b0d3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2811697-e9d3-479e-8a00-5b8e4f549161}" ma:internalName="TaxCatchAll" ma:showField="CatchAllData" ma:web="be4eeec4-96dd-485d-aa7b-65b42b0d3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14EB3-3838-461E-B38C-124FAF20F2C1}">
  <ds:schemaRefs>
    <ds:schemaRef ds:uri="http://schemas.microsoft.com/office/2006/metadata/properties"/>
    <ds:schemaRef ds:uri="http://schemas.microsoft.com/office/infopath/2007/PartnerControls"/>
    <ds:schemaRef ds:uri="be4eeec4-96dd-485d-aa7b-65b42b0d338e"/>
    <ds:schemaRef ds:uri="d0564250-7597-4f8b-b87a-508c3355767b"/>
  </ds:schemaRefs>
</ds:datastoreItem>
</file>

<file path=customXml/itemProps2.xml><?xml version="1.0" encoding="utf-8"?>
<ds:datastoreItem xmlns:ds="http://schemas.openxmlformats.org/officeDocument/2006/customXml" ds:itemID="{DEED0654-3E0F-4F0F-9AC0-3109ADA46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64250-7597-4f8b-b87a-508c3355767b"/>
    <ds:schemaRef ds:uri="be4eeec4-96dd-485d-aa7b-65b42b0d3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A4507-F47A-4862-883E-69860E77B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2016-12-12T01:55:00Z</dcterms:created>
  <dc:creator>Levise Lee</dc:creator>
  <dc:description/>
  <dc:language>zh-TW</dc:language>
  <cp:lastModifiedBy/>
  <dcterms:modified xsi:type="dcterms:W3CDTF">2026-03-30T14:48:07Z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0x010100D6A5F72461414C4189D07FC70434A6A9</vt:lpwstr>
  </property>
  <property fmtid="{D5CDD505-2E9C-101B-9397-08002B2CF9AE}" pid="4" name="MediaServiceImageTags">
    <vt:lpwstr/>
  </property>
  <property fmtid="{D5CDD505-2E9C-101B-9397-08002B2CF9AE}" pid="5" name="Order">
    <vt:r8>4759800</vt:r8>
  </property>
  <property fmtid="{D5CDD505-2E9C-101B-9397-08002B2CF9AE}" pid="6" name="TemplateUrl">
    <vt:lpwstr/>
  </property>
  <property fmtid="{D5CDD505-2E9C-101B-9397-08002B2CF9AE}" pid="7" name="xd_ProgID">
    <vt:lpwstr/>
  </property>
  <property fmtid="{D5CDD505-2E9C-101B-9397-08002B2CF9AE}" pid="8" name="xd_Signature">
    <vt:bool>0</vt:bool>
  </property>
</Properties>
</file>